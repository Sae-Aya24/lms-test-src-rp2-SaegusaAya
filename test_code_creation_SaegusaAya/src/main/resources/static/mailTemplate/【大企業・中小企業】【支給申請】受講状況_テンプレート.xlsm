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-ueki\Desktop\"/>
    </mc:Choice>
  </mc:AlternateContent>
  <bookViews>
    <workbookView xWindow="-120" yWindow="-120" windowWidth="29040" windowHeight="15840" tabRatio="733"/>
  </bookViews>
  <sheets>
    <sheet name="受講状況" sheetId="22" r:id="rId1"/>
    <sheet name="改版履歴" sheetId="21" state="veryHidden" r:id="rId2"/>
  </sheets>
  <definedNames>
    <definedName name="Excel_BuiltIn_Print_Area_2" localSheetId="1">#REF!</definedName>
    <definedName name="Excel_BuiltIn_Print_Area_2">#REF!</definedName>
    <definedName name="Excel_BuiltIn_Print_Area_3">#REF!</definedName>
    <definedName name="_xlnm.Print_Area" localSheetId="1">改版履歴!$A$1:$F$15</definedName>
    <definedName name="_xlnm.Print_Area" localSheetId="0">受講状況!$A$1:$F$108</definedName>
    <definedName name="_xlnm.Print_Titles" localSheetId="1">改版履歴!$1:$4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" i="22" l="1"/>
  <c r="E108" i="22"/>
  <c r="D108" i="22"/>
  <c r="C108" i="22"/>
  <c r="B108" i="22"/>
  <c r="A108" i="22"/>
  <c r="F107" i="22"/>
  <c r="E107" i="22"/>
  <c r="D107" i="22"/>
  <c r="C107" i="22"/>
  <c r="B107" i="22"/>
  <c r="A107" i="22"/>
  <c r="F106" i="22"/>
  <c r="E106" i="22"/>
  <c r="D106" i="22"/>
  <c r="C106" i="22"/>
  <c r="B106" i="22"/>
  <c r="A106" i="22"/>
  <c r="F105" i="22"/>
  <c r="E105" i="22"/>
  <c r="D105" i="22"/>
  <c r="C105" i="22"/>
  <c r="B105" i="22"/>
  <c r="A105" i="22"/>
  <c r="F104" i="22"/>
  <c r="E104" i="22"/>
  <c r="D104" i="22"/>
  <c r="C104" i="22"/>
  <c r="B104" i="22"/>
  <c r="A104" i="22"/>
  <c r="F103" i="22"/>
  <c r="E103" i="22"/>
  <c r="D103" i="22"/>
  <c r="C103" i="22"/>
  <c r="B103" i="22"/>
  <c r="A103" i="22"/>
  <c r="F102" i="22"/>
  <c r="E102" i="22"/>
  <c r="D102" i="22"/>
  <c r="C102" i="22"/>
  <c r="B102" i="22"/>
  <c r="A102" i="22"/>
  <c r="F101" i="22"/>
  <c r="E101" i="22"/>
  <c r="D101" i="22"/>
  <c r="C101" i="22"/>
  <c r="B101" i="22"/>
  <c r="A101" i="22"/>
  <c r="F100" i="22"/>
  <c r="E100" i="22"/>
  <c r="D100" i="22"/>
  <c r="C100" i="22"/>
  <c r="B100" i="22"/>
  <c r="A100" i="22"/>
  <c r="F99" i="22"/>
  <c r="E99" i="22"/>
  <c r="D99" i="22"/>
  <c r="C99" i="22"/>
  <c r="B99" i="22"/>
  <c r="A99" i="22"/>
  <c r="F98" i="22"/>
  <c r="E98" i="22"/>
  <c r="D98" i="22"/>
  <c r="C98" i="22"/>
  <c r="B98" i="22"/>
  <c r="A98" i="22"/>
  <c r="F97" i="22"/>
  <c r="E97" i="22"/>
  <c r="D97" i="22"/>
  <c r="C97" i="22"/>
  <c r="B97" i="22"/>
  <c r="A97" i="22"/>
  <c r="F96" i="22"/>
  <c r="E96" i="22"/>
  <c r="D96" i="22"/>
  <c r="C96" i="22"/>
  <c r="B96" i="22"/>
  <c r="A96" i="22"/>
  <c r="F95" i="22"/>
  <c r="E95" i="22"/>
  <c r="D95" i="22"/>
  <c r="C95" i="22"/>
  <c r="B95" i="22"/>
  <c r="A95" i="22"/>
  <c r="F94" i="22"/>
  <c r="E94" i="22"/>
  <c r="D94" i="22"/>
  <c r="C94" i="22"/>
  <c r="B94" i="22"/>
  <c r="A94" i="22"/>
  <c r="F93" i="22"/>
  <c r="E93" i="22"/>
  <c r="D93" i="22"/>
  <c r="C93" i="22"/>
  <c r="B93" i="22"/>
  <c r="A93" i="22"/>
  <c r="F92" i="22"/>
  <c r="E92" i="22"/>
  <c r="D92" i="22"/>
  <c r="C92" i="22"/>
  <c r="B92" i="22"/>
  <c r="A92" i="22"/>
  <c r="F91" i="22"/>
  <c r="E91" i="22"/>
  <c r="D91" i="22"/>
  <c r="C91" i="22"/>
  <c r="B91" i="22"/>
  <c r="A91" i="22"/>
  <c r="F90" i="22"/>
  <c r="E90" i="22"/>
  <c r="D90" i="22"/>
  <c r="C90" i="22"/>
  <c r="B90" i="22"/>
  <c r="A90" i="22"/>
  <c r="F89" i="22"/>
  <c r="E89" i="22"/>
  <c r="D89" i="22"/>
  <c r="C89" i="22"/>
  <c r="B89" i="22"/>
  <c r="A89" i="22"/>
  <c r="F88" i="22"/>
  <c r="E88" i="22"/>
  <c r="D88" i="22"/>
  <c r="C88" i="22"/>
  <c r="B88" i="22"/>
  <c r="A88" i="22"/>
  <c r="F87" i="22"/>
  <c r="E87" i="22"/>
  <c r="D87" i="22"/>
  <c r="C87" i="22"/>
  <c r="B87" i="22"/>
  <c r="A87" i="22"/>
  <c r="F86" i="22"/>
  <c r="E86" i="22"/>
  <c r="D86" i="22"/>
  <c r="C86" i="22"/>
  <c r="B86" i="22"/>
  <c r="A86" i="22"/>
  <c r="F85" i="22"/>
  <c r="E85" i="22"/>
  <c r="D85" i="22"/>
  <c r="C85" i="22"/>
  <c r="B85" i="22"/>
  <c r="A85" i="22"/>
  <c r="F84" i="22"/>
  <c r="E84" i="22"/>
  <c r="D84" i="22"/>
  <c r="C84" i="22"/>
  <c r="B84" i="22"/>
  <c r="A84" i="22"/>
  <c r="F83" i="22"/>
  <c r="E83" i="22"/>
  <c r="D83" i="22"/>
  <c r="C83" i="22"/>
  <c r="B83" i="22"/>
  <c r="A83" i="22"/>
  <c r="F82" i="22"/>
  <c r="E82" i="22"/>
  <c r="D82" i="22"/>
  <c r="C82" i="22"/>
  <c r="B82" i="22"/>
  <c r="A82" i="22"/>
  <c r="F81" i="22"/>
  <c r="E81" i="22"/>
  <c r="D81" i="22"/>
  <c r="C81" i="22"/>
  <c r="B81" i="22"/>
  <c r="A81" i="22"/>
  <c r="F80" i="22"/>
  <c r="E80" i="22"/>
  <c r="D80" i="22"/>
  <c r="C80" i="22"/>
  <c r="B80" i="22"/>
  <c r="A80" i="22"/>
  <c r="F79" i="22"/>
  <c r="E79" i="22"/>
  <c r="D79" i="22"/>
  <c r="C79" i="22"/>
  <c r="B79" i="22"/>
  <c r="A79" i="22"/>
  <c r="F78" i="22"/>
  <c r="E78" i="22"/>
  <c r="D78" i="22"/>
  <c r="C78" i="22"/>
  <c r="B78" i="22"/>
  <c r="A78" i="22"/>
  <c r="F77" i="22"/>
  <c r="E77" i="22"/>
  <c r="D77" i="22"/>
  <c r="C77" i="22"/>
  <c r="B77" i="22"/>
  <c r="A77" i="22"/>
  <c r="F76" i="22"/>
  <c r="E76" i="22"/>
  <c r="D76" i="22"/>
  <c r="C76" i="22"/>
  <c r="B76" i="22"/>
  <c r="A76" i="22"/>
  <c r="F75" i="22"/>
  <c r="E75" i="22"/>
  <c r="D75" i="22"/>
  <c r="C75" i="22"/>
  <c r="B75" i="22"/>
  <c r="A75" i="22"/>
  <c r="F74" i="22"/>
  <c r="E74" i="22"/>
  <c r="D74" i="22"/>
  <c r="C74" i="22"/>
  <c r="B74" i="22"/>
  <c r="A74" i="22"/>
  <c r="F73" i="22"/>
  <c r="E73" i="22"/>
  <c r="D73" i="22"/>
  <c r="C73" i="22"/>
  <c r="B73" i="22"/>
  <c r="A73" i="22"/>
  <c r="F72" i="22"/>
  <c r="E72" i="22"/>
  <c r="D72" i="22"/>
  <c r="C72" i="22"/>
  <c r="B72" i="22"/>
  <c r="A72" i="22"/>
  <c r="F71" i="22"/>
  <c r="E71" i="22"/>
  <c r="D71" i="22"/>
  <c r="C71" i="22"/>
  <c r="B71" i="22"/>
  <c r="A71" i="22"/>
  <c r="F70" i="22"/>
  <c r="E70" i="22"/>
  <c r="D70" i="22"/>
  <c r="C70" i="22"/>
  <c r="B70" i="22"/>
  <c r="A70" i="22"/>
  <c r="F69" i="22"/>
  <c r="E69" i="22"/>
  <c r="D69" i="22"/>
  <c r="C69" i="22"/>
  <c r="B69" i="22"/>
  <c r="A69" i="22"/>
  <c r="F68" i="22"/>
  <c r="E68" i="22"/>
  <c r="D68" i="22"/>
  <c r="C68" i="22"/>
  <c r="B68" i="22"/>
  <c r="A68" i="22"/>
  <c r="F67" i="22"/>
  <c r="E67" i="22"/>
  <c r="D67" i="22"/>
  <c r="C67" i="22"/>
  <c r="B67" i="22"/>
  <c r="A67" i="22"/>
  <c r="F66" i="22"/>
  <c r="E66" i="22"/>
  <c r="D66" i="22"/>
  <c r="C66" i="22"/>
  <c r="B66" i="22"/>
  <c r="A66" i="22"/>
  <c r="F65" i="22"/>
  <c r="E65" i="22"/>
  <c r="D65" i="22"/>
  <c r="C65" i="22"/>
  <c r="B65" i="22"/>
  <c r="A65" i="22"/>
  <c r="F64" i="22"/>
  <c r="E64" i="22"/>
  <c r="D64" i="22"/>
  <c r="C64" i="22"/>
  <c r="B64" i="22"/>
  <c r="A64" i="22"/>
  <c r="F63" i="22"/>
  <c r="E63" i="22"/>
  <c r="D63" i="22"/>
  <c r="C63" i="22"/>
  <c r="B63" i="22"/>
  <c r="A63" i="22"/>
  <c r="F62" i="22"/>
  <c r="E62" i="22"/>
  <c r="D62" i="22"/>
  <c r="C62" i="22"/>
  <c r="B62" i="22"/>
  <c r="A62" i="22"/>
  <c r="F61" i="22"/>
  <c r="E61" i="22"/>
  <c r="D61" i="22"/>
  <c r="C61" i="22"/>
  <c r="B61" i="22"/>
  <c r="A61" i="22"/>
  <c r="F60" i="22"/>
  <c r="E60" i="22"/>
  <c r="D60" i="22"/>
  <c r="C60" i="22"/>
  <c r="B60" i="22"/>
  <c r="A60" i="22"/>
  <c r="F59" i="22"/>
  <c r="E59" i="22"/>
  <c r="D59" i="22"/>
  <c r="C59" i="22"/>
  <c r="B59" i="22"/>
  <c r="A59" i="22"/>
  <c r="F58" i="22"/>
  <c r="E58" i="22"/>
  <c r="D58" i="22"/>
  <c r="C58" i="22"/>
  <c r="B58" i="22"/>
  <c r="A58" i="22"/>
  <c r="F57" i="22"/>
  <c r="E57" i="22"/>
  <c r="D57" i="22"/>
  <c r="C57" i="22"/>
  <c r="B57" i="22"/>
  <c r="A57" i="22"/>
  <c r="F56" i="22"/>
  <c r="E56" i="22"/>
  <c r="D56" i="22"/>
  <c r="C56" i="22"/>
  <c r="B56" i="22"/>
  <c r="A56" i="22"/>
  <c r="F55" i="22"/>
  <c r="E55" i="22"/>
  <c r="D55" i="22"/>
  <c r="C55" i="22"/>
  <c r="B55" i="22"/>
  <c r="A55" i="22"/>
  <c r="F54" i="22"/>
  <c r="E54" i="22"/>
  <c r="D54" i="22"/>
  <c r="C54" i="22"/>
  <c r="B54" i="22"/>
  <c r="A54" i="22"/>
  <c r="F53" i="22"/>
  <c r="E53" i="22"/>
  <c r="D53" i="22"/>
  <c r="C53" i="22"/>
  <c r="B53" i="22"/>
  <c r="A53" i="22"/>
  <c r="F52" i="22"/>
  <c r="E52" i="22"/>
  <c r="D52" i="22"/>
  <c r="C52" i="22"/>
  <c r="B52" i="22"/>
  <c r="A52" i="22"/>
  <c r="F51" i="22"/>
  <c r="E51" i="22"/>
  <c r="D51" i="22"/>
  <c r="C51" i="22"/>
  <c r="B51" i="22"/>
  <c r="A51" i="22"/>
  <c r="F50" i="22"/>
  <c r="E50" i="22"/>
  <c r="D50" i="22"/>
  <c r="C50" i="22"/>
  <c r="B50" i="22"/>
  <c r="A50" i="22"/>
  <c r="F49" i="22"/>
  <c r="E49" i="22"/>
  <c r="D49" i="22"/>
  <c r="C49" i="22"/>
  <c r="B49" i="22"/>
  <c r="A49" i="22"/>
  <c r="F48" i="22"/>
  <c r="E48" i="22"/>
  <c r="D48" i="22"/>
  <c r="C48" i="22"/>
  <c r="B48" i="22"/>
  <c r="A48" i="22"/>
  <c r="F47" i="22"/>
  <c r="E47" i="22"/>
  <c r="D47" i="22"/>
  <c r="C47" i="22"/>
  <c r="B47" i="22"/>
  <c r="A47" i="22"/>
  <c r="F46" i="22"/>
  <c r="E46" i="22"/>
  <c r="D46" i="22"/>
  <c r="C46" i="22"/>
  <c r="B46" i="22"/>
  <c r="A46" i="22"/>
  <c r="F45" i="22"/>
  <c r="E45" i="22"/>
  <c r="D45" i="22"/>
  <c r="C45" i="22"/>
  <c r="B45" i="22"/>
  <c r="A45" i="22"/>
  <c r="F44" i="22"/>
  <c r="E44" i="22"/>
  <c r="D44" i="22"/>
  <c r="C44" i="22"/>
  <c r="B44" i="22"/>
  <c r="A44" i="22"/>
  <c r="F43" i="22"/>
  <c r="E43" i="22"/>
  <c r="D43" i="22"/>
  <c r="C43" i="22"/>
  <c r="B43" i="22"/>
  <c r="A43" i="22"/>
  <c r="F42" i="22"/>
  <c r="E42" i="22"/>
  <c r="D42" i="22"/>
  <c r="C42" i="22"/>
  <c r="B42" i="22"/>
  <c r="A42" i="22"/>
  <c r="F41" i="22"/>
  <c r="E41" i="22"/>
  <c r="D41" i="22"/>
  <c r="C41" i="22"/>
  <c r="B41" i="22"/>
  <c r="A41" i="22"/>
  <c r="F40" i="22"/>
  <c r="E40" i="22"/>
  <c r="D40" i="22"/>
  <c r="C40" i="22"/>
  <c r="B40" i="22"/>
  <c r="A40" i="22"/>
  <c r="F39" i="22"/>
  <c r="E39" i="22"/>
  <c r="D39" i="22"/>
  <c r="C39" i="22"/>
  <c r="B39" i="22"/>
  <c r="A39" i="22"/>
  <c r="F38" i="22"/>
  <c r="E38" i="22"/>
  <c r="D38" i="22"/>
  <c r="C38" i="22"/>
  <c r="B38" i="22"/>
  <c r="A38" i="22"/>
  <c r="F37" i="22"/>
  <c r="E37" i="22"/>
  <c r="D37" i="22"/>
  <c r="C37" i="22"/>
  <c r="B37" i="22"/>
  <c r="A37" i="22"/>
  <c r="F36" i="22"/>
  <c r="E36" i="22"/>
  <c r="D36" i="22"/>
  <c r="C36" i="22"/>
  <c r="B36" i="22"/>
  <c r="A36" i="22"/>
  <c r="F35" i="22"/>
  <c r="E35" i="22"/>
  <c r="D35" i="22"/>
  <c r="C35" i="22"/>
  <c r="B35" i="22"/>
  <c r="A35" i="22"/>
  <c r="F34" i="22"/>
  <c r="E34" i="22"/>
  <c r="D34" i="22"/>
  <c r="C34" i="22"/>
  <c r="B34" i="22"/>
  <c r="A34" i="22"/>
  <c r="F33" i="22"/>
  <c r="E33" i="22"/>
  <c r="D33" i="22"/>
  <c r="C33" i="22"/>
  <c r="B33" i="22"/>
  <c r="A33" i="22"/>
  <c r="F32" i="22"/>
  <c r="E32" i="22"/>
  <c r="D32" i="22"/>
  <c r="C32" i="22"/>
  <c r="B32" i="22"/>
  <c r="A32" i="22"/>
  <c r="F31" i="22"/>
  <c r="E31" i="22"/>
  <c r="D31" i="22"/>
  <c r="C31" i="22"/>
  <c r="B31" i="22"/>
  <c r="A31" i="22"/>
  <c r="F30" i="22"/>
  <c r="E30" i="22"/>
  <c r="D30" i="22"/>
  <c r="C30" i="22"/>
  <c r="B30" i="22"/>
  <c r="A30" i="22"/>
  <c r="F29" i="22"/>
  <c r="E29" i="22"/>
  <c r="D29" i="22"/>
  <c r="C29" i="22"/>
  <c r="B29" i="22"/>
  <c r="A29" i="22"/>
  <c r="F28" i="22"/>
  <c r="E28" i="22"/>
  <c r="D28" i="22"/>
  <c r="C28" i="22"/>
  <c r="B28" i="22"/>
  <c r="A28" i="22"/>
  <c r="F27" i="22"/>
  <c r="E27" i="22"/>
  <c r="D27" i="22"/>
  <c r="C27" i="22"/>
  <c r="B27" i="22"/>
  <c r="A27" i="22"/>
  <c r="F26" i="22"/>
  <c r="E26" i="22"/>
  <c r="D26" i="22"/>
  <c r="C26" i="22"/>
  <c r="B26" i="22"/>
  <c r="A26" i="22"/>
  <c r="F25" i="22"/>
  <c r="E25" i="22"/>
  <c r="D25" i="22"/>
  <c r="C25" i="22"/>
  <c r="B25" i="22"/>
  <c r="A25" i="22"/>
  <c r="F24" i="22"/>
  <c r="E24" i="22"/>
  <c r="D24" i="22"/>
  <c r="C24" i="22"/>
  <c r="B24" i="22"/>
  <c r="A24" i="22"/>
  <c r="F23" i="22"/>
  <c r="E23" i="22"/>
  <c r="D23" i="22"/>
  <c r="C23" i="22"/>
  <c r="B23" i="22"/>
  <c r="A23" i="22"/>
  <c r="F22" i="22"/>
  <c r="E22" i="22"/>
  <c r="D22" i="22"/>
  <c r="C22" i="22"/>
  <c r="B22" i="22"/>
  <c r="A22" i="22"/>
  <c r="F21" i="22"/>
  <c r="E21" i="22"/>
  <c r="D21" i="22"/>
  <c r="C21" i="22"/>
  <c r="B21" i="22"/>
  <c r="A21" i="22"/>
  <c r="F20" i="22"/>
  <c r="E20" i="22"/>
  <c r="D20" i="22"/>
  <c r="C20" i="22"/>
  <c r="B20" i="22"/>
  <c r="A20" i="22"/>
  <c r="F19" i="22"/>
  <c r="E19" i="22"/>
  <c r="D19" i="22"/>
  <c r="C19" i="22"/>
  <c r="B19" i="22"/>
  <c r="A19" i="22"/>
  <c r="F18" i="22"/>
  <c r="E18" i="22"/>
  <c r="D18" i="22"/>
  <c r="C18" i="22"/>
  <c r="B18" i="22"/>
  <c r="A18" i="22"/>
  <c r="F17" i="22"/>
  <c r="E17" i="22"/>
  <c r="D17" i="22"/>
  <c r="C17" i="22"/>
  <c r="B17" i="22"/>
  <c r="A17" i="22"/>
  <c r="F16" i="22"/>
  <c r="E16" i="22"/>
  <c r="D16" i="22"/>
  <c r="C16" i="22"/>
  <c r="B16" i="22"/>
  <c r="A16" i="22"/>
  <c r="F15" i="22"/>
  <c r="E15" i="22"/>
  <c r="D15" i="22"/>
  <c r="C15" i="22"/>
  <c r="B15" i="22"/>
  <c r="A15" i="22"/>
  <c r="F14" i="22"/>
  <c r="E14" i="22"/>
  <c r="D14" i="22"/>
  <c r="C14" i="22"/>
  <c r="B14" i="22"/>
  <c r="A14" i="22"/>
  <c r="F13" i="22"/>
  <c r="E13" i="22"/>
  <c r="D13" i="22"/>
  <c r="C13" i="22"/>
  <c r="B13" i="22"/>
  <c r="A13" i="22"/>
  <c r="F12" i="22"/>
  <c r="E12" i="22"/>
  <c r="D12" i="22"/>
  <c r="C12" i="22"/>
  <c r="B12" i="22"/>
  <c r="A12" i="22"/>
  <c r="F11" i="22"/>
  <c r="E11" i="22"/>
  <c r="D11" i="22"/>
  <c r="C11" i="22"/>
  <c r="B11" i="22"/>
  <c r="A11" i="22"/>
  <c r="F10" i="22"/>
  <c r="E10" i="22"/>
  <c r="D10" i="22"/>
  <c r="C10" i="22"/>
  <c r="B10" i="22"/>
  <c r="A10" i="22"/>
  <c r="F9" i="22"/>
  <c r="E9" i="22"/>
  <c r="D9" i="22"/>
  <c r="C9" i="22"/>
  <c r="B9" i="22"/>
  <c r="A9" i="22"/>
  <c r="F8" i="22"/>
  <c r="E8" i="22"/>
  <c r="D8" i="22"/>
  <c r="C8" i="22"/>
  <c r="B8" i="22"/>
  <c r="A8" i="22"/>
  <c r="F7" i="22"/>
  <c r="E7" i="22"/>
  <c r="D7" i="22"/>
  <c r="C7" i="22"/>
  <c r="B7" i="22"/>
  <c r="A7" i="22"/>
  <c r="F6" i="22"/>
  <c r="E6" i="22"/>
  <c r="D6" i="22"/>
  <c r="C6" i="22"/>
  <c r="B6" i="22"/>
  <c r="A6" i="22"/>
  <c r="F5" i="22"/>
  <c r="E5" i="22"/>
  <c r="D5" i="22"/>
  <c r="C5" i="22"/>
  <c r="B5" i="22"/>
  <c r="A5" i="22"/>
  <c r="B2" i="22"/>
  <c r="M2" i="22" l="1"/>
  <c r="CX124" i="22" l="1"/>
  <c r="CW124" i="22"/>
  <c r="CX123" i="22"/>
  <c r="CW123" i="22"/>
  <c r="CX122" i="22"/>
  <c r="CW122" i="22"/>
  <c r="CX121" i="22"/>
  <c r="CW121" i="22"/>
  <c r="CX120" i="22"/>
  <c r="CW120" i="22"/>
  <c r="CX119" i="22"/>
  <c r="CW119" i="22"/>
  <c r="CX118" i="22"/>
  <c r="CW118" i="22"/>
  <c r="CX117" i="22"/>
  <c r="CW117" i="22"/>
  <c r="CY119" i="22" l="1"/>
  <c r="CZ119" i="22"/>
  <c r="CY123" i="22"/>
  <c r="CZ123" i="22"/>
  <c r="DA123" i="22" s="1"/>
  <c r="CY118" i="22"/>
  <c r="CZ118" i="22"/>
  <c r="CZ120" i="22"/>
  <c r="CY120" i="22"/>
  <c r="CY122" i="22"/>
  <c r="CZ122" i="22"/>
  <c r="CZ124" i="22"/>
  <c r="CY124" i="22"/>
  <c r="CZ117" i="22"/>
  <c r="CY117" i="22"/>
  <c r="CZ121" i="22"/>
  <c r="CY121" i="22"/>
  <c r="CW94" i="22"/>
  <c r="CX94" i="22"/>
  <c r="CW95" i="22"/>
  <c r="CX95" i="22"/>
  <c r="CW96" i="22"/>
  <c r="CX96" i="22"/>
  <c r="CW97" i="22"/>
  <c r="CX97" i="22"/>
  <c r="CW98" i="22"/>
  <c r="CX98" i="22"/>
  <c r="CW99" i="22"/>
  <c r="CX99" i="22"/>
  <c r="CW100" i="22"/>
  <c r="CX100" i="22"/>
  <c r="CW101" i="22"/>
  <c r="CX101" i="22"/>
  <c r="CW102" i="22"/>
  <c r="CX102" i="22"/>
  <c r="CW88" i="22"/>
  <c r="CX88" i="22"/>
  <c r="CW89" i="22"/>
  <c r="CX89" i="22"/>
  <c r="CW90" i="22"/>
  <c r="CX90" i="22"/>
  <c r="CW91" i="22"/>
  <c r="CX91" i="22"/>
  <c r="CW92" i="22"/>
  <c r="CX92" i="22"/>
  <c r="CW93" i="22"/>
  <c r="CX93" i="22"/>
  <c r="CW103" i="22"/>
  <c r="CX103" i="22"/>
  <c r="CW104" i="22"/>
  <c r="CX104" i="22"/>
  <c r="CW105" i="22"/>
  <c r="CX105" i="22"/>
  <c r="CW106" i="22"/>
  <c r="CX106" i="22"/>
  <c r="CW107" i="22"/>
  <c r="CX107" i="22"/>
  <c r="CW108" i="22"/>
  <c r="CX108" i="22"/>
  <c r="CW109" i="22"/>
  <c r="CX109" i="22"/>
  <c r="CW110" i="22"/>
  <c r="CX110" i="22"/>
  <c r="CW111" i="22"/>
  <c r="CX111" i="22"/>
  <c r="CW112" i="22"/>
  <c r="CX112" i="22"/>
  <c r="CW113" i="22"/>
  <c r="CX113" i="22"/>
  <c r="CW114" i="22"/>
  <c r="CX114" i="22"/>
  <c r="CW115" i="22"/>
  <c r="CX115" i="22"/>
  <c r="CW116" i="22"/>
  <c r="CX116" i="22"/>
  <c r="CW125" i="22"/>
  <c r="CX125" i="22"/>
  <c r="CW126" i="22"/>
  <c r="CX126" i="22"/>
  <c r="CW127" i="22"/>
  <c r="CX127" i="22"/>
  <c r="CW128" i="22"/>
  <c r="CX128" i="22"/>
  <c r="CW129" i="22"/>
  <c r="CX129" i="22"/>
  <c r="CW130" i="22"/>
  <c r="CX130" i="22"/>
  <c r="CW131" i="22"/>
  <c r="CX131" i="22"/>
  <c r="CW132" i="22"/>
  <c r="CX132" i="22"/>
  <c r="CW133" i="22"/>
  <c r="CX133" i="22"/>
  <c r="CW134" i="22"/>
  <c r="CX134" i="22"/>
  <c r="CW135" i="22"/>
  <c r="CX135" i="22"/>
  <c r="CW136" i="22"/>
  <c r="CX136" i="22"/>
  <c r="CW137" i="22"/>
  <c r="CX137" i="22"/>
  <c r="CW138" i="22"/>
  <c r="CX138" i="22"/>
  <c r="CW139" i="22"/>
  <c r="CX139" i="22"/>
  <c r="CW140" i="22"/>
  <c r="CX140" i="22"/>
  <c r="CW141" i="22"/>
  <c r="CX141" i="22"/>
  <c r="CW142" i="22"/>
  <c r="CX142" i="22"/>
  <c r="CW143" i="22"/>
  <c r="CX143" i="22"/>
  <c r="CW144" i="22"/>
  <c r="CX144" i="22"/>
  <c r="CW145" i="22"/>
  <c r="CX145" i="22"/>
  <c r="CW146" i="22"/>
  <c r="CX146" i="22"/>
  <c r="CW147" i="22"/>
  <c r="CX147" i="22"/>
  <c r="CW148" i="22"/>
  <c r="CX148" i="22"/>
  <c r="CW149" i="22"/>
  <c r="CX149" i="22"/>
  <c r="CW150" i="22"/>
  <c r="CX150" i="22"/>
  <c r="CW151" i="22"/>
  <c r="CX151" i="22"/>
  <c r="CW152" i="22"/>
  <c r="CX152" i="22"/>
  <c r="CW153" i="22"/>
  <c r="CX153" i="22"/>
  <c r="CW154" i="22"/>
  <c r="CX154" i="22"/>
  <c r="CW155" i="22"/>
  <c r="CX155" i="22"/>
  <c r="CW156" i="22"/>
  <c r="CX156" i="22"/>
  <c r="CW157" i="22"/>
  <c r="CX157" i="22"/>
  <c r="CW158" i="22"/>
  <c r="CX158" i="22"/>
  <c r="CW159" i="22"/>
  <c r="CX159" i="22"/>
  <c r="CW160" i="22"/>
  <c r="CX160" i="22"/>
  <c r="CW161" i="22"/>
  <c r="CX161" i="22"/>
  <c r="CW162" i="22"/>
  <c r="CX162" i="22"/>
  <c r="CW163" i="22"/>
  <c r="CX163" i="22"/>
  <c r="CW164" i="22"/>
  <c r="CX164" i="22"/>
  <c r="CW165" i="22"/>
  <c r="CX165" i="22"/>
  <c r="CW166" i="22"/>
  <c r="CX166" i="22"/>
  <c r="CW167" i="22"/>
  <c r="CX167" i="22"/>
  <c r="CW168" i="22"/>
  <c r="CX168" i="22"/>
  <c r="CW169" i="22"/>
  <c r="CX169" i="22"/>
  <c r="CW170" i="22"/>
  <c r="CX170" i="22"/>
  <c r="CW171" i="22"/>
  <c r="CX171" i="22"/>
  <c r="CW172" i="22"/>
  <c r="CX172" i="22"/>
  <c r="CW173" i="22"/>
  <c r="CX173" i="22"/>
  <c r="CW174" i="22"/>
  <c r="CX174" i="22"/>
  <c r="CW175" i="22"/>
  <c r="CX175" i="22"/>
  <c r="CW176" i="22"/>
  <c r="CX176" i="22"/>
  <c r="CW177" i="22"/>
  <c r="CX177" i="22"/>
  <c r="CW178" i="22"/>
  <c r="CX178" i="22"/>
  <c r="CW179" i="22"/>
  <c r="CX179" i="22"/>
  <c r="CW180" i="22"/>
  <c r="CX180" i="22"/>
  <c r="CW181" i="22"/>
  <c r="CX181" i="22"/>
  <c r="CW182" i="22"/>
  <c r="CX182" i="22"/>
  <c r="CW183" i="22"/>
  <c r="CX183" i="22"/>
  <c r="CW184" i="22"/>
  <c r="CX184" i="22"/>
  <c r="CW185" i="22"/>
  <c r="CX185" i="22"/>
  <c r="CW186" i="22"/>
  <c r="CX186" i="22"/>
  <c r="CW187" i="22"/>
  <c r="CX187" i="22"/>
  <c r="CW188" i="22"/>
  <c r="CX188" i="22"/>
  <c r="CW189" i="22"/>
  <c r="CX189" i="22"/>
  <c r="CW190" i="22"/>
  <c r="CX190" i="22"/>
  <c r="CW191" i="22"/>
  <c r="CX191" i="22"/>
  <c r="CW192" i="22"/>
  <c r="CX192" i="22"/>
  <c r="CW193" i="22"/>
  <c r="CX193" i="22"/>
  <c r="CW194" i="22"/>
  <c r="CX194" i="22"/>
  <c r="CW195" i="22"/>
  <c r="CX195" i="22"/>
  <c r="CW196" i="22"/>
  <c r="CX196" i="22"/>
  <c r="CW197" i="22"/>
  <c r="CX197" i="22"/>
  <c r="CW198" i="22"/>
  <c r="CX198" i="22"/>
  <c r="CW199" i="22"/>
  <c r="CX199" i="22"/>
  <c r="CW200" i="22"/>
  <c r="CX200" i="22"/>
  <c r="CW201" i="22"/>
  <c r="CX201" i="22"/>
  <c r="CW202" i="22"/>
  <c r="CX202" i="22"/>
  <c r="CW203" i="22"/>
  <c r="CX203" i="22"/>
  <c r="CW204" i="22"/>
  <c r="CX204" i="22"/>
  <c r="CW205" i="22"/>
  <c r="CX205" i="22"/>
  <c r="CW206" i="22"/>
  <c r="CX206" i="22"/>
  <c r="CW207" i="22"/>
  <c r="CX207" i="22"/>
  <c r="CW208" i="22"/>
  <c r="CX208" i="22"/>
  <c r="CW209" i="22"/>
  <c r="CX209" i="22"/>
  <c r="CW210" i="22"/>
  <c r="CX210" i="22"/>
  <c r="CW211" i="22"/>
  <c r="CX211" i="22"/>
  <c r="CW212" i="22"/>
  <c r="CX212" i="22"/>
  <c r="CW213" i="22"/>
  <c r="CX213" i="22"/>
  <c r="CW214" i="22"/>
  <c r="CX214" i="22"/>
  <c r="CW215" i="22"/>
  <c r="CX215" i="22"/>
  <c r="CW216" i="22"/>
  <c r="CX216" i="22"/>
  <c r="CW217" i="22"/>
  <c r="CX217" i="22"/>
  <c r="CW218" i="22"/>
  <c r="CX218" i="22"/>
  <c r="CW219" i="22"/>
  <c r="CX219" i="22"/>
  <c r="CW220" i="22"/>
  <c r="CX220" i="22"/>
  <c r="CW221" i="22"/>
  <c r="CX221" i="22"/>
  <c r="CW222" i="22"/>
  <c r="CX222" i="22"/>
  <c r="CW223" i="22"/>
  <c r="CX223" i="22"/>
  <c r="CW224" i="22"/>
  <c r="CX224" i="22"/>
  <c r="CW225" i="22"/>
  <c r="CX225" i="22"/>
  <c r="CW226" i="22"/>
  <c r="CX226" i="22"/>
  <c r="CW227" i="22"/>
  <c r="CX227" i="22"/>
  <c r="CW228" i="22"/>
  <c r="CX228" i="22"/>
  <c r="CW229" i="22"/>
  <c r="CX229" i="22"/>
  <c r="CW230" i="22"/>
  <c r="CX230" i="22"/>
  <c r="CW231" i="22"/>
  <c r="CX231" i="22"/>
  <c r="CW232" i="22"/>
  <c r="CX232" i="22"/>
  <c r="CW233" i="22"/>
  <c r="CX233" i="22"/>
  <c r="CW234" i="22"/>
  <c r="CX234" i="22"/>
  <c r="CW235" i="22"/>
  <c r="CX235" i="22"/>
  <c r="CW236" i="22"/>
  <c r="CX236" i="22"/>
  <c r="CW237" i="22"/>
  <c r="CX237" i="22"/>
  <c r="CW238" i="22"/>
  <c r="CX238" i="22"/>
  <c r="CW239" i="22"/>
  <c r="CX239" i="22"/>
  <c r="CW240" i="22"/>
  <c r="CX240" i="22"/>
  <c r="CW241" i="22"/>
  <c r="CX241" i="22"/>
  <c r="CW242" i="22"/>
  <c r="CX242" i="22"/>
  <c r="CW243" i="22"/>
  <c r="CX243" i="22"/>
  <c r="CW244" i="22"/>
  <c r="CX244" i="22"/>
  <c r="CW245" i="22"/>
  <c r="CX245" i="22"/>
  <c r="CW246" i="22"/>
  <c r="CX246" i="22"/>
  <c r="CW247" i="22"/>
  <c r="CX247" i="22"/>
  <c r="CW248" i="22"/>
  <c r="CX248" i="22"/>
  <c r="CW249" i="22"/>
  <c r="CX249" i="22"/>
  <c r="CW250" i="22"/>
  <c r="CX250" i="22"/>
  <c r="CW251" i="22"/>
  <c r="CX251" i="22"/>
  <c r="CW252" i="22"/>
  <c r="CX252" i="22"/>
  <c r="CW253" i="22"/>
  <c r="CX253" i="22"/>
  <c r="CW254" i="22"/>
  <c r="CX254" i="22"/>
  <c r="CW255" i="22"/>
  <c r="CX255" i="22"/>
  <c r="CW256" i="22"/>
  <c r="CX256" i="22"/>
  <c r="CW257" i="22"/>
  <c r="CX257" i="22"/>
  <c r="CW258" i="22"/>
  <c r="CX258" i="22"/>
  <c r="CW259" i="22"/>
  <c r="CX259" i="22"/>
  <c r="CW260" i="22"/>
  <c r="CX260" i="22"/>
  <c r="CW261" i="22"/>
  <c r="CX261" i="22"/>
  <c r="CW262" i="22"/>
  <c r="CX262" i="22"/>
  <c r="CW263" i="22"/>
  <c r="CX263" i="22"/>
  <c r="CW264" i="22"/>
  <c r="CX264" i="22"/>
  <c r="CW265" i="22"/>
  <c r="CX265" i="22"/>
  <c r="CW266" i="22"/>
  <c r="CX266" i="22"/>
  <c r="CW267" i="22"/>
  <c r="CX267" i="22"/>
  <c r="CW268" i="22"/>
  <c r="CX268" i="22"/>
  <c r="CW269" i="22"/>
  <c r="CX269" i="22"/>
  <c r="CW270" i="22"/>
  <c r="CX270" i="22"/>
  <c r="CW271" i="22"/>
  <c r="CX271" i="22"/>
  <c r="CW272" i="22"/>
  <c r="CX272" i="22"/>
  <c r="CW273" i="22"/>
  <c r="CX273" i="22"/>
  <c r="CW274" i="22"/>
  <c r="CX274" i="22"/>
  <c r="CW80" i="22"/>
  <c r="CX80" i="22"/>
  <c r="CW81" i="22"/>
  <c r="CX81" i="22"/>
  <c r="CW82" i="22"/>
  <c r="CX82" i="22"/>
  <c r="CW83" i="22"/>
  <c r="CX83" i="22"/>
  <c r="CW84" i="22"/>
  <c r="CX84" i="22"/>
  <c r="CW85" i="22"/>
  <c r="CX85" i="22"/>
  <c r="CW86" i="22"/>
  <c r="CX86" i="22"/>
  <c r="CW87" i="22"/>
  <c r="CX87" i="22"/>
  <c r="DA118" i="22" l="1"/>
  <c r="DA119" i="22"/>
  <c r="DC123" i="22"/>
  <c r="DA122" i="22"/>
  <c r="DC118" i="22"/>
  <c r="DC119" i="22"/>
  <c r="DB123" i="22"/>
  <c r="DD123" i="22" s="1"/>
  <c r="DB122" i="22"/>
  <c r="DD122" i="22" s="1"/>
  <c r="DB118" i="22"/>
  <c r="DD118" i="22" s="1"/>
  <c r="DB119" i="22"/>
  <c r="DD119" i="22" s="1"/>
  <c r="CZ84" i="22"/>
  <c r="CY84" i="22"/>
  <c r="CZ80" i="22"/>
  <c r="CY80" i="22"/>
  <c r="CZ271" i="22"/>
  <c r="CY271" i="22"/>
  <c r="CZ267" i="22"/>
  <c r="CY267" i="22"/>
  <c r="CY263" i="22"/>
  <c r="CZ263" i="22"/>
  <c r="CZ259" i="22"/>
  <c r="CY259" i="22"/>
  <c r="CZ255" i="22"/>
  <c r="CY255" i="22"/>
  <c r="CZ251" i="22"/>
  <c r="CY251" i="22"/>
  <c r="CY247" i="22"/>
  <c r="CZ247" i="22"/>
  <c r="CZ243" i="22"/>
  <c r="CY243" i="22"/>
  <c r="CZ239" i="22"/>
  <c r="CY239" i="22"/>
  <c r="CZ235" i="22"/>
  <c r="CY235" i="22"/>
  <c r="CY231" i="22"/>
  <c r="CZ231" i="22"/>
  <c r="CZ227" i="22"/>
  <c r="CY227" i="22"/>
  <c r="CZ223" i="22"/>
  <c r="CY223" i="22"/>
  <c r="CZ219" i="22"/>
  <c r="CY219" i="22"/>
  <c r="CY215" i="22"/>
  <c r="CZ215" i="22"/>
  <c r="CZ211" i="22"/>
  <c r="CY211" i="22"/>
  <c r="CZ207" i="22"/>
  <c r="CY207" i="22"/>
  <c r="CZ203" i="22"/>
  <c r="CY203" i="22"/>
  <c r="CY199" i="22"/>
  <c r="CZ199" i="22"/>
  <c r="CY195" i="22"/>
  <c r="CZ195" i="22"/>
  <c r="CY191" i="22"/>
  <c r="CZ191" i="22"/>
  <c r="CZ189" i="22"/>
  <c r="CY189" i="22"/>
  <c r="CZ185" i="22"/>
  <c r="CY185" i="22"/>
  <c r="CZ181" i="22"/>
  <c r="CY181" i="22"/>
  <c r="CZ177" i="22"/>
  <c r="CY177" i="22"/>
  <c r="CZ173" i="22"/>
  <c r="CY173" i="22"/>
  <c r="CZ169" i="22"/>
  <c r="CY169" i="22"/>
  <c r="CZ165" i="22"/>
  <c r="CY165" i="22"/>
  <c r="CZ161" i="22"/>
  <c r="CY161" i="22"/>
  <c r="CZ157" i="22"/>
  <c r="CY157" i="22"/>
  <c r="CZ153" i="22"/>
  <c r="CY153" i="22"/>
  <c r="CZ149" i="22"/>
  <c r="CY149" i="22"/>
  <c r="CZ145" i="22"/>
  <c r="CY145" i="22"/>
  <c r="CZ141" i="22"/>
  <c r="CY141" i="22"/>
  <c r="CZ137" i="22"/>
  <c r="CY137" i="22"/>
  <c r="CZ133" i="22"/>
  <c r="CY133" i="22"/>
  <c r="CY131" i="22"/>
  <c r="CZ131" i="22"/>
  <c r="CY127" i="22"/>
  <c r="CZ127" i="22"/>
  <c r="CY115" i="22"/>
  <c r="CZ115" i="22"/>
  <c r="CY111" i="22"/>
  <c r="CZ111" i="22"/>
  <c r="CY107" i="22"/>
  <c r="CZ107" i="22"/>
  <c r="CZ103" i="22"/>
  <c r="CY103" i="22"/>
  <c r="CZ90" i="22"/>
  <c r="CY90" i="22"/>
  <c r="CZ101" i="22"/>
  <c r="CY101" i="22"/>
  <c r="CZ97" i="22"/>
  <c r="CY97" i="22"/>
  <c r="CZ95" i="22"/>
  <c r="CY95" i="22"/>
  <c r="DA124" i="22"/>
  <c r="CZ86" i="22"/>
  <c r="CY86" i="22"/>
  <c r="CZ82" i="22"/>
  <c r="CY82" i="22"/>
  <c r="CZ273" i="22"/>
  <c r="CY273" i="22"/>
  <c r="CZ269" i="22"/>
  <c r="CY269" i="22"/>
  <c r="CZ265" i="22"/>
  <c r="CY265" i="22"/>
  <c r="CZ261" i="22"/>
  <c r="CY261" i="22"/>
  <c r="CZ257" i="22"/>
  <c r="CY257" i="22"/>
  <c r="CZ253" i="22"/>
  <c r="DA253" i="22" s="1"/>
  <c r="CY253" i="22"/>
  <c r="CZ249" i="22"/>
  <c r="CY249" i="22"/>
  <c r="CZ245" i="22"/>
  <c r="DA245" i="22" s="1"/>
  <c r="CY245" i="22"/>
  <c r="CZ241" i="22"/>
  <c r="CY241" i="22"/>
  <c r="CZ237" i="22"/>
  <c r="DA237" i="22" s="1"/>
  <c r="CY237" i="22"/>
  <c r="CZ233" i="22"/>
  <c r="CY233" i="22"/>
  <c r="CZ229" i="22"/>
  <c r="DA229" i="22" s="1"/>
  <c r="CY229" i="22"/>
  <c r="CZ225" i="22"/>
  <c r="CY225" i="22"/>
  <c r="CZ221" i="22"/>
  <c r="DA221" i="22" s="1"/>
  <c r="CY221" i="22"/>
  <c r="CZ217" i="22"/>
  <c r="CY217" i="22"/>
  <c r="CZ213" i="22"/>
  <c r="DA213" i="22" s="1"/>
  <c r="CY213" i="22"/>
  <c r="CZ209" i="22"/>
  <c r="CY209" i="22"/>
  <c r="CZ205" i="22"/>
  <c r="DA205" i="22" s="1"/>
  <c r="CY205" i="22"/>
  <c r="CZ201" i="22"/>
  <c r="CY201" i="22"/>
  <c r="CZ197" i="22"/>
  <c r="DA197" i="22" s="1"/>
  <c r="CY197" i="22"/>
  <c r="CZ193" i="22"/>
  <c r="CY193" i="22"/>
  <c r="CY187" i="22"/>
  <c r="CZ187" i="22"/>
  <c r="CY183" i="22"/>
  <c r="CZ183" i="22"/>
  <c r="CY179" i="22"/>
  <c r="CZ179" i="22"/>
  <c r="CY175" i="22"/>
  <c r="CZ175" i="22"/>
  <c r="CY171" i="22"/>
  <c r="CZ171" i="22"/>
  <c r="CY167" i="22"/>
  <c r="CZ167" i="22"/>
  <c r="CY163" i="22"/>
  <c r="CZ163" i="22"/>
  <c r="CY159" i="22"/>
  <c r="CZ159" i="22"/>
  <c r="CY155" i="22"/>
  <c r="CZ155" i="22"/>
  <c r="CY151" i="22"/>
  <c r="CZ151" i="22"/>
  <c r="CY147" i="22"/>
  <c r="CZ147" i="22"/>
  <c r="CY143" i="22"/>
  <c r="CZ143" i="22"/>
  <c r="CY139" i="22"/>
  <c r="CZ139" i="22"/>
  <c r="CY135" i="22"/>
  <c r="CZ135" i="22"/>
  <c r="CZ129" i="22"/>
  <c r="DA129" i="22" s="1"/>
  <c r="CY129" i="22"/>
  <c r="CZ125" i="22"/>
  <c r="CY125" i="22"/>
  <c r="CZ113" i="22"/>
  <c r="DA113" i="22" s="1"/>
  <c r="CY113" i="22"/>
  <c r="CZ109" i="22"/>
  <c r="CY109" i="22"/>
  <c r="CZ105" i="22"/>
  <c r="DA105" i="22" s="1"/>
  <c r="CY105" i="22"/>
  <c r="CZ92" i="22"/>
  <c r="CY92" i="22"/>
  <c r="CZ88" i="22"/>
  <c r="DA88" i="22" s="1"/>
  <c r="CY88" i="22"/>
  <c r="CY99" i="22"/>
  <c r="CZ99" i="22"/>
  <c r="DA121" i="22"/>
  <c r="DA120" i="22"/>
  <c r="CZ87" i="22"/>
  <c r="CY87" i="22"/>
  <c r="CZ85" i="22"/>
  <c r="DA85" i="22" s="1"/>
  <c r="CY85" i="22"/>
  <c r="CY83" i="22"/>
  <c r="CZ83" i="22"/>
  <c r="CZ81" i="22"/>
  <c r="DA81" i="22" s="1"/>
  <c r="CY81" i="22"/>
  <c r="CZ274" i="22"/>
  <c r="CY274" i="22"/>
  <c r="CZ272" i="22"/>
  <c r="DA272" i="22" s="1"/>
  <c r="CY272" i="22"/>
  <c r="CZ270" i="22"/>
  <c r="CY270" i="22"/>
  <c r="CZ268" i="22"/>
  <c r="DA268" i="22" s="1"/>
  <c r="CY268" i="22"/>
  <c r="CZ266" i="22"/>
  <c r="CY266" i="22"/>
  <c r="CZ264" i="22"/>
  <c r="DA264" i="22" s="1"/>
  <c r="CY264" i="22"/>
  <c r="CY262" i="22"/>
  <c r="CZ262" i="22"/>
  <c r="CZ260" i="22"/>
  <c r="DA260" i="22" s="1"/>
  <c r="CY260" i="22"/>
  <c r="CZ258" i="22"/>
  <c r="CY258" i="22"/>
  <c r="CZ256" i="22"/>
  <c r="DA256" i="22" s="1"/>
  <c r="CY256" i="22"/>
  <c r="CZ254" i="22"/>
  <c r="CY254" i="22"/>
  <c r="CZ252" i="22"/>
  <c r="DA252" i="22" s="1"/>
  <c r="CY252" i="22"/>
  <c r="CZ250" i="22"/>
  <c r="CY250" i="22"/>
  <c r="CZ248" i="22"/>
  <c r="DA248" i="22" s="1"/>
  <c r="CY248" i="22"/>
  <c r="CY246" i="22"/>
  <c r="CZ246" i="22"/>
  <c r="CZ244" i="22"/>
  <c r="DA244" i="22" s="1"/>
  <c r="CY244" i="22"/>
  <c r="CZ242" i="22"/>
  <c r="CY242" i="22"/>
  <c r="CZ240" i="22"/>
  <c r="DA240" i="22" s="1"/>
  <c r="CY240" i="22"/>
  <c r="CZ238" i="22"/>
  <c r="CY238" i="22"/>
  <c r="CZ236" i="22"/>
  <c r="DA236" i="22" s="1"/>
  <c r="CY236" i="22"/>
  <c r="CZ234" i="22"/>
  <c r="CY234" i="22"/>
  <c r="CZ232" i="22"/>
  <c r="DA232" i="22" s="1"/>
  <c r="CY232" i="22"/>
  <c r="CY230" i="22"/>
  <c r="CZ230" i="22"/>
  <c r="CZ228" i="22"/>
  <c r="DA228" i="22" s="1"/>
  <c r="CY228" i="22"/>
  <c r="CZ226" i="22"/>
  <c r="CY226" i="22"/>
  <c r="CZ224" i="22"/>
  <c r="DA224" i="22" s="1"/>
  <c r="CY224" i="22"/>
  <c r="CZ222" i="22"/>
  <c r="CY222" i="22"/>
  <c r="CZ220" i="22"/>
  <c r="DA220" i="22" s="1"/>
  <c r="CY220" i="22"/>
  <c r="CZ218" i="22"/>
  <c r="CY218" i="22"/>
  <c r="CZ216" i="22"/>
  <c r="DA216" i="22" s="1"/>
  <c r="CY216" i="22"/>
  <c r="CY214" i="22"/>
  <c r="CZ214" i="22"/>
  <c r="CZ212" i="22"/>
  <c r="DA212" i="22" s="1"/>
  <c r="CY212" i="22"/>
  <c r="CZ210" i="22"/>
  <c r="CY210" i="22"/>
  <c r="CZ208" i="22"/>
  <c r="DA208" i="22" s="1"/>
  <c r="CY208" i="22"/>
  <c r="CZ206" i="22"/>
  <c r="CY206" i="22"/>
  <c r="CZ204" i="22"/>
  <c r="DA204" i="22" s="1"/>
  <c r="CY204" i="22"/>
  <c r="CZ202" i="22"/>
  <c r="CY202" i="22"/>
  <c r="CZ200" i="22"/>
  <c r="DA200" i="22" s="1"/>
  <c r="CY200" i="22"/>
  <c r="CY198" i="22"/>
  <c r="CZ198" i="22"/>
  <c r="CZ196" i="22"/>
  <c r="DA196" i="22" s="1"/>
  <c r="CY196" i="22"/>
  <c r="CY194" i="22"/>
  <c r="CZ194" i="22"/>
  <c r="CZ192" i="22"/>
  <c r="DA192" i="22" s="1"/>
  <c r="CY192" i="22"/>
  <c r="CY190" i="22"/>
  <c r="CZ190" i="22"/>
  <c r="CZ188" i="22"/>
  <c r="DA188" i="22" s="1"/>
  <c r="CY188" i="22"/>
  <c r="CY186" i="22"/>
  <c r="CZ186" i="22"/>
  <c r="CZ184" i="22"/>
  <c r="DA184" i="22" s="1"/>
  <c r="CY184" i="22"/>
  <c r="CY182" i="22"/>
  <c r="CZ182" i="22"/>
  <c r="CZ180" i="22"/>
  <c r="DA180" i="22" s="1"/>
  <c r="CY180" i="22"/>
  <c r="CY178" i="22"/>
  <c r="CZ178" i="22"/>
  <c r="CZ176" i="22"/>
  <c r="DA176" i="22" s="1"/>
  <c r="CY176" i="22"/>
  <c r="CY174" i="22"/>
  <c r="CZ174" i="22"/>
  <c r="CZ172" i="22"/>
  <c r="DA172" i="22" s="1"/>
  <c r="CY172" i="22"/>
  <c r="CY170" i="22"/>
  <c r="CZ170" i="22"/>
  <c r="CZ168" i="22"/>
  <c r="DA168" i="22" s="1"/>
  <c r="CY168" i="22"/>
  <c r="CY166" i="22"/>
  <c r="CZ166" i="22"/>
  <c r="CZ164" i="22"/>
  <c r="DA164" i="22" s="1"/>
  <c r="CY164" i="22"/>
  <c r="CY162" i="22"/>
  <c r="CZ162" i="22"/>
  <c r="CZ160" i="22"/>
  <c r="DA160" i="22" s="1"/>
  <c r="CY160" i="22"/>
  <c r="CY158" i="22"/>
  <c r="CZ158" i="22"/>
  <c r="CZ156" i="22"/>
  <c r="DA156" i="22" s="1"/>
  <c r="CY156" i="22"/>
  <c r="CY154" i="22"/>
  <c r="CZ154" i="22"/>
  <c r="CZ152" i="22"/>
  <c r="DA152" i="22" s="1"/>
  <c r="CY152" i="22"/>
  <c r="CY150" i="22"/>
  <c r="CZ150" i="22"/>
  <c r="CZ148" i="22"/>
  <c r="DA148" i="22" s="1"/>
  <c r="CY148" i="22"/>
  <c r="CY146" i="22"/>
  <c r="CZ146" i="22"/>
  <c r="CZ144" i="22"/>
  <c r="DA144" i="22" s="1"/>
  <c r="CY144" i="22"/>
  <c r="CY142" i="22"/>
  <c r="CZ142" i="22"/>
  <c r="CZ140" i="22"/>
  <c r="DA140" i="22" s="1"/>
  <c r="CY140" i="22"/>
  <c r="CY138" i="22"/>
  <c r="CZ138" i="22"/>
  <c r="CZ136" i="22"/>
  <c r="DA136" i="22" s="1"/>
  <c r="CY136" i="22"/>
  <c r="CY134" i="22"/>
  <c r="CZ134" i="22"/>
  <c r="CZ132" i="22"/>
  <c r="DA132" i="22" s="1"/>
  <c r="CY132" i="22"/>
  <c r="CY130" i="22"/>
  <c r="CZ130" i="22"/>
  <c r="CZ128" i="22"/>
  <c r="DA128" i="22" s="1"/>
  <c r="CY128" i="22"/>
  <c r="CY126" i="22"/>
  <c r="CZ126" i="22"/>
  <c r="CZ116" i="22"/>
  <c r="DA116" i="22" s="1"/>
  <c r="CY116" i="22"/>
  <c r="CY114" i="22"/>
  <c r="CZ114" i="22"/>
  <c r="CZ112" i="22"/>
  <c r="DA112" i="22" s="1"/>
  <c r="CY112" i="22"/>
  <c r="CY110" i="22"/>
  <c r="CZ110" i="22"/>
  <c r="CZ108" i="22"/>
  <c r="DA108" i="22" s="1"/>
  <c r="CY108" i="22"/>
  <c r="CZ106" i="22"/>
  <c r="CY106" i="22"/>
  <c r="CZ104" i="22"/>
  <c r="DA104" i="22" s="1"/>
  <c r="CY104" i="22"/>
  <c r="CZ93" i="22"/>
  <c r="CY93" i="22"/>
  <c r="CZ91" i="22"/>
  <c r="DA91" i="22" s="1"/>
  <c r="CY91" i="22"/>
  <c r="CZ89" i="22"/>
  <c r="CY89" i="22"/>
  <c r="CZ102" i="22"/>
  <c r="DA102" i="22" s="1"/>
  <c r="CY102" i="22"/>
  <c r="CZ100" i="22"/>
  <c r="CY100" i="22"/>
  <c r="CZ98" i="22"/>
  <c r="DA98" i="22" s="1"/>
  <c r="CY98" i="22"/>
  <c r="CZ96" i="22"/>
  <c r="CY96" i="22"/>
  <c r="CZ94" i="22"/>
  <c r="DA94" i="22" s="1"/>
  <c r="CY94" i="22"/>
  <c r="DA117" i="22"/>
  <c r="CX300" i="22"/>
  <c r="CW300" i="22"/>
  <c r="CX299" i="22"/>
  <c r="CW299" i="22"/>
  <c r="CX298" i="22"/>
  <c r="CW298" i="22"/>
  <c r="CX297" i="22"/>
  <c r="CW297" i="22"/>
  <c r="CX296" i="22"/>
  <c r="CW296" i="22"/>
  <c r="CX295" i="22"/>
  <c r="CW295" i="22"/>
  <c r="CX294" i="22"/>
  <c r="CW294" i="22"/>
  <c r="CX293" i="22"/>
  <c r="CW293" i="22"/>
  <c r="CX292" i="22"/>
  <c r="CW292" i="22"/>
  <c r="CX291" i="22"/>
  <c r="CW291" i="22"/>
  <c r="CX290" i="22"/>
  <c r="CW290" i="22"/>
  <c r="CX289" i="22"/>
  <c r="CW289" i="22"/>
  <c r="CX288" i="22"/>
  <c r="CW288" i="22"/>
  <c r="CX287" i="22"/>
  <c r="CW287" i="22"/>
  <c r="CX286" i="22"/>
  <c r="CW286" i="22"/>
  <c r="CX285" i="22"/>
  <c r="CW285" i="22"/>
  <c r="CX284" i="22"/>
  <c r="CW284" i="22"/>
  <c r="CX283" i="22"/>
  <c r="CW283" i="22"/>
  <c r="CX282" i="22"/>
  <c r="CW282" i="22"/>
  <c r="CX281" i="22"/>
  <c r="CW281" i="22"/>
  <c r="CX280" i="22"/>
  <c r="CW280" i="22"/>
  <c r="CX279" i="22"/>
  <c r="CW279" i="22"/>
  <c r="CX278" i="22"/>
  <c r="CW278" i="22"/>
  <c r="CX277" i="22"/>
  <c r="CW277" i="22"/>
  <c r="CX276" i="22"/>
  <c r="CW276" i="22"/>
  <c r="CX275" i="22"/>
  <c r="CW275" i="22"/>
  <c r="CX79" i="22"/>
  <c r="CW79" i="22"/>
  <c r="CX78" i="22"/>
  <c r="CW78" i="22"/>
  <c r="CX77" i="22"/>
  <c r="CW77" i="22"/>
  <c r="CX76" i="22"/>
  <c r="CW76" i="22"/>
  <c r="CX75" i="22"/>
  <c r="CW75" i="22"/>
  <c r="CX74" i="22"/>
  <c r="CW74" i="22"/>
  <c r="CX73" i="22"/>
  <c r="CW73" i="22"/>
  <c r="CX72" i="22"/>
  <c r="CW72" i="22"/>
  <c r="CX71" i="22"/>
  <c r="CW71" i="22"/>
  <c r="CX70" i="22"/>
  <c r="CW70" i="22"/>
  <c r="CX69" i="22"/>
  <c r="CW69" i="22"/>
  <c r="CX68" i="22"/>
  <c r="CW68" i="22"/>
  <c r="CX67" i="22"/>
  <c r="CW67" i="22"/>
  <c r="CX66" i="22"/>
  <c r="CW66" i="22"/>
  <c r="CX65" i="22"/>
  <c r="CW65" i="22"/>
  <c r="CX64" i="22"/>
  <c r="CW64" i="22"/>
  <c r="CX63" i="22"/>
  <c r="CW63" i="22"/>
  <c r="CX62" i="22"/>
  <c r="CW62" i="22"/>
  <c r="CX61" i="22"/>
  <c r="CW61" i="22"/>
  <c r="CX60" i="22"/>
  <c r="CW60" i="22"/>
  <c r="CX59" i="22"/>
  <c r="CW59" i="22"/>
  <c r="CX58" i="22"/>
  <c r="CW58" i="22"/>
  <c r="CX57" i="22"/>
  <c r="CW57" i="22"/>
  <c r="CX56" i="22"/>
  <c r="CW56" i="22"/>
  <c r="CX55" i="22"/>
  <c r="CW55" i="22"/>
  <c r="CX54" i="22"/>
  <c r="CW54" i="22"/>
  <c r="CX53" i="22"/>
  <c r="CW53" i="22"/>
  <c r="CX52" i="22"/>
  <c r="CW52" i="22"/>
  <c r="CX51" i="22"/>
  <c r="CW51" i="22"/>
  <c r="CX50" i="22"/>
  <c r="CW50" i="22"/>
  <c r="CX49" i="22"/>
  <c r="CW49" i="22"/>
  <c r="CX48" i="22"/>
  <c r="CW48" i="22"/>
  <c r="CX47" i="22"/>
  <c r="CW47" i="22"/>
  <c r="CX46" i="22"/>
  <c r="CW46" i="22"/>
  <c r="CX45" i="22"/>
  <c r="CW45" i="22"/>
  <c r="CX44" i="22"/>
  <c r="CW44" i="22"/>
  <c r="CX43" i="22"/>
  <c r="CW43" i="22"/>
  <c r="CX42" i="22"/>
  <c r="CW42" i="22"/>
  <c r="CX41" i="22"/>
  <c r="CW41" i="22"/>
  <c r="CX40" i="22"/>
  <c r="CW40" i="22"/>
  <c r="CX39" i="22"/>
  <c r="CW39" i="22"/>
  <c r="CX38" i="22"/>
  <c r="CW38" i="22"/>
  <c r="CX37" i="22"/>
  <c r="CW37" i="22"/>
  <c r="CX36" i="22"/>
  <c r="CW36" i="22"/>
  <c r="CX35" i="22"/>
  <c r="CW35" i="22"/>
  <c r="CX34" i="22"/>
  <c r="CW34" i="22"/>
  <c r="CX33" i="22"/>
  <c r="CW33" i="22"/>
  <c r="CX32" i="22"/>
  <c r="CW32" i="22"/>
  <c r="CX31" i="22"/>
  <c r="CW31" i="22"/>
  <c r="CX30" i="22"/>
  <c r="CW30" i="22"/>
  <c r="CX29" i="22"/>
  <c r="CW29" i="22"/>
  <c r="CX28" i="22"/>
  <c r="CW28" i="22"/>
  <c r="CX27" i="22"/>
  <c r="CW27" i="22"/>
  <c r="CX26" i="22"/>
  <c r="CW26" i="22"/>
  <c r="CX25" i="22"/>
  <c r="CW25" i="22"/>
  <c r="CX24" i="22"/>
  <c r="CW24" i="22"/>
  <c r="CX23" i="22"/>
  <c r="CW23" i="22"/>
  <c r="CX22" i="22"/>
  <c r="CW22" i="22"/>
  <c r="CX21" i="22"/>
  <c r="CW21" i="22"/>
  <c r="CX20" i="22"/>
  <c r="CW20" i="22"/>
  <c r="CX19" i="22"/>
  <c r="CW19" i="22"/>
  <c r="CX18" i="22"/>
  <c r="CW18" i="22"/>
  <c r="CX17" i="22"/>
  <c r="CW17" i="22"/>
  <c r="CX16" i="22"/>
  <c r="CW16" i="22"/>
  <c r="CX15" i="22"/>
  <c r="CW15" i="22"/>
  <c r="CX14" i="22"/>
  <c r="CW14" i="22"/>
  <c r="CX13" i="22"/>
  <c r="CW13" i="22"/>
  <c r="CX12" i="22"/>
  <c r="CW12" i="22"/>
  <c r="CX11" i="22"/>
  <c r="CW11" i="22"/>
  <c r="CX10" i="22"/>
  <c r="CW10" i="22"/>
  <c r="CX9" i="22"/>
  <c r="CW9" i="22"/>
  <c r="CX8" i="22"/>
  <c r="CW8" i="22"/>
  <c r="BO8" i="22"/>
  <c r="BN8" i="22"/>
  <c r="CX7" i="22"/>
  <c r="CW7" i="22"/>
  <c r="CX6" i="22"/>
  <c r="CW6" i="22"/>
  <c r="CX5" i="22"/>
  <c r="CW5" i="22"/>
  <c r="CX4" i="22"/>
  <c r="CW4" i="22"/>
  <c r="CX3" i="22"/>
  <c r="CW3" i="22"/>
  <c r="CX2" i="22"/>
  <c r="CW2" i="22"/>
  <c r="CY2" i="22" s="1"/>
  <c r="DA261" i="22" l="1"/>
  <c r="DA269" i="22"/>
  <c r="DA82" i="22"/>
  <c r="DC82" i="22" s="1"/>
  <c r="CZ2" i="22"/>
  <c r="DA107" i="22"/>
  <c r="DA115" i="22"/>
  <c r="DC115" i="22" s="1"/>
  <c r="DA131" i="22"/>
  <c r="DC131" i="22" s="1"/>
  <c r="DA191" i="22"/>
  <c r="DC191" i="22" s="1"/>
  <c r="DA199" i="22"/>
  <c r="DA215" i="22"/>
  <c r="DC215" i="22" s="1"/>
  <c r="DA231" i="22"/>
  <c r="DC231" i="22" s="1"/>
  <c r="DA247" i="22"/>
  <c r="DC247" i="22" s="1"/>
  <c r="DC120" i="22"/>
  <c r="DC124" i="22"/>
  <c r="DC94" i="22"/>
  <c r="DC98" i="22"/>
  <c r="DC102" i="22"/>
  <c r="DC91" i="22"/>
  <c r="DC104" i="22"/>
  <c r="DC108" i="22"/>
  <c r="DC112" i="22"/>
  <c r="DC116" i="22"/>
  <c r="DC128" i="22"/>
  <c r="DC132" i="22"/>
  <c r="DC136" i="22"/>
  <c r="DC140" i="22"/>
  <c r="DC144" i="22"/>
  <c r="DC148" i="22"/>
  <c r="DC152" i="22"/>
  <c r="DC156" i="22"/>
  <c r="DC160" i="22"/>
  <c r="DC164" i="22"/>
  <c r="DC168" i="22"/>
  <c r="DC172" i="22"/>
  <c r="DC176" i="22"/>
  <c r="DC180" i="22"/>
  <c r="DC184" i="22"/>
  <c r="DC188" i="22"/>
  <c r="DC192" i="22"/>
  <c r="DC196" i="22"/>
  <c r="DC200" i="22"/>
  <c r="DC204" i="22"/>
  <c r="DC208" i="22"/>
  <c r="DC212" i="22"/>
  <c r="DC216" i="22"/>
  <c r="DC220" i="22"/>
  <c r="DC224" i="22"/>
  <c r="DC228" i="22"/>
  <c r="DC232" i="22"/>
  <c r="DC236" i="22"/>
  <c r="DC240" i="22"/>
  <c r="DC244" i="22"/>
  <c r="DC248" i="22"/>
  <c r="DC252" i="22"/>
  <c r="DC256" i="22"/>
  <c r="DC260" i="22"/>
  <c r="DC264" i="22"/>
  <c r="DC268" i="22"/>
  <c r="DC272" i="22"/>
  <c r="DC81" i="22"/>
  <c r="DC85" i="22"/>
  <c r="DC121" i="22"/>
  <c r="DC88" i="22"/>
  <c r="DC105" i="22"/>
  <c r="DC113" i="22"/>
  <c r="DC129" i="22"/>
  <c r="DC197" i="22"/>
  <c r="DC205" i="22"/>
  <c r="DC213" i="22"/>
  <c r="DC221" i="22"/>
  <c r="DC229" i="22"/>
  <c r="DC237" i="22"/>
  <c r="DC245" i="22"/>
  <c r="DC253" i="22"/>
  <c r="DC261" i="22"/>
  <c r="DC269" i="22"/>
  <c r="DA111" i="22"/>
  <c r="DB111" i="22" s="1"/>
  <c r="DD111" i="22" s="1"/>
  <c r="DA127" i="22"/>
  <c r="DB127" i="22" s="1"/>
  <c r="DD127" i="22" s="1"/>
  <c r="DA195" i="22"/>
  <c r="DB195" i="22" s="1"/>
  <c r="DD195" i="22" s="1"/>
  <c r="DC122" i="22"/>
  <c r="DC117" i="22"/>
  <c r="DC107" i="22"/>
  <c r="DC199" i="22"/>
  <c r="DB102" i="22"/>
  <c r="DD102" i="22" s="1"/>
  <c r="DB108" i="22"/>
  <c r="DD108" i="22" s="1"/>
  <c r="DB128" i="22"/>
  <c r="DD128" i="22" s="1"/>
  <c r="DB140" i="22"/>
  <c r="DD140" i="22" s="1"/>
  <c r="DB152" i="22"/>
  <c r="DD152" i="22" s="1"/>
  <c r="DB164" i="22"/>
  <c r="DD164" i="22" s="1"/>
  <c r="DB176" i="22"/>
  <c r="DD176" i="22" s="1"/>
  <c r="DB188" i="22"/>
  <c r="DD188" i="22" s="1"/>
  <c r="DB200" i="22"/>
  <c r="DD200" i="22" s="1"/>
  <c r="DB216" i="22"/>
  <c r="DD216" i="22" s="1"/>
  <c r="DB228" i="22"/>
  <c r="DD228" i="22" s="1"/>
  <c r="DB240" i="22"/>
  <c r="DD240" i="22" s="1"/>
  <c r="DB256" i="22"/>
  <c r="DD256" i="22" s="1"/>
  <c r="DB268" i="22"/>
  <c r="DD268" i="22" s="1"/>
  <c r="DB85" i="22"/>
  <c r="DD85" i="22" s="1"/>
  <c r="DB105" i="22"/>
  <c r="DD105" i="22" s="1"/>
  <c r="DB213" i="22"/>
  <c r="DD213" i="22" s="1"/>
  <c r="DB237" i="22"/>
  <c r="DD237" i="22" s="1"/>
  <c r="DB269" i="22"/>
  <c r="DD269" i="22" s="1"/>
  <c r="DA110" i="22"/>
  <c r="DA114" i="22"/>
  <c r="DA126" i="22"/>
  <c r="DA130" i="22"/>
  <c r="DA134" i="22"/>
  <c r="DB94" i="22"/>
  <c r="DD94" i="22" s="1"/>
  <c r="DB91" i="22"/>
  <c r="DD91" i="22" s="1"/>
  <c r="DB112" i="22"/>
  <c r="DD112" i="22" s="1"/>
  <c r="DB132" i="22"/>
  <c r="DD132" i="22" s="1"/>
  <c r="DB144" i="22"/>
  <c r="DD144" i="22" s="1"/>
  <c r="DB156" i="22"/>
  <c r="DD156" i="22" s="1"/>
  <c r="DB168" i="22"/>
  <c r="DD168" i="22" s="1"/>
  <c r="DB180" i="22"/>
  <c r="DD180" i="22" s="1"/>
  <c r="DB192" i="22"/>
  <c r="DD192" i="22" s="1"/>
  <c r="DB204" i="22"/>
  <c r="DD204" i="22" s="1"/>
  <c r="DB212" i="22"/>
  <c r="DD212" i="22" s="1"/>
  <c r="DB224" i="22"/>
  <c r="DD224" i="22" s="1"/>
  <c r="DB236" i="22"/>
  <c r="DD236" i="22" s="1"/>
  <c r="DB248" i="22"/>
  <c r="DD248" i="22" s="1"/>
  <c r="DB260" i="22"/>
  <c r="DD260" i="22" s="1"/>
  <c r="DB272" i="22"/>
  <c r="DD272" i="22" s="1"/>
  <c r="DB121" i="22"/>
  <c r="DD121" i="22" s="1"/>
  <c r="DB113" i="22"/>
  <c r="DD113" i="22" s="1"/>
  <c r="DB197" i="22"/>
  <c r="DD197" i="22" s="1"/>
  <c r="DB221" i="22"/>
  <c r="DD221" i="22" s="1"/>
  <c r="DB245" i="22"/>
  <c r="DD245" i="22" s="1"/>
  <c r="DB261" i="22"/>
  <c r="DD261" i="22" s="1"/>
  <c r="DB117" i="22"/>
  <c r="DD117" i="22" s="1"/>
  <c r="DB107" i="22"/>
  <c r="DD107" i="22" s="1"/>
  <c r="DB199" i="22"/>
  <c r="DD199" i="22" s="1"/>
  <c r="DB215" i="22"/>
  <c r="DD215" i="22" s="1"/>
  <c r="DA263" i="22"/>
  <c r="DB98" i="22"/>
  <c r="DD98" i="22" s="1"/>
  <c r="DB104" i="22"/>
  <c r="DD104" i="22" s="1"/>
  <c r="DB116" i="22"/>
  <c r="DD116" i="22" s="1"/>
  <c r="DB136" i="22"/>
  <c r="DD136" i="22" s="1"/>
  <c r="DB148" i="22"/>
  <c r="DD148" i="22" s="1"/>
  <c r="DB160" i="22"/>
  <c r="DD160" i="22" s="1"/>
  <c r="DB172" i="22"/>
  <c r="DD172" i="22" s="1"/>
  <c r="DB184" i="22"/>
  <c r="DD184" i="22" s="1"/>
  <c r="DB196" i="22"/>
  <c r="DD196" i="22" s="1"/>
  <c r="DB208" i="22"/>
  <c r="DD208" i="22" s="1"/>
  <c r="DB220" i="22"/>
  <c r="DD220" i="22" s="1"/>
  <c r="DB232" i="22"/>
  <c r="DD232" i="22" s="1"/>
  <c r="DB244" i="22"/>
  <c r="DD244" i="22" s="1"/>
  <c r="DB252" i="22"/>
  <c r="DD252" i="22" s="1"/>
  <c r="DB264" i="22"/>
  <c r="DD264" i="22" s="1"/>
  <c r="DB81" i="22"/>
  <c r="DD81" i="22" s="1"/>
  <c r="DB88" i="22"/>
  <c r="DD88" i="22" s="1"/>
  <c r="DB129" i="22"/>
  <c r="DD129" i="22" s="1"/>
  <c r="DB205" i="22"/>
  <c r="DD205" i="22" s="1"/>
  <c r="DB229" i="22"/>
  <c r="DD229" i="22" s="1"/>
  <c r="DB253" i="22"/>
  <c r="DD253" i="22" s="1"/>
  <c r="DB120" i="22"/>
  <c r="DD120" i="22" s="1"/>
  <c r="DB124" i="22"/>
  <c r="DD124" i="22" s="1"/>
  <c r="DA138" i="22"/>
  <c r="DA142" i="22"/>
  <c r="DA146" i="22"/>
  <c r="DA150" i="22"/>
  <c r="DA154" i="22"/>
  <c r="DA158" i="22"/>
  <c r="DA162" i="22"/>
  <c r="DA166" i="22"/>
  <c r="DA170" i="22"/>
  <c r="DA174" i="22"/>
  <c r="DA178" i="22"/>
  <c r="DA182" i="22"/>
  <c r="DA186" i="22"/>
  <c r="DA190" i="22"/>
  <c r="DA194" i="22"/>
  <c r="DA198" i="22"/>
  <c r="DA214" i="22"/>
  <c r="DA230" i="22"/>
  <c r="DA246" i="22"/>
  <c r="DA262" i="22"/>
  <c r="DA83" i="22"/>
  <c r="DA99" i="22"/>
  <c r="DA135" i="22"/>
  <c r="DA143" i="22"/>
  <c r="DA151" i="22"/>
  <c r="DA159" i="22"/>
  <c r="DA167" i="22"/>
  <c r="DA175" i="22"/>
  <c r="DA183" i="22"/>
  <c r="CY19" i="22"/>
  <c r="CZ19" i="22"/>
  <c r="CZ23" i="22"/>
  <c r="CY23" i="22"/>
  <c r="CZ33" i="22"/>
  <c r="CY33" i="22"/>
  <c r="CZ37" i="22"/>
  <c r="CY37" i="22"/>
  <c r="CZ39" i="22"/>
  <c r="CY39" i="22"/>
  <c r="CZ58" i="22"/>
  <c r="CY58" i="22"/>
  <c r="CY67" i="22"/>
  <c r="CZ67" i="22"/>
  <c r="CY278" i="22"/>
  <c r="CZ278" i="22"/>
  <c r="CZ282" i="22"/>
  <c r="CY282" i="22"/>
  <c r="CZ290" i="22"/>
  <c r="CY290" i="22"/>
  <c r="CZ300" i="22"/>
  <c r="CY300" i="22"/>
  <c r="DA95" i="22"/>
  <c r="DA101" i="22"/>
  <c r="DA103" i="22"/>
  <c r="DA133" i="22"/>
  <c r="DA141" i="22"/>
  <c r="DA149" i="22"/>
  <c r="DA157" i="22"/>
  <c r="DA165" i="22"/>
  <c r="DA173" i="22"/>
  <c r="DA181" i="22"/>
  <c r="DA189" i="22"/>
  <c r="DA203" i="22"/>
  <c r="DA211" i="22"/>
  <c r="DA219" i="22"/>
  <c r="DA227" i="22"/>
  <c r="DA235" i="22"/>
  <c r="DA243" i="22"/>
  <c r="DA251" i="22"/>
  <c r="DA259" i="22"/>
  <c r="DA267" i="22"/>
  <c r="DA80" i="22"/>
  <c r="CZ17" i="22"/>
  <c r="CY17" i="22"/>
  <c r="CZ26" i="22"/>
  <c r="CY26" i="22"/>
  <c r="CZ29" i="22"/>
  <c r="CY29" i="22"/>
  <c r="CZ31" i="22"/>
  <c r="CY31" i="22"/>
  <c r="CZ36" i="22"/>
  <c r="CY36" i="22"/>
  <c r="CZ41" i="22"/>
  <c r="CY41" i="22"/>
  <c r="CY44" i="22"/>
  <c r="CZ44" i="22"/>
  <c r="CZ49" i="22"/>
  <c r="CY49" i="22"/>
  <c r="CZ52" i="22"/>
  <c r="CY52" i="22"/>
  <c r="CZ55" i="22"/>
  <c r="CY55" i="22"/>
  <c r="CZ60" i="22"/>
  <c r="CY60" i="22"/>
  <c r="CZ63" i="22"/>
  <c r="CY63" i="22"/>
  <c r="CZ69" i="22"/>
  <c r="CY69" i="22"/>
  <c r="CZ73" i="22"/>
  <c r="CY73" i="22"/>
  <c r="CZ77" i="22"/>
  <c r="CY77" i="22"/>
  <c r="CZ276" i="22"/>
  <c r="CY276" i="22"/>
  <c r="CZ280" i="22"/>
  <c r="CY280" i="22"/>
  <c r="CZ284" i="22"/>
  <c r="CY284" i="22"/>
  <c r="CY295" i="22"/>
  <c r="CZ295" i="22"/>
  <c r="CZ12" i="22"/>
  <c r="CY12" i="22"/>
  <c r="CZ14" i="22"/>
  <c r="CY14" i="22"/>
  <c r="CZ8" i="22"/>
  <c r="CY8" i="22"/>
  <c r="CZ20" i="22"/>
  <c r="CY20" i="22"/>
  <c r="CZ24" i="22"/>
  <c r="CY24" i="22"/>
  <c r="CZ27" i="22"/>
  <c r="CY27" i="22"/>
  <c r="CZ30" i="22"/>
  <c r="CY30" i="22"/>
  <c r="CZ32" i="22"/>
  <c r="CY32" i="22"/>
  <c r="CY35" i="22"/>
  <c r="CZ35" i="22"/>
  <c r="CZ38" i="22"/>
  <c r="CY38" i="22"/>
  <c r="CZ40" i="22"/>
  <c r="CY40" i="22"/>
  <c r="CZ43" i="22"/>
  <c r="CY43" i="22"/>
  <c r="CZ46" i="22"/>
  <c r="CY46" i="22"/>
  <c r="CZ48" i="22"/>
  <c r="CY48" i="22"/>
  <c r="CY51" i="22"/>
  <c r="CZ51" i="22"/>
  <c r="CZ54" i="22"/>
  <c r="CY54" i="22"/>
  <c r="CZ56" i="22"/>
  <c r="CY56" i="22"/>
  <c r="CZ59" i="22"/>
  <c r="CY59" i="22"/>
  <c r="CZ62" i="22"/>
  <c r="CY62" i="22"/>
  <c r="CZ64" i="22"/>
  <c r="CY64" i="22"/>
  <c r="CZ66" i="22"/>
  <c r="CY66" i="22"/>
  <c r="CZ68" i="22"/>
  <c r="CY68" i="22"/>
  <c r="CZ70" i="22"/>
  <c r="CY70" i="22"/>
  <c r="CZ72" i="22"/>
  <c r="CY72" i="22"/>
  <c r="CZ74" i="22"/>
  <c r="CY74" i="22"/>
  <c r="CZ76" i="22"/>
  <c r="CY76" i="22"/>
  <c r="CZ78" i="22"/>
  <c r="CY78" i="22"/>
  <c r="CZ275" i="22"/>
  <c r="CY275" i="22"/>
  <c r="CZ277" i="22"/>
  <c r="CY277" i="22"/>
  <c r="CY279" i="22"/>
  <c r="CZ279" i="22"/>
  <c r="CZ281" i="22"/>
  <c r="CY281" i="22"/>
  <c r="CZ283" i="22"/>
  <c r="CY283" i="22"/>
  <c r="CZ285" i="22"/>
  <c r="CY285" i="22"/>
  <c r="CZ286" i="22"/>
  <c r="CY286" i="22"/>
  <c r="CZ288" i="22"/>
  <c r="CY288" i="22"/>
  <c r="CZ289" i="22"/>
  <c r="CY289" i="22"/>
  <c r="CZ291" i="22"/>
  <c r="CY291" i="22"/>
  <c r="CZ293" i="22"/>
  <c r="CY293" i="22"/>
  <c r="CY294" i="22"/>
  <c r="CZ294" i="22"/>
  <c r="CZ296" i="22"/>
  <c r="CY296" i="22"/>
  <c r="CZ297" i="22"/>
  <c r="CY297" i="22"/>
  <c r="CZ299" i="22"/>
  <c r="CY299" i="22"/>
  <c r="DA96" i="22"/>
  <c r="DA100" i="22"/>
  <c r="DA89" i="22"/>
  <c r="DA93" i="22"/>
  <c r="DA106" i="22"/>
  <c r="DA202" i="22"/>
  <c r="DA206" i="22"/>
  <c r="DA210" i="22"/>
  <c r="DA218" i="22"/>
  <c r="DA222" i="22"/>
  <c r="DA226" i="22"/>
  <c r="DA234" i="22"/>
  <c r="DA238" i="22"/>
  <c r="DA242" i="22"/>
  <c r="DA250" i="22"/>
  <c r="DA254" i="22"/>
  <c r="DA258" i="22"/>
  <c r="DA266" i="22"/>
  <c r="DA270" i="22"/>
  <c r="DA274" i="22"/>
  <c r="DA87" i="22"/>
  <c r="DA92" i="22"/>
  <c r="DA109" i="22"/>
  <c r="DA125" i="22"/>
  <c r="DA193" i="22"/>
  <c r="DA201" i="22"/>
  <c r="DA209" i="22"/>
  <c r="DA217" i="22"/>
  <c r="DA225" i="22"/>
  <c r="DA233" i="22"/>
  <c r="DA241" i="22"/>
  <c r="DA249" i="22"/>
  <c r="DA257" i="22"/>
  <c r="DA265" i="22"/>
  <c r="DA273" i="22"/>
  <c r="DA86" i="22"/>
  <c r="CZ5" i="22"/>
  <c r="CY5" i="22"/>
  <c r="CZ21" i="22"/>
  <c r="CY21" i="22"/>
  <c r="CZ25" i="22"/>
  <c r="CY25" i="22"/>
  <c r="CZ28" i="22"/>
  <c r="CY28" i="22"/>
  <c r="CZ34" i="22"/>
  <c r="CY34" i="22"/>
  <c r="CZ42" i="22"/>
  <c r="CY42" i="22"/>
  <c r="CZ45" i="22"/>
  <c r="CY45" i="22"/>
  <c r="CZ47" i="22"/>
  <c r="CY47" i="22"/>
  <c r="CZ50" i="22"/>
  <c r="CY50" i="22"/>
  <c r="CZ53" i="22"/>
  <c r="CY53" i="22"/>
  <c r="CZ57" i="22"/>
  <c r="CY57" i="22"/>
  <c r="CZ61" i="22"/>
  <c r="CY61" i="22"/>
  <c r="CZ65" i="22"/>
  <c r="CY65" i="22"/>
  <c r="CZ71" i="22"/>
  <c r="CY71" i="22"/>
  <c r="CZ75" i="22"/>
  <c r="CY75" i="22"/>
  <c r="CZ79" i="22"/>
  <c r="CY79" i="22"/>
  <c r="CZ287" i="22"/>
  <c r="CY287" i="22"/>
  <c r="CZ292" i="22"/>
  <c r="CY292" i="22"/>
  <c r="CZ298" i="22"/>
  <c r="CY298" i="22"/>
  <c r="CZ10" i="22"/>
  <c r="CY10" i="22"/>
  <c r="CZ4" i="22"/>
  <c r="CY4" i="22"/>
  <c r="CZ7" i="22"/>
  <c r="CY7" i="22"/>
  <c r="CZ16" i="22"/>
  <c r="CY16" i="22"/>
  <c r="CZ18" i="22"/>
  <c r="CY18" i="22"/>
  <c r="CZ22" i="22"/>
  <c r="CY22" i="22"/>
  <c r="CY3" i="22"/>
  <c r="CZ3" i="22"/>
  <c r="CZ6" i="22"/>
  <c r="CY6" i="22"/>
  <c r="CZ9" i="22"/>
  <c r="CY9" i="22"/>
  <c r="CZ11" i="22"/>
  <c r="CY11" i="22"/>
  <c r="CZ13" i="22"/>
  <c r="CY13" i="22"/>
  <c r="CZ15" i="22"/>
  <c r="CY15" i="22"/>
  <c r="DA139" i="22"/>
  <c r="DA147" i="22"/>
  <c r="DA155" i="22"/>
  <c r="DA163" i="22"/>
  <c r="DA171" i="22"/>
  <c r="DA179" i="22"/>
  <c r="DA187" i="22"/>
  <c r="DA97" i="22"/>
  <c r="DA90" i="22"/>
  <c r="DA137" i="22"/>
  <c r="DA145" i="22"/>
  <c r="DA153" i="22"/>
  <c r="DA161" i="22"/>
  <c r="DA169" i="22"/>
  <c r="DA177" i="22"/>
  <c r="DA185" i="22"/>
  <c r="DA207" i="22"/>
  <c r="DA223" i="22"/>
  <c r="DA239" i="22"/>
  <c r="DA255" i="22"/>
  <c r="DA271" i="22"/>
  <c r="DA84" i="22"/>
  <c r="DB82" i="22" l="1"/>
  <c r="DD82" i="22" s="1"/>
  <c r="DB115" i="22"/>
  <c r="DD115" i="22" s="1"/>
  <c r="DB131" i="22"/>
  <c r="DD131" i="22" s="1"/>
  <c r="DB231" i="22"/>
  <c r="DD231" i="22" s="1"/>
  <c r="DA13" i="22"/>
  <c r="DB13" i="22" s="1"/>
  <c r="DD13" i="22" s="1"/>
  <c r="DA292" i="22"/>
  <c r="DC292" i="22" s="1"/>
  <c r="DA61" i="22"/>
  <c r="DB61" i="22" s="1"/>
  <c r="DD61" i="22" s="1"/>
  <c r="DA47" i="22"/>
  <c r="DC47" i="22" s="1"/>
  <c r="DA28" i="22"/>
  <c r="DC28" i="22" s="1"/>
  <c r="DA293" i="22"/>
  <c r="DB293" i="22" s="1"/>
  <c r="DD293" i="22" s="1"/>
  <c r="DA286" i="22"/>
  <c r="DA76" i="22"/>
  <c r="DC76" i="22" s="1"/>
  <c r="DA68" i="22"/>
  <c r="DB68" i="22" s="1"/>
  <c r="DD68" i="22" s="1"/>
  <c r="DA54" i="22"/>
  <c r="DB54" i="22" s="1"/>
  <c r="DD54" i="22" s="1"/>
  <c r="DA43" i="22"/>
  <c r="DC43" i="22" s="1"/>
  <c r="DA32" i="22"/>
  <c r="DC32" i="22" s="1"/>
  <c r="DA20" i="22"/>
  <c r="DB20" i="22" s="1"/>
  <c r="DD20" i="22" s="1"/>
  <c r="DA77" i="22"/>
  <c r="DB77" i="22" s="1"/>
  <c r="DD77" i="22" s="1"/>
  <c r="DA60" i="22"/>
  <c r="DC60" i="22" s="1"/>
  <c r="DA18" i="22"/>
  <c r="DC18" i="22" s="1"/>
  <c r="DA79" i="22"/>
  <c r="DB79" i="22" s="1"/>
  <c r="DD79" i="22" s="1"/>
  <c r="DA71" i="22"/>
  <c r="DC71" i="22" s="1"/>
  <c r="DA53" i="22"/>
  <c r="DC53" i="22" s="1"/>
  <c r="DA42" i="22"/>
  <c r="DC42" i="22" s="1"/>
  <c r="DA21" i="22"/>
  <c r="DC21" i="22" s="1"/>
  <c r="DA299" i="22"/>
  <c r="DC299" i="22" s="1"/>
  <c r="DA296" i="22"/>
  <c r="DB296" i="22" s="1"/>
  <c r="DD296" i="22" s="1"/>
  <c r="DA289" i="22"/>
  <c r="DB289" i="22" s="1"/>
  <c r="DD289" i="22" s="1"/>
  <c r="DA283" i="22"/>
  <c r="DB283" i="22" s="1"/>
  <c r="DD283" i="22" s="1"/>
  <c r="DA275" i="22"/>
  <c r="DC275" i="22" s="1"/>
  <c r="DA72" i="22"/>
  <c r="DB72" i="22" s="1"/>
  <c r="DD72" i="22" s="1"/>
  <c r="DA64" i="22"/>
  <c r="DC64" i="22" s="1"/>
  <c r="DA59" i="22"/>
  <c r="DC59" i="22" s="1"/>
  <c r="DA48" i="22"/>
  <c r="DC48" i="22" s="1"/>
  <c r="DA38" i="22"/>
  <c r="DB38" i="22" s="1"/>
  <c r="DD38" i="22" s="1"/>
  <c r="DA27" i="22"/>
  <c r="DC27" i="22" s="1"/>
  <c r="DA14" i="22"/>
  <c r="DC14" i="22" s="1"/>
  <c r="DA280" i="22"/>
  <c r="DB280" i="22" s="1"/>
  <c r="DD280" i="22" s="1"/>
  <c r="DA69" i="22"/>
  <c r="DC69" i="22" s="1"/>
  <c r="DA9" i="22"/>
  <c r="DC9" i="22" s="1"/>
  <c r="DA7" i="22"/>
  <c r="DC7" i="22" s="1"/>
  <c r="DA10" i="22"/>
  <c r="DB10" i="22" s="1"/>
  <c r="DD10" i="22" s="1"/>
  <c r="DA2" i="22"/>
  <c r="DA19" i="22"/>
  <c r="DC19" i="22" s="1"/>
  <c r="DB247" i="22"/>
  <c r="DD247" i="22" s="1"/>
  <c r="DB191" i="22"/>
  <c r="DD191" i="22" s="1"/>
  <c r="DC177" i="22"/>
  <c r="DC155" i="22"/>
  <c r="DC225" i="22"/>
  <c r="DC258" i="22"/>
  <c r="DC106" i="22"/>
  <c r="DC235" i="22"/>
  <c r="DC271" i="22"/>
  <c r="DC161" i="22"/>
  <c r="DC90" i="22"/>
  <c r="DC139" i="22"/>
  <c r="DC273" i="22"/>
  <c r="DC241" i="22"/>
  <c r="DC109" i="22"/>
  <c r="DC250" i="22"/>
  <c r="DC206" i="22"/>
  <c r="DC255" i="22"/>
  <c r="DC185" i="22"/>
  <c r="DC153" i="22"/>
  <c r="DC97" i="22"/>
  <c r="DC163" i="22"/>
  <c r="DC265" i="22"/>
  <c r="DC233" i="22"/>
  <c r="DC201" i="22"/>
  <c r="DC92" i="22"/>
  <c r="DC266" i="22"/>
  <c r="DC242" i="22"/>
  <c r="DC222" i="22"/>
  <c r="DC202" i="22"/>
  <c r="DC100" i="22"/>
  <c r="DC80" i="22"/>
  <c r="DC243" i="22"/>
  <c r="DC211" i="22"/>
  <c r="DC173" i="22"/>
  <c r="DC141" i="22"/>
  <c r="DC95" i="22"/>
  <c r="DC175" i="22"/>
  <c r="DC143" i="22"/>
  <c r="DC262" i="22"/>
  <c r="DC198" i="22"/>
  <c r="DC182" i="22"/>
  <c r="DC166" i="22"/>
  <c r="DC150" i="22"/>
  <c r="DC130" i="22"/>
  <c r="DC127" i="22"/>
  <c r="DC263" i="22"/>
  <c r="DC126" i="22"/>
  <c r="DC111" i="22"/>
  <c r="DC145" i="22"/>
  <c r="DC257" i="22"/>
  <c r="DC87" i="22"/>
  <c r="DC218" i="22"/>
  <c r="DC203" i="22"/>
  <c r="DC165" i="22"/>
  <c r="DC133" i="22"/>
  <c r="DC167" i="22"/>
  <c r="DC135" i="22"/>
  <c r="DC246" i="22"/>
  <c r="DC194" i="22"/>
  <c r="DC178" i="22"/>
  <c r="DC162" i="22"/>
  <c r="DC146" i="22"/>
  <c r="DC84" i="22"/>
  <c r="DC223" i="22"/>
  <c r="DC169" i="22"/>
  <c r="DC137" i="22"/>
  <c r="DC179" i="22"/>
  <c r="DC147" i="22"/>
  <c r="DC86" i="22"/>
  <c r="DC249" i="22"/>
  <c r="DC217" i="22"/>
  <c r="DC125" i="22"/>
  <c r="DC274" i="22"/>
  <c r="DC254" i="22"/>
  <c r="DC234" i="22"/>
  <c r="DC210" i="22"/>
  <c r="DC93" i="22"/>
  <c r="DC259" i="22"/>
  <c r="DC227" i="22"/>
  <c r="DC189" i="22"/>
  <c r="DC157" i="22"/>
  <c r="DC103" i="22"/>
  <c r="DC159" i="22"/>
  <c r="DC99" i="22"/>
  <c r="DC230" i="22"/>
  <c r="DC190" i="22"/>
  <c r="DC174" i="22"/>
  <c r="DC158" i="22"/>
  <c r="DC142" i="22"/>
  <c r="DC114" i="22"/>
  <c r="DC239" i="22"/>
  <c r="DC187" i="22"/>
  <c r="DC193" i="22"/>
  <c r="DC238" i="22"/>
  <c r="DC96" i="22"/>
  <c r="DC267" i="22"/>
  <c r="DC207" i="22"/>
  <c r="DC171" i="22"/>
  <c r="DC209" i="22"/>
  <c r="DC270" i="22"/>
  <c r="DC226" i="22"/>
  <c r="DC89" i="22"/>
  <c r="DC286" i="22"/>
  <c r="DC20" i="22"/>
  <c r="DC251" i="22"/>
  <c r="DC219" i="22"/>
  <c r="DC181" i="22"/>
  <c r="DC149" i="22"/>
  <c r="DC101" i="22"/>
  <c r="DC183" i="22"/>
  <c r="DC151" i="22"/>
  <c r="DC83" i="22"/>
  <c r="DC214" i="22"/>
  <c r="DC186" i="22"/>
  <c r="DC170" i="22"/>
  <c r="DC154" i="22"/>
  <c r="DC138" i="22"/>
  <c r="DC134" i="22"/>
  <c r="DC110" i="22"/>
  <c r="DC195" i="22"/>
  <c r="DB207" i="22"/>
  <c r="DD207" i="22" s="1"/>
  <c r="DB90" i="22"/>
  <c r="DD90" i="22" s="1"/>
  <c r="DB139" i="22"/>
  <c r="DD139" i="22" s="1"/>
  <c r="DB241" i="22"/>
  <c r="DD241" i="22" s="1"/>
  <c r="DB109" i="22"/>
  <c r="DD109" i="22" s="1"/>
  <c r="DB270" i="22"/>
  <c r="DD270" i="22" s="1"/>
  <c r="DB226" i="22"/>
  <c r="DD226" i="22" s="1"/>
  <c r="DB89" i="22"/>
  <c r="DD89" i="22" s="1"/>
  <c r="DB43" i="22"/>
  <c r="DD43" i="22" s="1"/>
  <c r="DB60" i="22"/>
  <c r="DD60" i="22" s="1"/>
  <c r="DB255" i="22"/>
  <c r="DD255" i="22" s="1"/>
  <c r="DB153" i="22"/>
  <c r="DD153" i="22" s="1"/>
  <c r="DB163" i="22"/>
  <c r="DD163" i="22" s="1"/>
  <c r="DB233" i="22"/>
  <c r="DD233" i="22" s="1"/>
  <c r="DB92" i="22"/>
  <c r="DD92" i="22" s="1"/>
  <c r="DB242" i="22"/>
  <c r="DD242" i="22" s="1"/>
  <c r="DB202" i="22"/>
  <c r="DD202" i="22" s="1"/>
  <c r="DB243" i="22"/>
  <c r="DD243" i="22" s="1"/>
  <c r="DB173" i="22"/>
  <c r="DD173" i="22" s="1"/>
  <c r="DB95" i="22"/>
  <c r="DD95" i="22" s="1"/>
  <c r="DB143" i="22"/>
  <c r="DD143" i="22" s="1"/>
  <c r="DB198" i="22"/>
  <c r="DD198" i="22" s="1"/>
  <c r="DB166" i="22"/>
  <c r="DD166" i="22" s="1"/>
  <c r="DB114" i="22"/>
  <c r="DD114" i="22" s="1"/>
  <c r="DB239" i="22"/>
  <c r="DD239" i="22" s="1"/>
  <c r="DB177" i="22"/>
  <c r="DD177" i="22" s="1"/>
  <c r="DB145" i="22"/>
  <c r="DD145" i="22" s="1"/>
  <c r="DB187" i="22"/>
  <c r="DD187" i="22" s="1"/>
  <c r="DB155" i="22"/>
  <c r="DD155" i="22" s="1"/>
  <c r="DB257" i="22"/>
  <c r="DD257" i="22" s="1"/>
  <c r="DB225" i="22"/>
  <c r="DD225" i="22" s="1"/>
  <c r="DB193" i="22"/>
  <c r="DD193" i="22" s="1"/>
  <c r="DB87" i="22"/>
  <c r="DD87" i="22" s="1"/>
  <c r="DB258" i="22"/>
  <c r="DD258" i="22" s="1"/>
  <c r="DB238" i="22"/>
  <c r="DD238" i="22" s="1"/>
  <c r="DB218" i="22"/>
  <c r="DD218" i="22" s="1"/>
  <c r="DB106" i="22"/>
  <c r="DD106" i="22" s="1"/>
  <c r="DB96" i="22"/>
  <c r="DD96" i="22" s="1"/>
  <c r="DB267" i="22"/>
  <c r="DD267" i="22" s="1"/>
  <c r="DB235" i="22"/>
  <c r="DD235" i="22" s="1"/>
  <c r="DB203" i="22"/>
  <c r="DD203" i="22" s="1"/>
  <c r="DB165" i="22"/>
  <c r="DD165" i="22" s="1"/>
  <c r="DB133" i="22"/>
  <c r="DD133" i="22" s="1"/>
  <c r="DB167" i="22"/>
  <c r="DD167" i="22" s="1"/>
  <c r="DB135" i="22"/>
  <c r="DD135" i="22" s="1"/>
  <c r="DB246" i="22"/>
  <c r="DD246" i="22" s="1"/>
  <c r="DB194" i="22"/>
  <c r="DD194" i="22" s="1"/>
  <c r="DB178" i="22"/>
  <c r="DD178" i="22" s="1"/>
  <c r="DB162" i="22"/>
  <c r="DD162" i="22" s="1"/>
  <c r="DB146" i="22"/>
  <c r="DD146" i="22" s="1"/>
  <c r="DB134" i="22"/>
  <c r="DD134" i="22" s="1"/>
  <c r="DB110" i="22"/>
  <c r="DD110" i="22" s="1"/>
  <c r="DB271" i="22"/>
  <c r="DD271" i="22" s="1"/>
  <c r="DB161" i="22"/>
  <c r="DD161" i="22" s="1"/>
  <c r="DB171" i="22"/>
  <c r="DD171" i="22" s="1"/>
  <c r="DB7" i="22"/>
  <c r="DD7" i="22" s="1"/>
  <c r="DB273" i="22"/>
  <c r="DD273" i="22" s="1"/>
  <c r="DB209" i="22"/>
  <c r="DD209" i="22" s="1"/>
  <c r="DB250" i="22"/>
  <c r="DD250" i="22" s="1"/>
  <c r="DB206" i="22"/>
  <c r="DD206" i="22" s="1"/>
  <c r="DB286" i="22"/>
  <c r="DD286" i="22" s="1"/>
  <c r="DB185" i="22"/>
  <c r="DD185" i="22" s="1"/>
  <c r="DB97" i="22"/>
  <c r="DD97" i="22" s="1"/>
  <c r="DB265" i="22"/>
  <c r="DD265" i="22" s="1"/>
  <c r="DB201" i="22"/>
  <c r="DD201" i="22" s="1"/>
  <c r="DB266" i="22"/>
  <c r="DD266" i="22" s="1"/>
  <c r="DB222" i="22"/>
  <c r="DD222" i="22" s="1"/>
  <c r="DB100" i="22"/>
  <c r="DD100" i="22" s="1"/>
  <c r="DB80" i="22"/>
  <c r="DD80" i="22" s="1"/>
  <c r="DB211" i="22"/>
  <c r="DD211" i="22" s="1"/>
  <c r="DB141" i="22"/>
  <c r="DD141" i="22" s="1"/>
  <c r="DB175" i="22"/>
  <c r="DD175" i="22" s="1"/>
  <c r="DB262" i="22"/>
  <c r="DD262" i="22" s="1"/>
  <c r="DB182" i="22"/>
  <c r="DD182" i="22" s="1"/>
  <c r="DB150" i="22"/>
  <c r="DD150" i="22" s="1"/>
  <c r="DB84" i="22"/>
  <c r="DD84" i="22" s="1"/>
  <c r="DB223" i="22"/>
  <c r="DD223" i="22" s="1"/>
  <c r="DB169" i="22"/>
  <c r="DD169" i="22" s="1"/>
  <c r="DB137" i="22"/>
  <c r="DD137" i="22" s="1"/>
  <c r="DB179" i="22"/>
  <c r="DD179" i="22" s="1"/>
  <c r="DB147" i="22"/>
  <c r="DD147" i="22" s="1"/>
  <c r="DB86" i="22"/>
  <c r="DD86" i="22" s="1"/>
  <c r="DB249" i="22"/>
  <c r="DD249" i="22" s="1"/>
  <c r="DB217" i="22"/>
  <c r="DD217" i="22" s="1"/>
  <c r="DB125" i="22"/>
  <c r="DD125" i="22" s="1"/>
  <c r="DB274" i="22"/>
  <c r="DD274" i="22" s="1"/>
  <c r="DB254" i="22"/>
  <c r="DD254" i="22" s="1"/>
  <c r="DB234" i="22"/>
  <c r="DD234" i="22" s="1"/>
  <c r="DB210" i="22"/>
  <c r="DD210" i="22" s="1"/>
  <c r="DB93" i="22"/>
  <c r="DD93" i="22" s="1"/>
  <c r="DB259" i="22"/>
  <c r="DD259" i="22" s="1"/>
  <c r="DB227" i="22"/>
  <c r="DD227" i="22" s="1"/>
  <c r="DB189" i="22"/>
  <c r="DD189" i="22" s="1"/>
  <c r="DB157" i="22"/>
  <c r="DD157" i="22" s="1"/>
  <c r="DB103" i="22"/>
  <c r="DD103" i="22" s="1"/>
  <c r="DB159" i="22"/>
  <c r="DD159" i="22" s="1"/>
  <c r="DB99" i="22"/>
  <c r="DD99" i="22" s="1"/>
  <c r="DB230" i="22"/>
  <c r="DD230" i="22" s="1"/>
  <c r="DB190" i="22"/>
  <c r="DD190" i="22" s="1"/>
  <c r="DB174" i="22"/>
  <c r="DD174" i="22" s="1"/>
  <c r="DB158" i="22"/>
  <c r="DD158" i="22" s="1"/>
  <c r="DB142" i="22"/>
  <c r="DD142" i="22" s="1"/>
  <c r="DB263" i="22"/>
  <c r="DD263" i="22" s="1"/>
  <c r="DB130" i="22"/>
  <c r="DD130" i="22" s="1"/>
  <c r="DB251" i="22"/>
  <c r="DD251" i="22" s="1"/>
  <c r="DB219" i="22"/>
  <c r="DD219" i="22" s="1"/>
  <c r="DB181" i="22"/>
  <c r="DD181" i="22" s="1"/>
  <c r="DB149" i="22"/>
  <c r="DD149" i="22" s="1"/>
  <c r="DB101" i="22"/>
  <c r="DD101" i="22" s="1"/>
  <c r="DB183" i="22"/>
  <c r="DD183" i="22" s="1"/>
  <c r="DB151" i="22"/>
  <c r="DD151" i="22" s="1"/>
  <c r="DB83" i="22"/>
  <c r="DD83" i="22" s="1"/>
  <c r="DB214" i="22"/>
  <c r="DD214" i="22" s="1"/>
  <c r="DB186" i="22"/>
  <c r="DD186" i="22" s="1"/>
  <c r="DB170" i="22"/>
  <c r="DD170" i="22" s="1"/>
  <c r="DB154" i="22"/>
  <c r="DD154" i="22" s="1"/>
  <c r="DB138" i="22"/>
  <c r="DD138" i="22" s="1"/>
  <c r="DB126" i="22"/>
  <c r="DD126" i="22" s="1"/>
  <c r="DA300" i="22"/>
  <c r="DA282" i="22"/>
  <c r="DA39" i="22"/>
  <c r="DA52" i="22"/>
  <c r="DA36" i="22"/>
  <c r="DA29" i="22"/>
  <c r="DA15" i="22"/>
  <c r="DA11" i="22"/>
  <c r="DA6" i="22"/>
  <c r="DA22" i="22"/>
  <c r="DA16" i="22"/>
  <c r="DA4" i="22"/>
  <c r="DA298" i="22"/>
  <c r="DA287" i="22"/>
  <c r="DA75" i="22"/>
  <c r="DA65" i="22"/>
  <c r="DA57" i="22"/>
  <c r="DA50" i="22"/>
  <c r="DA45" i="22"/>
  <c r="DA34" i="22"/>
  <c r="DA25" i="22"/>
  <c r="DA5" i="22"/>
  <c r="DA297" i="22"/>
  <c r="DA291" i="22"/>
  <c r="DA288" i="22"/>
  <c r="DA285" i="22"/>
  <c r="DA281" i="22"/>
  <c r="DA277" i="22"/>
  <c r="DA78" i="22"/>
  <c r="DA74" i="22"/>
  <c r="DA70" i="22"/>
  <c r="DA66" i="22"/>
  <c r="DA62" i="22"/>
  <c r="DA56" i="22"/>
  <c r="DA46" i="22"/>
  <c r="DA40" i="22"/>
  <c r="DA30" i="22"/>
  <c r="DA24" i="22"/>
  <c r="DA8" i="22"/>
  <c r="DA12" i="22"/>
  <c r="DA284" i="22"/>
  <c r="DA276" i="22"/>
  <c r="DA73" i="22"/>
  <c r="DA63" i="22"/>
  <c r="DA55" i="22"/>
  <c r="DA33" i="22"/>
  <c r="DA17" i="22"/>
  <c r="DA278" i="22"/>
  <c r="DA294" i="22"/>
  <c r="DA51" i="22"/>
  <c r="DA35" i="22"/>
  <c r="DA290" i="22"/>
  <c r="DA58" i="22"/>
  <c r="DA37" i="22"/>
  <c r="DA23" i="22"/>
  <c r="DA49" i="22"/>
  <c r="DA41" i="22"/>
  <c r="DA31" i="22"/>
  <c r="DA26" i="22"/>
  <c r="DA67" i="22"/>
  <c r="DA3" i="22"/>
  <c r="DA279" i="22"/>
  <c r="DA295" i="22"/>
  <c r="DA44" i="22"/>
  <c r="B1" i="21"/>
  <c r="DB42" i="22" l="1"/>
  <c r="DD42" i="22" s="1"/>
  <c r="DB27" i="22"/>
  <c r="DD27" i="22" s="1"/>
  <c r="DB64" i="22"/>
  <c r="DD64" i="22" s="1"/>
  <c r="DB32" i="22"/>
  <c r="DD32" i="22" s="1"/>
  <c r="DB76" i="22"/>
  <c r="DD76" i="22" s="1"/>
  <c r="DB19" i="22"/>
  <c r="DD19" i="22" s="1"/>
  <c r="DB18" i="22"/>
  <c r="DD18" i="22" s="1"/>
  <c r="DB47" i="22"/>
  <c r="DD47" i="22" s="1"/>
  <c r="DC289" i="22"/>
  <c r="DB9" i="22"/>
  <c r="DD9" i="22" s="1"/>
  <c r="DB21" i="22"/>
  <c r="DD21" i="22" s="1"/>
  <c r="DB59" i="22"/>
  <c r="DD59" i="22" s="1"/>
  <c r="DC13" i="22"/>
  <c r="DC283" i="22"/>
  <c r="DB14" i="22"/>
  <c r="DD14" i="22" s="1"/>
  <c r="DB28" i="22"/>
  <c r="DD28" i="22" s="1"/>
  <c r="DC79" i="22"/>
  <c r="DC68" i="22"/>
  <c r="DC54" i="22"/>
  <c r="DB275" i="22"/>
  <c r="DD275" i="22" s="1"/>
  <c r="DC77" i="22"/>
  <c r="DB48" i="22"/>
  <c r="DD48" i="22" s="1"/>
  <c r="DC280" i="22"/>
  <c r="DC293" i="22"/>
  <c r="DC10" i="22"/>
  <c r="DB53" i="22"/>
  <c r="DD53" i="22" s="1"/>
  <c r="DC72" i="22"/>
  <c r="DB299" i="22"/>
  <c r="DD299" i="22" s="1"/>
  <c r="DB71" i="22"/>
  <c r="DD71" i="22" s="1"/>
  <c r="DC38" i="22"/>
  <c r="DC296" i="22"/>
  <c r="DC61" i="22"/>
  <c r="DB69" i="22"/>
  <c r="DD69" i="22" s="1"/>
  <c r="DB292" i="22"/>
  <c r="DD292" i="22" s="1"/>
  <c r="DB2" i="22"/>
  <c r="DD2" i="22" s="1"/>
  <c r="DC2" i="22"/>
  <c r="DC44" i="22"/>
  <c r="DC278" i="22"/>
  <c r="DC291" i="22"/>
  <c r="DC49" i="22"/>
  <c r="DC12" i="22"/>
  <c r="DC277" i="22"/>
  <c r="DC65" i="22"/>
  <c r="DC11" i="22"/>
  <c r="DC295" i="22"/>
  <c r="DC26" i="22"/>
  <c r="DC23" i="22"/>
  <c r="DC35" i="22"/>
  <c r="DC17" i="22"/>
  <c r="DC73" i="22"/>
  <c r="DC8" i="22"/>
  <c r="DC46" i="22"/>
  <c r="DC70" i="22"/>
  <c r="DC281" i="22"/>
  <c r="DC297" i="22"/>
  <c r="DC45" i="22"/>
  <c r="DC75" i="22"/>
  <c r="DC16" i="22"/>
  <c r="DC15" i="22"/>
  <c r="DC39" i="22"/>
  <c r="DC290" i="22"/>
  <c r="DC40" i="22"/>
  <c r="DC279" i="22"/>
  <c r="DC31" i="22"/>
  <c r="DC37" i="22"/>
  <c r="DC51" i="22"/>
  <c r="DC33" i="22"/>
  <c r="DC276" i="22"/>
  <c r="DC24" i="22"/>
  <c r="DC56" i="22"/>
  <c r="DC74" i="22"/>
  <c r="DC285" i="22"/>
  <c r="DC5" i="22"/>
  <c r="DC50" i="22"/>
  <c r="DC287" i="22"/>
  <c r="DC22" i="22"/>
  <c r="DC29" i="22"/>
  <c r="DC282" i="22"/>
  <c r="DC67" i="22"/>
  <c r="DC63" i="22"/>
  <c r="DC66" i="22"/>
  <c r="DC34" i="22"/>
  <c r="DC4" i="22"/>
  <c r="DC52" i="22"/>
  <c r="DC3" i="22"/>
  <c r="DC41" i="22"/>
  <c r="DC58" i="22"/>
  <c r="DC294" i="22"/>
  <c r="DC55" i="22"/>
  <c r="DC284" i="22"/>
  <c r="DC30" i="22"/>
  <c r="DC62" i="22"/>
  <c r="DC78" i="22"/>
  <c r="DC288" i="22"/>
  <c r="DC25" i="22"/>
  <c r="DC57" i="22"/>
  <c r="DC298" i="22"/>
  <c r="DC6" i="22"/>
  <c r="DC36" i="22"/>
  <c r="DC300" i="22"/>
  <c r="DB26" i="22"/>
  <c r="DD26" i="22" s="1"/>
  <c r="DB17" i="22"/>
  <c r="DD17" i="22" s="1"/>
  <c r="DB46" i="22"/>
  <c r="DD46" i="22" s="1"/>
  <c r="DB297" i="22"/>
  <c r="DD297" i="22" s="1"/>
  <c r="DB16" i="22"/>
  <c r="DD16" i="22" s="1"/>
  <c r="DB39" i="22"/>
  <c r="DD39" i="22" s="1"/>
  <c r="DB279" i="22"/>
  <c r="DD279" i="22" s="1"/>
  <c r="DB37" i="22"/>
  <c r="DD37" i="22" s="1"/>
  <c r="DB33" i="22"/>
  <c r="DD33" i="22" s="1"/>
  <c r="DB24" i="22"/>
  <c r="DD24" i="22" s="1"/>
  <c r="DB56" i="22"/>
  <c r="DD56" i="22" s="1"/>
  <c r="DB74" i="22"/>
  <c r="DD74" i="22" s="1"/>
  <c r="DB285" i="22"/>
  <c r="DD285" i="22" s="1"/>
  <c r="DB5" i="22"/>
  <c r="DD5" i="22" s="1"/>
  <c r="DB50" i="22"/>
  <c r="DD50" i="22" s="1"/>
  <c r="DB287" i="22"/>
  <c r="DD287" i="22" s="1"/>
  <c r="DB22" i="22"/>
  <c r="DD22" i="22" s="1"/>
  <c r="DB29" i="22"/>
  <c r="DD29" i="22" s="1"/>
  <c r="DB282" i="22"/>
  <c r="DD282" i="22" s="1"/>
  <c r="DB295" i="22"/>
  <c r="DD295" i="22" s="1"/>
  <c r="DB35" i="22"/>
  <c r="DD35" i="22" s="1"/>
  <c r="DB8" i="22"/>
  <c r="DD8" i="22" s="1"/>
  <c r="DB281" i="22"/>
  <c r="DD281" i="22" s="1"/>
  <c r="DB75" i="22"/>
  <c r="DD75" i="22" s="1"/>
  <c r="DB41" i="22"/>
  <c r="DD41" i="22" s="1"/>
  <c r="DB58" i="22"/>
  <c r="DD58" i="22" s="1"/>
  <c r="DB294" i="22"/>
  <c r="DD294" i="22" s="1"/>
  <c r="DB55" i="22"/>
  <c r="DD55" i="22" s="1"/>
  <c r="DB284" i="22"/>
  <c r="DD284" i="22" s="1"/>
  <c r="DB30" i="22"/>
  <c r="DD30" i="22" s="1"/>
  <c r="DB62" i="22"/>
  <c r="DD62" i="22" s="1"/>
  <c r="DB78" i="22"/>
  <c r="DD78" i="22" s="1"/>
  <c r="DB288" i="22"/>
  <c r="DD288" i="22" s="1"/>
  <c r="DB25" i="22"/>
  <c r="DD25" i="22" s="1"/>
  <c r="DB57" i="22"/>
  <c r="DD57" i="22" s="1"/>
  <c r="DB298" i="22"/>
  <c r="DD298" i="22" s="1"/>
  <c r="DB6" i="22"/>
  <c r="DD6" i="22" s="1"/>
  <c r="DB36" i="22"/>
  <c r="DD36" i="22" s="1"/>
  <c r="DB300" i="22"/>
  <c r="DD300" i="22" s="1"/>
  <c r="DB23" i="22"/>
  <c r="DD23" i="22" s="1"/>
  <c r="DB73" i="22"/>
  <c r="DD73" i="22" s="1"/>
  <c r="DB70" i="22"/>
  <c r="DD70" i="22" s="1"/>
  <c r="DB45" i="22"/>
  <c r="DD45" i="22" s="1"/>
  <c r="DB15" i="22"/>
  <c r="DD15" i="22" s="1"/>
  <c r="DB31" i="22"/>
  <c r="DD31" i="22" s="1"/>
  <c r="DB51" i="22"/>
  <c r="DD51" i="22" s="1"/>
  <c r="DB276" i="22"/>
  <c r="DD276" i="22" s="1"/>
  <c r="DB44" i="22"/>
  <c r="DD44" i="22" s="1"/>
  <c r="DB67" i="22"/>
  <c r="DD67" i="22" s="1"/>
  <c r="DB49" i="22"/>
  <c r="DD49" i="22" s="1"/>
  <c r="DB290" i="22"/>
  <c r="DD290" i="22" s="1"/>
  <c r="DB278" i="22"/>
  <c r="DD278" i="22" s="1"/>
  <c r="DB63" i="22"/>
  <c r="DD63" i="22" s="1"/>
  <c r="DB12" i="22"/>
  <c r="DD12" i="22" s="1"/>
  <c r="DB40" i="22"/>
  <c r="DD40" i="22" s="1"/>
  <c r="DB66" i="22"/>
  <c r="DD66" i="22" s="1"/>
  <c r="DB277" i="22"/>
  <c r="DD277" i="22" s="1"/>
  <c r="DB291" i="22"/>
  <c r="DD291" i="22" s="1"/>
  <c r="DB34" i="22"/>
  <c r="DD34" i="22" s="1"/>
  <c r="DB65" i="22"/>
  <c r="DD65" i="22" s="1"/>
  <c r="DB4" i="22"/>
  <c r="DD4" i="22" s="1"/>
  <c r="DB11" i="22"/>
  <c r="DD11" i="22" s="1"/>
  <c r="DB52" i="22"/>
  <c r="DD52" i="22" s="1"/>
  <c r="DB3" i="22"/>
  <c r="DD3" i="22" l="1"/>
  <c r="DE2" i="22" l="1"/>
  <c r="N2" i="22" l="1"/>
  <c r="F2" i="22"/>
</calcChain>
</file>

<file path=xl/sharedStrings.xml><?xml version="1.0" encoding="utf-8"?>
<sst xmlns="http://schemas.openxmlformats.org/spreadsheetml/2006/main" count="75" uniqueCount="74">
  <si>
    <t>ダウンロード日(年)</t>
    <rPh sb="6" eb="7">
      <t>ビ</t>
    </rPh>
    <rPh sb="8" eb="9">
      <t>ネン</t>
    </rPh>
    <phoneticPr fontId="3"/>
  </si>
  <si>
    <t>ダウンロード日(月)</t>
    <rPh sb="6" eb="7">
      <t>ビ</t>
    </rPh>
    <rPh sb="8" eb="9">
      <t>ツキ</t>
    </rPh>
    <phoneticPr fontId="3"/>
  </si>
  <si>
    <t>ダウンロード日(日)</t>
    <rPh sb="6" eb="7">
      <t>ビ</t>
    </rPh>
    <rPh sb="8" eb="9">
      <t>ヒ</t>
    </rPh>
    <phoneticPr fontId="3"/>
  </si>
  <si>
    <t>受講生名</t>
    <rPh sb="0" eb="3">
      <t>ジュコウセイ</t>
    </rPh>
    <rPh sb="3" eb="4">
      <t>メイ</t>
    </rPh>
    <phoneticPr fontId="3"/>
  </si>
  <si>
    <t>会場名</t>
    <rPh sb="0" eb="2">
      <t>カイジョウ</t>
    </rPh>
    <rPh sb="2" eb="3">
      <t>メイ</t>
    </rPh>
    <phoneticPr fontId="3"/>
  </si>
  <si>
    <t>会場住所</t>
    <rPh sb="0" eb="2">
      <t>カイジョウ</t>
    </rPh>
    <rPh sb="2" eb="4">
      <t>ジュウショ</t>
    </rPh>
    <phoneticPr fontId="3"/>
  </si>
  <si>
    <t>コース名</t>
    <rPh sb="3" eb="4">
      <t>メイ</t>
    </rPh>
    <phoneticPr fontId="3"/>
  </si>
  <si>
    <t>受講時間合計(分)</t>
  </si>
  <si>
    <t>総訓練時間(時)</t>
    <rPh sb="0" eb="1">
      <t>ソウ</t>
    </rPh>
    <rPh sb="1" eb="3">
      <t>クンレン</t>
    </rPh>
    <rPh sb="3" eb="5">
      <t>ジカン</t>
    </rPh>
    <rPh sb="6" eb="7">
      <t>トキ</t>
    </rPh>
    <phoneticPr fontId="3"/>
  </si>
  <si>
    <t>総訓練時間(分)</t>
    <rPh sb="0" eb="1">
      <t>ソウ</t>
    </rPh>
    <rPh sb="1" eb="3">
      <t>クンレン</t>
    </rPh>
    <rPh sb="3" eb="5">
      <t>ジカン</t>
    </rPh>
    <rPh sb="6" eb="7">
      <t>フン</t>
    </rPh>
    <phoneticPr fontId="3"/>
  </si>
  <si>
    <t>賃金助成時間合計(時)</t>
  </si>
  <si>
    <t>賃金助成時間合計(分)</t>
  </si>
  <si>
    <t>休憩開始時間(分)</t>
  </si>
  <si>
    <t>休憩終了時間(時)</t>
  </si>
  <si>
    <t>休憩終了時間(分)</t>
  </si>
  <si>
    <t>休日</t>
  </si>
  <si>
    <t>実施日(月)</t>
  </si>
  <si>
    <t>実施日(日)</t>
  </si>
  <si>
    <t>実施日(曜日)</t>
  </si>
  <si>
    <t>訓練開始時間(時)</t>
  </si>
  <si>
    <t>訓練開始時間(分)</t>
  </si>
  <si>
    <t>訓練終了時間(時)</t>
  </si>
  <si>
    <t>訓練終了時間(分)</t>
  </si>
  <si>
    <t>訓練時間(分)</t>
  </si>
  <si>
    <t>休憩時間(時)</t>
  </si>
  <si>
    <t>休憩時間(分)</t>
  </si>
  <si>
    <t>受講時間(時)</t>
  </si>
  <si>
    <t>受講時間(分)</t>
  </si>
  <si>
    <t>賃金助成時間(時)</t>
  </si>
  <si>
    <t>賃金助成時間(分)</t>
  </si>
  <si>
    <t>セクション名</t>
    <rPh sb="5" eb="6">
      <t>メイ</t>
    </rPh>
    <phoneticPr fontId="3"/>
  </si>
  <si>
    <t>訓練時間合計(時)</t>
    <phoneticPr fontId="3"/>
  </si>
  <si>
    <t>訓練時間合計(分)</t>
    <phoneticPr fontId="3"/>
  </si>
  <si>
    <t>受講時間合計(時)</t>
    <phoneticPr fontId="3"/>
  </si>
  <si>
    <t>所定労働開始時間(時)</t>
    <phoneticPr fontId="3"/>
  </si>
  <si>
    <t>所定労働開始時間(分)</t>
    <phoneticPr fontId="3"/>
  </si>
  <si>
    <t>所定労働終了時間(時)</t>
    <phoneticPr fontId="3"/>
  </si>
  <si>
    <t>所定労働終了時間(分)</t>
    <phoneticPr fontId="3"/>
  </si>
  <si>
    <t>休憩開始時間(時)</t>
    <phoneticPr fontId="3"/>
  </si>
  <si>
    <t>訓練時間(時)</t>
    <phoneticPr fontId="3"/>
  </si>
  <si>
    <t>実施内容</t>
    <phoneticPr fontId="3"/>
  </si>
  <si>
    <t>勤怠状況</t>
    <phoneticPr fontId="3"/>
  </si>
  <si>
    <t>中抜けの合計(時)</t>
    <rPh sb="0" eb="1">
      <t>ナカ</t>
    </rPh>
    <rPh sb="1" eb="2">
      <t>ヌ</t>
    </rPh>
    <rPh sb="4" eb="6">
      <t>ゴウケイ</t>
    </rPh>
    <rPh sb="7" eb="8">
      <t>ジ</t>
    </rPh>
    <phoneticPr fontId="3"/>
  </si>
  <si>
    <t>中抜けの合計(分)</t>
    <rPh sb="0" eb="1">
      <t>ナカ</t>
    </rPh>
    <rPh sb="1" eb="2">
      <t>ヌ</t>
    </rPh>
    <rPh sb="4" eb="6">
      <t>ゴウケイ</t>
    </rPh>
    <rPh sb="7" eb="8">
      <t>フン</t>
    </rPh>
    <phoneticPr fontId="3"/>
  </si>
  <si>
    <t>中抜け時間(時)</t>
    <rPh sb="0" eb="1">
      <t>ナカ</t>
    </rPh>
    <rPh sb="1" eb="2">
      <t>ヌ</t>
    </rPh>
    <rPh sb="3" eb="5">
      <t>ジカン</t>
    </rPh>
    <rPh sb="6" eb="7">
      <t>ジ</t>
    </rPh>
    <phoneticPr fontId="3"/>
  </si>
  <si>
    <t>中抜け時間(分)</t>
    <rPh sb="0" eb="1">
      <t>ナカ</t>
    </rPh>
    <rPh sb="1" eb="2">
      <t>ヌ</t>
    </rPh>
    <rPh sb="3" eb="5">
      <t>ジカン</t>
    </rPh>
    <rPh sb="6" eb="7">
      <t>フン</t>
    </rPh>
    <phoneticPr fontId="3"/>
  </si>
  <si>
    <t>受講時間(分)-中抜け時間(分)</t>
    <rPh sb="0" eb="2">
      <t>ジュコウ</t>
    </rPh>
    <rPh sb="2" eb="4">
      <t>ジカン</t>
    </rPh>
    <rPh sb="5" eb="6">
      <t>フン</t>
    </rPh>
    <rPh sb="8" eb="9">
      <t>ナカ</t>
    </rPh>
    <rPh sb="9" eb="10">
      <t>ヌ</t>
    </rPh>
    <rPh sb="11" eb="13">
      <t>ジカン</t>
    </rPh>
    <rPh sb="14" eb="15">
      <t>フン</t>
    </rPh>
    <phoneticPr fontId="3"/>
  </si>
  <si>
    <t>賃金助成対象時間(分)-中抜け時間(分)</t>
    <rPh sb="0" eb="2">
      <t>チンギン</t>
    </rPh>
    <rPh sb="2" eb="4">
      <t>ジョセイ</t>
    </rPh>
    <rPh sb="4" eb="6">
      <t>タイショウ</t>
    </rPh>
    <rPh sb="6" eb="8">
      <t>ジカン</t>
    </rPh>
    <rPh sb="9" eb="10">
      <t>フン</t>
    </rPh>
    <rPh sb="12" eb="13">
      <t>ナカ</t>
    </rPh>
    <rPh sb="13" eb="14">
      <t>ヌ</t>
    </rPh>
    <rPh sb="15" eb="17">
      <t>ジカン</t>
    </rPh>
    <rPh sb="18" eb="19">
      <t>フン</t>
    </rPh>
    <phoneticPr fontId="3"/>
  </si>
  <si>
    <t>改訂履歴</t>
    <phoneticPr fontId="4"/>
  </si>
  <si>
    <t>改訂日</t>
  </si>
  <si>
    <t>版数</t>
  </si>
  <si>
    <t>内容</t>
  </si>
  <si>
    <t>作成</t>
  </si>
  <si>
    <t>1.0版</t>
    <phoneticPr fontId="4"/>
  </si>
  <si>
    <t>制定</t>
    <rPh sb="0" eb="2">
      <t>セイテイ</t>
    </rPh>
    <phoneticPr fontId="4"/>
  </si>
  <si>
    <t>鈴木</t>
    <rPh sb="0" eb="2">
      <t>スズキ</t>
    </rPh>
    <phoneticPr fontId="3"/>
  </si>
  <si>
    <t>1.1版</t>
    <rPh sb="3" eb="4">
      <t>バン</t>
    </rPh>
    <phoneticPr fontId="3"/>
  </si>
  <si>
    <t>3ページ目(6日目)以降の関数を修正</t>
    <rPh sb="4" eb="5">
      <t>メ</t>
    </rPh>
    <rPh sb="7" eb="8">
      <t>ニチ</t>
    </rPh>
    <rPh sb="8" eb="9">
      <t>メ</t>
    </rPh>
    <rPh sb="10" eb="12">
      <t>イコウ</t>
    </rPh>
    <rPh sb="13" eb="15">
      <t>カンスウ</t>
    </rPh>
    <rPh sb="16" eb="18">
      <t>シュウセイ</t>
    </rPh>
    <phoneticPr fontId="3"/>
  </si>
  <si>
    <t>山口</t>
    <rPh sb="0" eb="2">
      <t>ヤマグチ</t>
    </rPh>
    <phoneticPr fontId="3"/>
  </si>
  <si>
    <t>短時間休業(時)</t>
    <rPh sb="0" eb="3">
      <t>タンジカン</t>
    </rPh>
    <rPh sb="3" eb="5">
      <t>キュウギョウ</t>
    </rPh>
    <rPh sb="6" eb="7">
      <t>ジ</t>
    </rPh>
    <phoneticPr fontId="3"/>
  </si>
  <si>
    <t>短時間休業(分)</t>
    <rPh sb="0" eb="3">
      <t>タンジカン</t>
    </rPh>
    <rPh sb="3" eb="5">
      <t>キュウギョウ</t>
    </rPh>
    <rPh sb="6" eb="7">
      <t>フン</t>
    </rPh>
    <phoneticPr fontId="3"/>
  </si>
  <si>
    <t>教育訓練(日)</t>
    <rPh sb="0" eb="2">
      <t>キョウイク</t>
    </rPh>
    <rPh sb="2" eb="4">
      <t>クンレン</t>
    </rPh>
    <rPh sb="5" eb="6">
      <t>ニチ</t>
    </rPh>
    <phoneticPr fontId="3"/>
  </si>
  <si>
    <t>短期間休業(時分)</t>
    <rPh sb="0" eb="3">
      <t>タンキカン</t>
    </rPh>
    <rPh sb="3" eb="5">
      <t>キュウギョウ</t>
    </rPh>
    <rPh sb="6" eb="7">
      <t>ジ</t>
    </rPh>
    <rPh sb="7" eb="8">
      <t>フン</t>
    </rPh>
    <phoneticPr fontId="3"/>
  </si>
  <si>
    <t>短時間の合計用</t>
    <rPh sb="0" eb="3">
      <t>タンジカン</t>
    </rPh>
    <rPh sb="4" eb="6">
      <t>ゴウケイ</t>
    </rPh>
    <rPh sb="6" eb="7">
      <t>ヨウ</t>
    </rPh>
    <phoneticPr fontId="3"/>
  </si>
  <si>
    <t>受講者名</t>
    <rPh sb="0" eb="3">
      <t>ジュコウシャ</t>
    </rPh>
    <rPh sb="3" eb="4">
      <t>メイ</t>
    </rPh>
    <phoneticPr fontId="3"/>
  </si>
  <si>
    <t>教育訓練(日）用1</t>
    <rPh sb="0" eb="2">
      <t>キョウイク</t>
    </rPh>
    <rPh sb="2" eb="4">
      <t>クンレン</t>
    </rPh>
    <rPh sb="5" eb="6">
      <t>ニチ</t>
    </rPh>
    <rPh sb="7" eb="8">
      <t>ヨウ</t>
    </rPh>
    <phoneticPr fontId="3"/>
  </si>
  <si>
    <t>教育訓練(日）用2</t>
    <rPh sb="0" eb="2">
      <t>キョウイク</t>
    </rPh>
    <rPh sb="2" eb="4">
      <t>クンレン</t>
    </rPh>
    <rPh sb="5" eb="6">
      <t>ニチ</t>
    </rPh>
    <rPh sb="7" eb="8">
      <t>ヨウ</t>
    </rPh>
    <phoneticPr fontId="3"/>
  </si>
  <si>
    <t>会社名</t>
    <rPh sb="0" eb="3">
      <t>カイシャメイ</t>
    </rPh>
    <phoneticPr fontId="4"/>
  </si>
  <si>
    <t>名前</t>
    <rPh sb="0" eb="2">
      <t>ナマエ</t>
    </rPh>
    <phoneticPr fontId="4"/>
  </si>
  <si>
    <t>日付</t>
  </si>
  <si>
    <t>開始</t>
    <phoneticPr fontId="4"/>
  </si>
  <si>
    <t>終了</t>
  </si>
  <si>
    <t>備考</t>
  </si>
  <si>
    <t>教育訓練(日)</t>
    <rPh sb="0" eb="2">
      <t>キョウイク</t>
    </rPh>
    <rPh sb="2" eb="4">
      <t>クンレン</t>
    </rPh>
    <rPh sb="4" eb="7">
      <t>ニチ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</si>
</sst>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"/>
    <numFmt numFmtId="177" formatCode="0_);\(0\)"/>
    <numFmt numFmtId="178" formatCode="#,##0_);\(#,##0\)"/>
  </numFmts>
  <fonts count="36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2"/>
      <color theme="1"/>
      <name val="ＭＳ 明朝"/>
      <family val="1"/>
      <charset val="128"/>
    </font>
    <font>
      <u/>
      <sz val="11"/>
      <color theme="10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u/>
      <sz val="11"/>
      <color indexed="12"/>
      <name val="ＭＳ Ｐゴシック"/>
      <family val="3"/>
      <charset val="128"/>
    </font>
    <font>
      <sz val="12"/>
      <color theme="1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2"/>
      <name val="ＭＳ 明朝"/>
      <family val="1"/>
      <charset val="128"/>
    </font>
    <font>
      <sz val="18"/>
      <name val="ＭＳ 明朝"/>
      <family val="1"/>
      <charset val="128"/>
    </font>
    <font>
      <sz val="14"/>
      <name val="ＭＳ 明朝"/>
      <family val="1"/>
      <charset val="128"/>
    </font>
    <font>
      <sz val="14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明朝"/>
      <family val="1"/>
      <charset val="128"/>
    </font>
    <font>
      <strike/>
      <sz val="12"/>
      <name val="ＭＳ 明朝"/>
      <family val="1"/>
      <charset val="128"/>
    </font>
    <font>
      <sz val="11"/>
      <name val="ＭＳ Ｐゴシック"/>
      <family val="3"/>
      <charset val="128"/>
      <scheme val="minor"/>
    </font>
    <font>
      <strike/>
      <sz val="11"/>
      <name val="ＭＳ Ｐゴシック"/>
      <family val="2"/>
      <charset val="128"/>
      <scheme val="minor"/>
    </font>
    <font>
      <b/>
      <sz val="12"/>
      <name val="ＭＳ 明朝"/>
      <family val="1"/>
      <charset val="128"/>
    </font>
    <font>
      <sz val="11"/>
      <name val="ＭＳ Ｐ明朝"/>
      <family val="1"/>
      <charset val="128"/>
    </font>
    <font>
      <sz val="10"/>
      <name val="ＭＳ 明朝"/>
      <family val="1"/>
      <charset val="128"/>
    </font>
    <font>
      <sz val="14"/>
      <color theme="1"/>
      <name val="ＭＳ 明朝"/>
      <family val="1"/>
      <charset val="128"/>
    </font>
    <font>
      <sz val="14"/>
      <color theme="1"/>
      <name val="ＭＳ Ｐゴシック"/>
      <family val="2"/>
      <charset val="128"/>
      <scheme val="minor"/>
    </font>
    <font>
      <sz val="16"/>
      <color theme="1"/>
      <name val="ＭＳ 明朝"/>
      <family val="1"/>
      <charset val="128"/>
    </font>
    <font>
      <sz val="16"/>
      <color theme="1"/>
      <name val="ＭＳ Ｐゴシック"/>
      <family val="2"/>
      <charset val="128"/>
      <scheme val="minor"/>
    </font>
    <font>
      <sz val="12"/>
      <name val="ＭＳ Ｐゴシック"/>
      <family val="3"/>
      <charset val="128"/>
    </font>
    <font>
      <sz val="14"/>
      <name val="ＭＳ Ｐゴシック"/>
      <family val="3"/>
      <charset val="128"/>
    </font>
    <font>
      <sz val="12"/>
      <name val="ＭＳ Ｐ明朝"/>
      <family val="1"/>
      <charset val="128"/>
    </font>
    <font>
      <sz val="6"/>
      <name val="ＭＳ Ｐ明朝"/>
      <family val="1"/>
      <charset val="128"/>
    </font>
    <font>
      <sz val="12"/>
      <color rgb="FF0000FF"/>
      <name val="ＭＳ Ｐ明朝"/>
      <family val="1"/>
      <charset val="128"/>
    </font>
    <font>
      <sz val="6"/>
      <color rgb="FF0000FF"/>
      <name val="ＭＳ Ｐ明朝"/>
      <family val="1"/>
      <charset val="128"/>
    </font>
    <font>
      <b/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</borders>
  <cellStyleXfs count="25">
    <xf numFmtId="0" fontId="0" fillId="0" borderId="0">
      <alignment vertical="center"/>
    </xf>
    <xf numFmtId="0" fontId="6" fillId="0" borderId="0"/>
    <xf numFmtId="0" fontId="6" fillId="0" borderId="0"/>
    <xf numFmtId="0" fontId="1" fillId="0" borderId="0">
      <alignment vertical="center"/>
    </xf>
    <xf numFmtId="0" fontId="1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0" fontId="5" fillId="0" borderId="0">
      <alignment vertical="center"/>
    </xf>
    <xf numFmtId="0" fontId="6" fillId="0" borderId="0"/>
    <xf numFmtId="0" fontId="6" fillId="0" borderId="0">
      <alignment vertical="center"/>
    </xf>
    <xf numFmtId="0" fontId="6" fillId="0" borderId="0"/>
    <xf numFmtId="0" fontId="6" fillId="0" borderId="0">
      <alignment vertical="center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38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29" fillId="0" borderId="0">
      <alignment vertical="center"/>
    </xf>
  </cellStyleXfs>
  <cellXfs count="151">
    <xf numFmtId="0" fontId="0" fillId="0" borderId="0" xfId="0">
      <alignment vertical="center"/>
    </xf>
    <xf numFmtId="0" fontId="7" fillId="0" borderId="0" xfId="2" applyFont="1" applyFill="1" applyBorder="1" applyAlignment="1">
      <alignment vertical="center"/>
    </xf>
    <xf numFmtId="0" fontId="2" fillId="0" borderId="0" xfId="1" applyFont="1" applyFill="1" applyBorder="1" applyAlignment="1">
      <alignment vertical="top"/>
    </xf>
    <xf numFmtId="0" fontId="7" fillId="0" borderId="0" xfId="2" applyFont="1" applyFill="1" applyBorder="1" applyAlignment="1">
      <alignment vertical="top"/>
    </xf>
    <xf numFmtId="3" fontId="7" fillId="0" borderId="0" xfId="2" applyNumberFormat="1" applyFont="1" applyFill="1" applyBorder="1" applyAlignment="1">
      <alignment horizontal="center" vertical="center"/>
    </xf>
    <xf numFmtId="0" fontId="11" fillId="2" borderId="1" xfId="0" applyFont="1" applyFill="1" applyBorder="1">
      <alignment vertical="center"/>
    </xf>
    <xf numFmtId="0" fontId="12" fillId="2" borderId="1" xfId="0" applyFont="1" applyFill="1" applyBorder="1">
      <alignment vertical="center"/>
    </xf>
    <xf numFmtId="0" fontId="7" fillId="0" borderId="0" xfId="2" applyNumberFormat="1" applyFont="1" applyFill="1" applyBorder="1" applyAlignment="1">
      <alignment vertical="center" shrinkToFit="1"/>
    </xf>
    <xf numFmtId="0" fontId="13" fillId="0" borderId="0" xfId="2" applyFont="1" applyFill="1" applyBorder="1" applyAlignment="1">
      <alignment vertical="center"/>
    </xf>
    <xf numFmtId="0" fontId="13" fillId="0" borderId="0" xfId="2" applyFont="1" applyFill="1" applyBorder="1" applyAlignment="1">
      <alignment horizontal="center" vertical="center" shrinkToFit="1"/>
    </xf>
    <xf numFmtId="0" fontId="13" fillId="0" borderId="0" xfId="0" applyFont="1" applyFill="1" applyBorder="1" applyAlignment="1">
      <alignment horizontal="center" vertical="center" shrinkToFit="1"/>
    </xf>
    <xf numFmtId="49" fontId="13" fillId="0" borderId="0" xfId="2" applyNumberFormat="1" applyFont="1" applyFill="1" applyBorder="1" applyAlignment="1">
      <alignment horizontal="center" vertical="center" shrinkToFit="1"/>
    </xf>
    <xf numFmtId="0" fontId="18" fillId="0" borderId="0" xfId="0" applyFont="1" applyFill="1" applyBorder="1" applyAlignment="1">
      <alignment horizontal="center" vertical="center" shrinkToFit="1"/>
    </xf>
    <xf numFmtId="0" fontId="13" fillId="0" borderId="0" xfId="2" applyFont="1" applyFill="1" applyBorder="1" applyAlignment="1">
      <alignment vertical="top"/>
    </xf>
    <xf numFmtId="0" fontId="13" fillId="0" borderId="0" xfId="2" applyFont="1" applyFill="1" applyBorder="1" applyAlignment="1">
      <alignment horizontal="left" vertical="top"/>
    </xf>
    <xf numFmtId="0" fontId="13" fillId="0" borderId="0" xfId="2" applyFont="1" applyFill="1" applyBorder="1" applyAlignment="1">
      <alignment horizontal="distributed" vertical="center"/>
    </xf>
    <xf numFmtId="0" fontId="24" fillId="0" borderId="0" xfId="1" applyFont="1" applyFill="1" applyBorder="1" applyAlignment="1">
      <alignment vertical="top"/>
    </xf>
    <xf numFmtId="0" fontId="13" fillId="0" borderId="0" xfId="2" applyNumberFormat="1" applyFont="1" applyFill="1" applyBorder="1" applyAlignment="1">
      <alignment vertical="center"/>
    </xf>
    <xf numFmtId="0" fontId="13" fillId="0" borderId="0" xfId="2" applyNumberFormat="1" applyFont="1" applyFill="1" applyBorder="1" applyAlignment="1">
      <alignment horizontal="left" vertical="center"/>
    </xf>
    <xf numFmtId="0" fontId="13" fillId="0" borderId="0" xfId="2" applyNumberFormat="1" applyFont="1" applyFill="1" applyBorder="1" applyAlignment="1">
      <alignment vertical="center" shrinkToFit="1"/>
    </xf>
    <xf numFmtId="0" fontId="7" fillId="0" borderId="0" xfId="2" applyFont="1" applyFill="1" applyBorder="1" applyAlignment="1">
      <alignment horizontal="left" vertical="center"/>
    </xf>
    <xf numFmtId="0" fontId="7" fillId="0" borderId="1" xfId="2" applyFont="1" applyFill="1" applyBorder="1" applyAlignment="1">
      <alignment vertical="center"/>
    </xf>
    <xf numFmtId="0" fontId="25" fillId="0" borderId="0" xfId="2" applyFont="1" applyFill="1" applyBorder="1" applyAlignment="1">
      <alignment vertical="center"/>
    </xf>
    <xf numFmtId="0" fontId="29" fillId="0" borderId="0" xfId="24">
      <alignment vertical="center"/>
    </xf>
    <xf numFmtId="0" fontId="30" fillId="0" borderId="0" xfId="24" applyFont="1">
      <alignment vertical="center"/>
    </xf>
    <xf numFmtId="0" fontId="12" fillId="0" borderId="2" xfId="24" applyFont="1" applyBorder="1" applyAlignment="1">
      <alignment horizontal="center" vertical="center" wrapText="1"/>
    </xf>
    <xf numFmtId="0" fontId="12" fillId="0" borderId="3" xfId="24" applyFont="1" applyBorder="1" applyAlignment="1">
      <alignment horizontal="center" vertical="center" wrapText="1"/>
    </xf>
    <xf numFmtId="0" fontId="12" fillId="0" borderId="4" xfId="24" applyFont="1" applyBorder="1" applyAlignment="1">
      <alignment horizontal="center" vertical="center" wrapText="1"/>
    </xf>
    <xf numFmtId="14" fontId="31" fillId="0" borderId="5" xfId="24" applyNumberFormat="1" applyFont="1" applyBorder="1">
      <alignment vertical="center"/>
    </xf>
    <xf numFmtId="0" fontId="31" fillId="0" borderId="6" xfId="24" applyFont="1" applyBorder="1" applyAlignment="1">
      <alignment horizontal="center" vertical="center"/>
    </xf>
    <xf numFmtId="0" fontId="31" fillId="0" borderId="6" xfId="24" applyFont="1" applyBorder="1">
      <alignment vertical="center"/>
    </xf>
    <xf numFmtId="0" fontId="32" fillId="0" borderId="7" xfId="24" applyFont="1" applyBorder="1" applyAlignment="1">
      <alignment horizontal="center" vertical="center" shrinkToFit="1"/>
    </xf>
    <xf numFmtId="14" fontId="31" fillId="0" borderId="8" xfId="24" applyNumberFormat="1" applyFont="1" applyBorder="1">
      <alignment vertical="center"/>
    </xf>
    <xf numFmtId="0" fontId="31" fillId="0" borderId="1" xfId="24" applyFont="1" applyBorder="1" applyAlignment="1">
      <alignment horizontal="center" vertical="center"/>
    </xf>
    <xf numFmtId="0" fontId="31" fillId="0" borderId="1" xfId="24" applyFont="1" applyBorder="1" applyAlignment="1">
      <alignment vertical="center" wrapText="1"/>
    </xf>
    <xf numFmtId="0" fontId="32" fillId="0" borderId="9" xfId="24" applyFont="1" applyBorder="1" applyAlignment="1">
      <alignment horizontal="center" vertical="center" shrinkToFit="1"/>
    </xf>
    <xf numFmtId="0" fontId="29" fillId="0" borderId="0" xfId="24" applyBorder="1">
      <alignment vertical="center"/>
    </xf>
    <xf numFmtId="14" fontId="33" fillId="0" borderId="8" xfId="24" applyNumberFormat="1" applyFont="1" applyBorder="1">
      <alignment vertical="center"/>
    </xf>
    <xf numFmtId="0" fontId="33" fillId="0" borderId="1" xfId="24" applyFont="1" applyBorder="1" applyAlignment="1">
      <alignment horizontal="center" vertical="center"/>
    </xf>
    <xf numFmtId="0" fontId="33" fillId="0" borderId="1" xfId="24" applyFont="1" applyBorder="1" applyAlignment="1">
      <alignment vertical="center" wrapText="1"/>
    </xf>
    <xf numFmtId="0" fontId="34" fillId="0" borderId="9" xfId="24" applyFont="1" applyBorder="1" applyAlignment="1">
      <alignment horizontal="center" vertical="center" shrinkToFit="1"/>
    </xf>
    <xf numFmtId="0" fontId="13" fillId="0" borderId="0" xfId="2" applyFont="1" applyFill="1" applyBorder="1" applyAlignment="1">
      <alignment horizontal="center" vertical="center"/>
    </xf>
    <xf numFmtId="0" fontId="7" fillId="0" borderId="0" xfId="2" applyFont="1" applyFill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7" fillId="0" borderId="0" xfId="2" applyFont="1" applyAlignment="1">
      <alignment vertical="top"/>
    </xf>
    <xf numFmtId="0" fontId="2" fillId="0" borderId="0" xfId="1" applyFont="1" applyAlignment="1">
      <alignment vertical="top"/>
    </xf>
    <xf numFmtId="0" fontId="13" fillId="0" borderId="0" xfId="2" applyFont="1" applyFill="1" applyBorder="1" applyAlignment="1">
      <alignment horizontal="left" vertical="center"/>
    </xf>
    <xf numFmtId="0" fontId="13" fillId="0" borderId="0" xfId="2" applyNumberFormat="1" applyFont="1" applyFill="1" applyBorder="1" applyAlignment="1">
      <alignment horizontal="center" vertical="center" shrinkToFit="1"/>
    </xf>
    <xf numFmtId="0" fontId="18" fillId="0" borderId="0" xfId="0" applyFont="1" applyFill="1" applyBorder="1" applyAlignment="1">
      <alignment vertical="center" shrinkToFit="1"/>
    </xf>
    <xf numFmtId="0" fontId="7" fillId="0" borderId="0" xfId="2" applyNumberFormat="1" applyFont="1" applyFill="1" applyBorder="1" applyAlignment="1">
      <alignment horizontal="center" vertical="center" shrinkToFit="1"/>
    </xf>
    <xf numFmtId="0" fontId="7" fillId="0" borderId="0" xfId="2" applyFont="1" applyBorder="1" applyAlignment="1">
      <alignment vertical="center"/>
    </xf>
    <xf numFmtId="49" fontId="13" fillId="0" borderId="0" xfId="2" applyNumberFormat="1" applyFont="1" applyFill="1" applyBorder="1" applyAlignment="1">
      <alignment horizontal="center" vertical="center"/>
    </xf>
    <xf numFmtId="49" fontId="13" fillId="0" borderId="0" xfId="2" applyNumberFormat="1" applyFont="1" applyFill="1" applyBorder="1" applyAlignment="1">
      <alignment horizontal="left" vertical="center"/>
    </xf>
    <xf numFmtId="49" fontId="19" fillId="0" borderId="0" xfId="2" applyNumberFormat="1" applyFont="1" applyFill="1" applyBorder="1" applyAlignment="1">
      <alignment horizontal="left" vertical="center"/>
    </xf>
    <xf numFmtId="0" fontId="13" fillId="0" borderId="0" xfId="2" quotePrefix="1" applyFont="1" applyFill="1" applyBorder="1" applyAlignment="1">
      <alignment horizontal="left" vertical="center"/>
    </xf>
    <xf numFmtId="177" fontId="13" fillId="0" borderId="0" xfId="23" applyNumberFormat="1" applyFont="1" applyFill="1" applyBorder="1" applyAlignment="1">
      <alignment horizontal="left" vertical="top"/>
    </xf>
    <xf numFmtId="0" fontId="15" fillId="0" borderId="0" xfId="2" applyFont="1" applyFill="1" applyBorder="1" applyAlignment="1">
      <alignment vertical="top"/>
    </xf>
    <xf numFmtId="178" fontId="13" fillId="0" borderId="0" xfId="23" applyNumberFormat="1" applyFont="1" applyFill="1" applyBorder="1" applyAlignment="1">
      <alignment horizontal="left" vertical="top"/>
    </xf>
    <xf numFmtId="0" fontId="13" fillId="0" borderId="0" xfId="7" applyFont="1" applyFill="1" applyBorder="1" applyAlignment="1">
      <alignment vertical="top"/>
    </xf>
    <xf numFmtId="0" fontId="17" fillId="0" borderId="0" xfId="0" applyFont="1" applyFill="1" applyBorder="1" applyAlignment="1">
      <alignment vertical="center"/>
    </xf>
    <xf numFmtId="49" fontId="13" fillId="0" borderId="0" xfId="2" applyNumberFormat="1" applyFont="1" applyFill="1" applyBorder="1" applyAlignment="1">
      <alignment vertical="distributed"/>
    </xf>
    <xf numFmtId="0" fontId="13" fillId="0" borderId="0" xfId="2" quotePrefix="1" applyFont="1" applyFill="1" applyBorder="1" applyAlignment="1">
      <alignment vertical="distributed"/>
    </xf>
    <xf numFmtId="0" fontId="22" fillId="0" borderId="0" xfId="2" applyFont="1" applyFill="1" applyBorder="1" applyAlignment="1">
      <alignment horizontal="center" vertical="center"/>
    </xf>
    <xf numFmtId="0" fontId="13" fillId="0" borderId="0" xfId="2" applyFont="1" applyFill="1" applyBorder="1" applyAlignment="1">
      <alignment horizontal="right" vertical="center"/>
    </xf>
    <xf numFmtId="0" fontId="23" fillId="0" borderId="0" xfId="2" applyFont="1" applyFill="1" applyBorder="1" applyAlignment="1">
      <alignment vertical="center" wrapText="1"/>
    </xf>
    <xf numFmtId="49" fontId="13" fillId="0" borderId="0" xfId="2" applyNumberFormat="1" applyFont="1" applyFill="1" applyBorder="1" applyAlignment="1">
      <alignment vertical="top"/>
    </xf>
    <xf numFmtId="0" fontId="13" fillId="0" borderId="0" xfId="2" applyFont="1" applyFill="1" applyBorder="1" applyAlignment="1">
      <alignment vertical="center" wrapText="1"/>
    </xf>
    <xf numFmtId="49" fontId="15" fillId="0" borderId="0" xfId="2" applyNumberFormat="1" applyFont="1" applyFill="1" applyBorder="1" applyAlignment="1">
      <alignment horizontal="right" vertical="top"/>
    </xf>
    <xf numFmtId="0" fontId="15" fillId="0" borderId="0" xfId="2" applyFont="1" applyFill="1" applyBorder="1" applyAlignment="1">
      <alignment horizontal="left" vertical="top" wrapText="1"/>
    </xf>
    <xf numFmtId="0" fontId="0" fillId="3" borderId="1" xfId="0" applyFill="1" applyBorder="1">
      <alignment vertical="center"/>
    </xf>
    <xf numFmtId="0" fontId="7" fillId="3" borderId="1" xfId="2" applyFont="1" applyFill="1" applyBorder="1" applyAlignment="1">
      <alignment vertical="center"/>
    </xf>
    <xf numFmtId="0" fontId="14" fillId="0" borderId="0" xfId="2" applyFont="1" applyFill="1" applyBorder="1" applyAlignment="1">
      <alignment vertical="top" shrinkToFit="1"/>
    </xf>
    <xf numFmtId="0" fontId="14" fillId="0" borderId="1" xfId="2" applyFont="1" applyFill="1" applyBorder="1" applyAlignment="1">
      <alignment vertical="top" wrapText="1" shrinkToFit="1"/>
    </xf>
    <xf numFmtId="0" fontId="14" fillId="0" borderId="1" xfId="2" applyFont="1" applyFill="1" applyBorder="1" applyAlignment="1">
      <alignment vertical="top" shrinkToFit="1"/>
    </xf>
    <xf numFmtId="0" fontId="7" fillId="0" borderId="1" xfId="2" applyFont="1" applyBorder="1" applyAlignment="1">
      <alignment vertical="center"/>
    </xf>
    <xf numFmtId="0" fontId="13" fillId="0" borderId="0" xfId="2" applyNumberFormat="1" applyFont="1" applyFill="1" applyBorder="1" applyAlignment="1">
      <alignment horizontal="center" vertical="center"/>
    </xf>
    <xf numFmtId="0" fontId="13" fillId="0" borderId="0" xfId="2" applyFont="1" applyFill="1" applyBorder="1" applyAlignment="1">
      <alignment horizontal="center" vertical="center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0" xfId="0" applyBorder="1" applyProtection="1">
      <alignment vertical="center"/>
      <protection locked="0"/>
    </xf>
    <xf numFmtId="0" fontId="3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0" fillId="0" borderId="1" xfId="0" applyBorder="1" applyAlignment="1" applyProtection="1">
      <alignment vertical="center" wrapText="1"/>
      <protection locked="0"/>
    </xf>
    <xf numFmtId="0" fontId="0" fillId="0" borderId="1" xfId="0" applyBorder="1" applyProtection="1">
      <alignment vertical="center"/>
      <protection locked="0"/>
    </xf>
    <xf numFmtId="0" fontId="31" fillId="0" borderId="0" xfId="2" applyFont="1" applyFill="1" applyBorder="1" applyAlignment="1">
      <alignment horizontal="center" vertical="center"/>
    </xf>
    <xf numFmtId="0" fontId="13" fillId="0" borderId="0" xfId="2" applyFont="1" applyFill="1" applyBorder="1" applyAlignment="1">
      <alignment horizontal="left" vertical="center" wrapText="1"/>
    </xf>
    <xf numFmtId="0" fontId="13" fillId="0" borderId="0" xfId="2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shrinkToFit="1"/>
    </xf>
    <xf numFmtId="0" fontId="13" fillId="0" borderId="0" xfId="2" applyFont="1" applyFill="1" applyBorder="1" applyAlignment="1">
      <alignment horizontal="left" vertical="center"/>
    </xf>
    <xf numFmtId="0" fontId="15" fillId="0" borderId="0" xfId="2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left" vertical="center"/>
    </xf>
    <xf numFmtId="0" fontId="15" fillId="0" borderId="0" xfId="0" applyFont="1" applyFill="1" applyBorder="1" applyAlignment="1">
      <alignment horizontal="center" vertical="center"/>
    </xf>
    <xf numFmtId="0" fontId="13" fillId="0" borderId="0" xfId="2" applyFont="1" applyFill="1" applyBorder="1" applyAlignment="1">
      <alignment horizontal="left" vertical="center" shrinkToFit="1"/>
    </xf>
    <xf numFmtId="0" fontId="13" fillId="0" borderId="0" xfId="2" applyFont="1" applyFill="1" applyBorder="1" applyAlignment="1">
      <alignment horizontal="center" vertical="center" shrinkToFit="1"/>
    </xf>
    <xf numFmtId="0" fontId="15" fillId="0" borderId="0" xfId="2" applyFont="1" applyFill="1" applyBorder="1" applyAlignment="1">
      <alignment horizontal="center" vertical="center" shrinkToFit="1"/>
    </xf>
    <xf numFmtId="0" fontId="15" fillId="0" borderId="0" xfId="2" applyNumberFormat="1" applyFont="1" applyFill="1" applyBorder="1" applyAlignment="1">
      <alignment horizontal="center" vertical="center" shrinkToFit="1"/>
    </xf>
    <xf numFmtId="0" fontId="13" fillId="0" borderId="0" xfId="2" applyNumberFormat="1" applyFont="1" applyFill="1" applyBorder="1" applyAlignment="1">
      <alignment horizontal="center" vertical="center" shrinkToFit="1"/>
    </xf>
    <xf numFmtId="0" fontId="13" fillId="0" borderId="0" xfId="2" applyNumberFormat="1" applyFont="1" applyFill="1" applyBorder="1" applyAlignment="1">
      <alignment horizontal="center" vertical="center" wrapText="1" shrinkToFit="1"/>
    </xf>
    <xf numFmtId="49" fontId="15" fillId="0" borderId="0" xfId="2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0" fontId="13" fillId="0" borderId="0" xfId="2" applyFont="1" applyFill="1" applyBorder="1" applyAlignment="1">
      <alignment horizontal="right" vertical="center"/>
    </xf>
    <xf numFmtId="0" fontId="13" fillId="0" borderId="0" xfId="2" applyFont="1" applyFill="1" applyBorder="1" applyAlignment="1">
      <alignment horizontal="left" vertical="center" wrapText="1" shrinkToFit="1"/>
    </xf>
    <xf numFmtId="0" fontId="17" fillId="0" borderId="0" xfId="0" applyFont="1" applyFill="1" applyBorder="1" applyAlignment="1">
      <alignment horizontal="left" vertical="center" shrinkToFit="1"/>
    </xf>
    <xf numFmtId="49" fontId="13" fillId="0" borderId="0" xfId="2" applyNumberFormat="1" applyFont="1" applyFill="1" applyBorder="1" applyAlignment="1">
      <alignment horizontal="left" vertical="center" shrinkToFit="1"/>
    </xf>
    <xf numFmtId="0" fontId="13" fillId="0" borderId="0" xfId="0" applyFont="1" applyFill="1" applyBorder="1" applyAlignment="1">
      <alignment vertical="center" shrinkToFit="1"/>
    </xf>
    <xf numFmtId="0" fontId="13" fillId="0" borderId="0" xfId="2" applyFont="1" applyFill="1" applyBorder="1" applyAlignment="1">
      <alignment horizontal="center" vertical="center" wrapText="1"/>
    </xf>
    <xf numFmtId="176" fontId="15" fillId="0" borderId="0" xfId="2" applyNumberFormat="1" applyFont="1" applyFill="1" applyBorder="1" applyAlignment="1">
      <alignment horizontal="center" vertical="center" shrinkToFit="1"/>
    </xf>
    <xf numFmtId="0" fontId="17" fillId="0" borderId="0" xfId="0" applyFont="1" applyFill="1" applyBorder="1" applyAlignment="1">
      <alignment horizontal="center" vertical="center" shrinkToFit="1"/>
    </xf>
    <xf numFmtId="0" fontId="20" fillId="0" borderId="0" xfId="0" applyFont="1" applyFill="1" applyBorder="1" applyAlignment="1">
      <alignment horizontal="center" vertical="center" shrinkToFit="1"/>
    </xf>
    <xf numFmtId="0" fontId="21" fillId="0" borderId="0" xfId="0" applyFont="1" applyFill="1" applyBorder="1" applyAlignment="1">
      <alignment horizontal="center" vertical="center" wrapText="1" shrinkToFit="1"/>
    </xf>
    <xf numFmtId="0" fontId="7" fillId="0" borderId="0" xfId="2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49" fontId="13" fillId="0" borderId="0" xfId="2" applyNumberFormat="1" applyFont="1" applyFill="1" applyBorder="1" applyAlignment="1">
      <alignment horizontal="left" vertical="center"/>
    </xf>
    <xf numFmtId="0" fontId="17" fillId="0" borderId="0" xfId="0" applyFont="1" applyFill="1" applyBorder="1">
      <alignment vertical="center"/>
    </xf>
    <xf numFmtId="0" fontId="17" fillId="0" borderId="0" xfId="0" applyFont="1" applyFill="1" applyBorder="1" applyAlignment="1">
      <alignment horizontal="left" vertical="center" wrapText="1"/>
    </xf>
    <xf numFmtId="0" fontId="18" fillId="0" borderId="0" xfId="0" applyFont="1" applyFill="1" applyBorder="1" applyAlignment="1">
      <alignment vertical="center" shrinkToFit="1"/>
    </xf>
    <xf numFmtId="0" fontId="16" fillId="0" borderId="0" xfId="3" applyNumberFormat="1" applyFont="1" applyFill="1" applyBorder="1" applyAlignment="1">
      <alignment horizontal="center" vertical="top"/>
    </xf>
    <xf numFmtId="0" fontId="13" fillId="0" borderId="0" xfId="2" applyNumberFormat="1" applyFont="1" applyFill="1" applyBorder="1" applyAlignment="1">
      <alignment horizontal="center" vertical="top" shrinkToFit="1"/>
    </xf>
    <xf numFmtId="0" fontId="13" fillId="0" borderId="0" xfId="2" applyNumberFormat="1" applyFont="1" applyFill="1" applyBorder="1" applyAlignment="1">
      <alignment horizontal="left" vertical="center" wrapText="1"/>
    </xf>
    <xf numFmtId="0" fontId="16" fillId="0" borderId="0" xfId="3" applyNumberFormat="1" applyFont="1" applyFill="1" applyBorder="1" applyAlignment="1">
      <alignment horizontal="center" vertical="center"/>
    </xf>
    <xf numFmtId="0" fontId="13" fillId="0" borderId="0" xfId="2" applyNumberFormat="1" applyFont="1" applyFill="1" applyBorder="1" applyAlignment="1">
      <alignment horizontal="left" vertical="center" shrinkToFit="1"/>
    </xf>
    <xf numFmtId="0" fontId="15" fillId="0" borderId="0" xfId="2" applyFont="1" applyFill="1" applyBorder="1" applyAlignment="1">
      <alignment horizontal="center" vertical="center" wrapText="1"/>
    </xf>
    <xf numFmtId="0" fontId="18" fillId="0" borderId="0" xfId="2" applyFont="1" applyFill="1" applyBorder="1" applyAlignment="1">
      <alignment horizontal="left" vertical="center"/>
    </xf>
    <xf numFmtId="0" fontId="15" fillId="0" borderId="0" xfId="2" applyFont="1" applyFill="1" applyBorder="1" applyAlignment="1">
      <alignment horizontal="left" vertical="top" wrapText="1"/>
    </xf>
    <xf numFmtId="0" fontId="15" fillId="0" borderId="0" xfId="2" applyFont="1" applyFill="1" applyBorder="1" applyAlignment="1">
      <alignment horizontal="left" vertical="top"/>
    </xf>
    <xf numFmtId="0" fontId="17" fillId="0" borderId="0" xfId="0" applyFont="1" applyFill="1" applyBorder="1" applyAlignment="1">
      <alignment horizontal="left" vertical="top"/>
    </xf>
    <xf numFmtId="0" fontId="16" fillId="0" borderId="0" xfId="0" applyFont="1" applyFill="1" applyBorder="1" applyAlignment="1">
      <alignment vertical="top"/>
    </xf>
    <xf numFmtId="0" fontId="15" fillId="0" borderId="0" xfId="2" applyFont="1" applyFill="1" applyBorder="1" applyAlignment="1">
      <alignment vertical="top" wrapText="1"/>
    </xf>
    <xf numFmtId="0" fontId="17" fillId="0" borderId="0" xfId="0" applyFont="1" applyFill="1" applyBorder="1" applyAlignment="1">
      <alignment vertical="top" wrapText="1"/>
    </xf>
    <xf numFmtId="0" fontId="17" fillId="0" borderId="0" xfId="0" applyFont="1" applyFill="1" applyBorder="1" applyAlignment="1">
      <alignment vertical="top"/>
    </xf>
    <xf numFmtId="0" fontId="7" fillId="0" borderId="0" xfId="2" applyNumberFormat="1" applyFont="1" applyFill="1" applyBorder="1" applyAlignment="1">
      <alignment horizontal="center" vertical="center" wrapText="1" shrinkToFit="1"/>
    </xf>
    <xf numFmtId="0" fontId="7" fillId="0" borderId="0" xfId="2" applyNumberFormat="1" applyFont="1" applyFill="1" applyBorder="1" applyAlignment="1">
      <alignment horizontal="center" vertical="center" shrinkToFit="1"/>
    </xf>
    <xf numFmtId="0" fontId="25" fillId="0" borderId="0" xfId="2" applyNumberFormat="1" applyFont="1" applyFill="1" applyBorder="1" applyAlignment="1">
      <alignment horizontal="center" vertical="center" shrinkToFit="1"/>
    </xf>
    <xf numFmtId="0" fontId="7" fillId="0" borderId="0" xfId="2" applyFont="1" applyFill="1" applyBorder="1" applyAlignment="1">
      <alignment horizontal="center" vertical="center" shrinkToFit="1"/>
    </xf>
    <xf numFmtId="0" fontId="7" fillId="0" borderId="0" xfId="2" applyFont="1" applyFill="1" applyBorder="1" applyAlignment="1">
      <alignment horizontal="center" vertical="center" wrapText="1" shrinkToFit="1"/>
    </xf>
    <xf numFmtId="0" fontId="26" fillId="0" borderId="0" xfId="3" applyNumberFormat="1" applyFont="1" applyFill="1" applyBorder="1" applyAlignment="1">
      <alignment horizontal="right" vertical="top"/>
    </xf>
    <xf numFmtId="49" fontId="7" fillId="0" borderId="0" xfId="2" applyNumberFormat="1" applyFont="1" applyFill="1" applyBorder="1" applyAlignment="1">
      <alignment horizontal="center" vertical="top" shrinkToFit="1"/>
    </xf>
    <xf numFmtId="0" fontId="27" fillId="0" borderId="0" xfId="2" applyNumberFormat="1" applyFont="1" applyFill="1" applyBorder="1" applyAlignment="1">
      <alignment horizontal="center" vertical="center" shrinkToFit="1"/>
    </xf>
    <xf numFmtId="0" fontId="28" fillId="0" borderId="0" xfId="3" applyNumberFormat="1" applyFont="1" applyFill="1" applyBorder="1" applyAlignment="1">
      <alignment horizontal="right" vertical="top"/>
    </xf>
    <xf numFmtId="0" fontId="35" fillId="0" borderId="12" xfId="0" applyFont="1" applyBorder="1" applyAlignment="1">
      <alignment horizontal="center" vertical="center" wrapText="1"/>
    </xf>
    <xf numFmtId="0" fontId="35" fillId="0" borderId="13" xfId="0" applyFont="1" applyBorder="1" applyAlignment="1">
      <alignment horizontal="center" vertical="center" wrapText="1"/>
    </xf>
    <xf numFmtId="0" fontId="0" fillId="3" borderId="1" xfId="0" applyFill="1" applyBorder="1" applyAlignment="1" applyProtection="1">
      <alignment horizontal="center" vertical="center"/>
      <protection locked="0"/>
    </xf>
    <xf numFmtId="0" fontId="29" fillId="0" borderId="0" xfId="24" applyAlignment="1">
      <alignment horizontal="left" vertical="center"/>
    </xf>
    <xf numFmtId="0" fontId="0" fillId="0" borderId="11" xfId="0" applyFill="1" applyBorder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14" xfId="0" applyFill="1" applyBorder="1" applyAlignment="1" applyProtection="1">
      <alignment horizontal="left" vertical="center"/>
      <protection locked="0"/>
    </xf>
  </cellXfs>
  <cellStyles count="25">
    <cellStyle name="ハイパーリンク 2" xfId="19"/>
    <cellStyle name="ハイパーリンク 3" xfId="12"/>
    <cellStyle name="桁区切り" xfId="23" builtinId="6"/>
    <cellStyle name="桁区切り 2" xfId="5"/>
    <cellStyle name="桁区切り 3" xfId="20"/>
    <cellStyle name="桁区切り 4" xfId="22"/>
    <cellStyle name="標準" xfId="0" builtinId="0"/>
    <cellStyle name="標準 2" xfId="1"/>
    <cellStyle name="標準 2 2" xfId="3"/>
    <cellStyle name="標準 2 2 2" xfId="16"/>
    <cellStyle name="標準 2 2 3" xfId="15"/>
    <cellStyle name="標準 2 3" xfId="14"/>
    <cellStyle name="標準 2 4" xfId="8"/>
    <cellStyle name="標準 2 5" xfId="24"/>
    <cellStyle name="標準 3" xfId="4"/>
    <cellStyle name="標準 3 2" xfId="9"/>
    <cellStyle name="標準 4" xfId="6"/>
    <cellStyle name="標準 4 2" xfId="10"/>
    <cellStyle name="標準 5" xfId="13"/>
    <cellStyle name="標準 5 2" xfId="17"/>
    <cellStyle name="標準 6" xfId="18"/>
    <cellStyle name="標準 7" xfId="21"/>
    <cellStyle name="標準 8" xfId="11"/>
    <cellStyle name="標準_01.キャリア助成金受給資格認定申請様式" xfId="2"/>
    <cellStyle name="標準_キャリア形成促進助成金認定申請額積算内訳書（機構案④）" xfId="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182708</xdr:colOff>
      <xdr:row>67</xdr:row>
      <xdr:rowOff>236175</xdr:rowOff>
    </xdr:from>
    <xdr:to>
      <xdr:col>51</xdr:col>
      <xdr:colOff>11021</xdr:colOff>
      <xdr:row>69</xdr:row>
      <xdr:rowOff>20608</xdr:rowOff>
    </xdr:to>
    <xdr:sp macro="" textlink="">
      <xdr:nvSpPr>
        <xdr:cNvPr id="2" name="円/楕円 1">
          <a:extLst>
            <a:ext uri="{FF2B5EF4-FFF2-40B4-BE49-F238E27FC236}">
              <a16:creationId xmlns:a16="http://schemas.microsoft.com/office/drawing/2014/main" xmlns="" id="{DB7F2FA7-AEEF-43ED-A7F5-12291B8DEC6A}"/>
            </a:ext>
          </a:extLst>
        </xdr:cNvPr>
        <xdr:cNvSpPr/>
      </xdr:nvSpPr>
      <xdr:spPr>
        <a:xfrm>
          <a:off x="9826771" y="17762175"/>
          <a:ext cx="1245156" cy="308308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69</xdr:row>
      <xdr:rowOff>248083</xdr:rowOff>
    </xdr:from>
    <xdr:to>
      <xdr:col>55</xdr:col>
      <xdr:colOff>0</xdr:colOff>
      <xdr:row>71</xdr:row>
      <xdr:rowOff>32515</xdr:rowOff>
    </xdr:to>
    <xdr:sp macro="" textlink="">
      <xdr:nvSpPr>
        <xdr:cNvPr id="3" name="円/楕円 2">
          <a:extLst>
            <a:ext uri="{FF2B5EF4-FFF2-40B4-BE49-F238E27FC236}">
              <a16:creationId xmlns:a16="http://schemas.microsoft.com/office/drawing/2014/main" xmlns="" id="{A977287F-BD52-4838-96DF-23EE80CE4C1D}"/>
            </a:ext>
          </a:extLst>
        </xdr:cNvPr>
        <xdr:cNvSpPr/>
      </xdr:nvSpPr>
      <xdr:spPr>
        <a:xfrm>
          <a:off x="12009294" y="18297958"/>
          <a:ext cx="1233250" cy="308307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52</xdr:col>
      <xdr:colOff>0</xdr:colOff>
      <xdr:row>68</xdr:row>
      <xdr:rowOff>221671</xdr:rowOff>
    </xdr:from>
    <xdr:to>
      <xdr:col>55</xdr:col>
      <xdr:colOff>0</xdr:colOff>
      <xdr:row>70</xdr:row>
      <xdr:rowOff>10721</xdr:rowOff>
    </xdr:to>
    <xdr:sp macro="" textlink="">
      <xdr:nvSpPr>
        <xdr:cNvPr id="4" name="円/楕円 3">
          <a:extLst>
            <a:ext uri="{FF2B5EF4-FFF2-40B4-BE49-F238E27FC236}">
              <a16:creationId xmlns:a16="http://schemas.microsoft.com/office/drawing/2014/main" xmlns="" id="{ED57201F-F7ED-4F5A-B899-53B2B5955682}"/>
            </a:ext>
          </a:extLst>
        </xdr:cNvPr>
        <xdr:cNvSpPr/>
      </xdr:nvSpPr>
      <xdr:spPr>
        <a:xfrm>
          <a:off x="11999552" y="18009609"/>
          <a:ext cx="1233250" cy="312925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42</xdr:col>
      <xdr:colOff>339005</xdr:colOff>
      <xdr:row>71</xdr:row>
      <xdr:rowOff>477115</xdr:rowOff>
    </xdr:from>
    <xdr:to>
      <xdr:col>48</xdr:col>
      <xdr:colOff>177728</xdr:colOff>
      <xdr:row>73</xdr:row>
      <xdr:rowOff>21215</xdr:rowOff>
    </xdr:to>
    <xdr:sp macro="" textlink="">
      <xdr:nvSpPr>
        <xdr:cNvPr id="5" name="円/楕円 5">
          <a:extLst>
            <a:ext uri="{FF2B5EF4-FFF2-40B4-BE49-F238E27FC236}">
              <a16:creationId xmlns:a16="http://schemas.microsoft.com/office/drawing/2014/main" xmlns="" id="{CBDF703C-D422-4C68-A2E9-28634A927C84}"/>
            </a:ext>
          </a:extLst>
        </xdr:cNvPr>
        <xdr:cNvSpPr/>
      </xdr:nvSpPr>
      <xdr:spPr>
        <a:xfrm>
          <a:off x="8863880" y="19050865"/>
          <a:ext cx="1457973" cy="306100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6</xdr:col>
      <xdr:colOff>188593</xdr:colOff>
      <xdr:row>2</xdr:row>
      <xdr:rowOff>66676</xdr:rowOff>
    </xdr:from>
    <xdr:to>
      <xdr:col>17</xdr:col>
      <xdr:colOff>62865</xdr:colOff>
      <xdr:row>6</xdr:row>
      <xdr:rowOff>337186</xdr:rowOff>
    </xdr:to>
    <xdr:sp macro="" textlink="">
      <xdr:nvSpPr>
        <xdr:cNvPr id="12" name="吹き出し: 角を丸めた四角形 11">
          <a:extLst>
            <a:ext uri="{FF2B5EF4-FFF2-40B4-BE49-F238E27FC236}">
              <a16:creationId xmlns:a16="http://schemas.microsoft.com/office/drawing/2014/main" xmlns="" id="{EA68E9D6-786F-4A07-BC3D-896C874A2B49}"/>
            </a:ext>
          </a:extLst>
        </xdr:cNvPr>
        <xdr:cNvSpPr/>
      </xdr:nvSpPr>
      <xdr:spPr>
        <a:xfrm>
          <a:off x="6040753" y="874396"/>
          <a:ext cx="2929892" cy="1489710"/>
        </a:xfrm>
        <a:prstGeom prst="wedgeRoundRectCallout">
          <a:avLst>
            <a:gd name="adj1" fmla="val -79743"/>
            <a:gd name="adj2" fmla="val -63900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/>
            <a:t>教育訓練（日）</a:t>
          </a:r>
          <a:r>
            <a:rPr kumimoji="1" lang="ja-JP" altLang="en-US" sz="1100"/>
            <a:t>は下記のような計算をしています。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時間以上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8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時間未満を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0.5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8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時間のものを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として合算しています。</a:t>
          </a:r>
          <a:endParaRPr kumimoji="1" lang="ja-JP" altLang="en-US" sz="1100"/>
        </a:p>
      </xdr:txBody>
    </xdr:sp>
    <xdr:clientData/>
  </xdr:twoCellAnchor>
  <xdr:twoCellAnchor>
    <xdr:from>
      <xdr:col>10</xdr:col>
      <xdr:colOff>89534</xdr:colOff>
      <xdr:row>7</xdr:row>
      <xdr:rowOff>173354</xdr:rowOff>
    </xdr:from>
    <xdr:to>
      <xdr:col>32</xdr:col>
      <xdr:colOff>177165</xdr:colOff>
      <xdr:row>14</xdr:row>
      <xdr:rowOff>407670</xdr:rowOff>
    </xdr:to>
    <xdr:sp macro="" textlink="">
      <xdr:nvSpPr>
        <xdr:cNvPr id="9" name="吹き出し: 角を丸めた四角形 8">
          <a:extLst>
            <a:ext uri="{FF2B5EF4-FFF2-40B4-BE49-F238E27FC236}">
              <a16:creationId xmlns:a16="http://schemas.microsoft.com/office/drawing/2014/main" xmlns="" id="{455B4293-6968-4FDC-87D9-802DA4B5EE3A}"/>
            </a:ext>
          </a:extLst>
        </xdr:cNvPr>
        <xdr:cNvSpPr/>
      </xdr:nvSpPr>
      <xdr:spPr>
        <a:xfrm>
          <a:off x="6825614" y="2672714"/>
          <a:ext cx="5574031" cy="3541396"/>
        </a:xfrm>
        <a:prstGeom prst="wedgeRoundRectCallout">
          <a:avLst>
            <a:gd name="adj1" fmla="val -71734"/>
            <a:gd name="adj2" fmla="val -20811"/>
            <a:gd name="adj3" fmla="val 16667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こちらは提出書類ではございません。印刷等は不要です。</a:t>
          </a:r>
          <a:endParaRPr kumimoji="1" lang="en-US" altLang="ja-JP" sz="18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各受講生の受講状況シートを基に別ファイル「</a:t>
          </a:r>
          <a:r>
            <a:rPr kumimoji="1" lang="en-US" altLang="ja-JP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【</a:t>
          </a:r>
          <a:r>
            <a:rPr kumimoji="1" lang="ja-JP" altLang="en-US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支給申請</a:t>
          </a:r>
          <a:r>
            <a:rPr kumimoji="1" lang="en-US" altLang="ja-JP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】</a:t>
          </a:r>
          <a:r>
            <a:rPr kumimoji="1" lang="ja-JP" altLang="en-US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雇調金</a:t>
          </a:r>
          <a:r>
            <a:rPr kumimoji="1" lang="en-US" altLang="ja-JP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_</a:t>
          </a:r>
          <a:r>
            <a:rPr kumimoji="1" lang="ja-JP" altLang="en-US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様式</a:t>
          </a:r>
          <a:r>
            <a:rPr kumimoji="1" lang="en-US" altLang="ja-JP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4</a:t>
          </a:r>
          <a:r>
            <a:rPr kumimoji="1" lang="ja-JP" altLang="en-US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・</a:t>
          </a:r>
          <a:r>
            <a:rPr kumimoji="1" lang="en-US" altLang="ja-JP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6</a:t>
          </a:r>
          <a:r>
            <a:rPr kumimoji="1" lang="ja-JP" altLang="en-US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・</a:t>
          </a:r>
          <a:r>
            <a:rPr kumimoji="1" lang="en-US" altLang="ja-JP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7</a:t>
          </a:r>
          <a:r>
            <a:rPr kumimoji="1" lang="ja-JP" altLang="en-US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・</a:t>
          </a:r>
          <a:r>
            <a:rPr kumimoji="1" lang="en-US" altLang="ja-JP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8</a:t>
          </a:r>
          <a:r>
            <a:rPr kumimoji="1" lang="ja-JP" altLang="en-US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・</a:t>
          </a:r>
          <a:r>
            <a:rPr kumimoji="1" lang="en-US" altLang="ja-JP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9</a:t>
          </a:r>
          <a:r>
            <a:rPr kumimoji="1" lang="ja-JP" altLang="en-US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号</a:t>
          </a:r>
          <a:r>
            <a:rPr kumimoji="1" lang="en-US" altLang="ja-JP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.xlsm</a:t>
          </a:r>
          <a:r>
            <a:rPr kumimoji="1" lang="ja-JP" altLang="en-US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」の様式</a:t>
          </a:r>
          <a:r>
            <a:rPr kumimoji="1" lang="en-US" altLang="ja-JP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9</a:t>
          </a:r>
          <a:r>
            <a:rPr kumimoji="1" lang="ja-JP" altLang="en-US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号実績一覧表「教育訓練（日）」に記入してください。</a:t>
          </a:r>
          <a:endParaRPr kumimoji="1" lang="en-US" altLang="ja-JP" sz="18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en-US" altLang="ja-JP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【</a:t>
          </a:r>
          <a:r>
            <a:rPr kumimoji="1" lang="ja-JP" altLang="en-US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東京</a:t>
          </a:r>
          <a:r>
            <a:rPr kumimoji="1" lang="en-US" altLang="ja-JP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IT</a:t>
          </a:r>
          <a:r>
            <a:rPr kumimoji="1" lang="ja-JP" altLang="en-US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スクール</a:t>
          </a:r>
          <a:r>
            <a:rPr kumimoji="1" lang="en-US" altLang="ja-JP" sz="18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】</a:t>
          </a:r>
          <a:endParaRPr kumimoji="1" lang="ja-JP" altLang="en-US" sz="18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 editAs="oneCell">
    <xdr:from>
      <xdr:col>5</xdr:col>
      <xdr:colOff>0</xdr:colOff>
      <xdr:row>0</xdr:row>
      <xdr:rowOff>114299</xdr:rowOff>
    </xdr:from>
    <xdr:to>
      <xdr:col>6</xdr:col>
      <xdr:colOff>0</xdr:colOff>
      <xdr:row>0</xdr:row>
      <xdr:rowOff>371474</xdr:rowOff>
    </xdr:to>
    <xdr:pic>
      <xdr:nvPicPr>
        <xdr:cNvPr id="8" name="図 1" descr="TIS_logo.png">
          <a:extLst>
            <a:ext uri="{FF2B5EF4-FFF2-40B4-BE49-F238E27FC236}">
              <a16:creationId xmlns:a16="http://schemas.microsoft.com/office/drawing/2014/main" xmlns="" id="{709BDB07-43F8-4834-ACE1-859C36C39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19650" y="114299"/>
          <a:ext cx="160020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DE797"/>
  <sheetViews>
    <sheetView showZeros="0" tabSelected="1" view="pageBreakPreview" zoomScaleNormal="100" zoomScaleSheetLayoutView="100" workbookViewId="0"/>
  </sheetViews>
  <sheetFormatPr defaultColWidth="3.21875" defaultRowHeight="12" customHeight="1"/>
  <cols>
    <col min="1" max="1" width="22.21875" style="78" customWidth="1" collapsed="1"/>
    <col min="2" max="5" width="10.21875" style="78" customWidth="1" collapsed="1"/>
    <col min="6" max="6" width="22.21875" style="78" customWidth="1" collapsed="1"/>
    <col min="7" max="11" width="3.21875" style="1" collapsed="1"/>
    <col min="12" max="12" width="3.21875" style="1" customWidth="1" collapsed="1"/>
    <col min="13" max="14" width="7.77734375" style="43" customWidth="1" collapsed="1"/>
    <col min="15" max="16" width="3.21875" style="1" collapsed="1"/>
    <col min="17" max="17" width="3.21875" style="1" customWidth="1" collapsed="1"/>
    <col min="18" max="23" width="3.21875" style="1" collapsed="1"/>
    <col min="24" max="26" width="3.21875" style="1" customWidth="1" collapsed="1"/>
    <col min="27" max="34" width="3.21875" style="1" collapsed="1"/>
    <col min="35" max="36" width="3.21875" style="1" customWidth="1" collapsed="1"/>
    <col min="37" max="40" width="3.21875" style="1" collapsed="1"/>
    <col min="41" max="41" width="3.21875" style="1" customWidth="1" collapsed="1"/>
    <col min="42" max="42" width="3.21875" style="1" collapsed="1"/>
    <col min="43" max="43" width="3.21875" style="1" customWidth="1" collapsed="1"/>
    <col min="44" max="48" width="3.21875" style="1" collapsed="1"/>
    <col min="49" max="49" width="3.21875" style="1" customWidth="1" collapsed="1"/>
    <col min="50" max="56" width="3.21875" style="1" collapsed="1"/>
    <col min="57" max="102" width="7.77734375" style="1" customWidth="1" collapsed="1"/>
    <col min="103" max="109" width="7.77734375" style="43" customWidth="1" collapsed="1"/>
    <col min="110" max="111" width="3.21875" style="1" customWidth="1" collapsed="1"/>
    <col min="112" max="16384" width="3.21875" style="1" collapsed="1"/>
  </cols>
  <sheetData>
    <row r="1" spans="1:109" ht="32.25" customHeight="1">
      <c r="A1" s="77" t="s">
        <v>67</v>
      </c>
      <c r="B1" s="147"/>
      <c r="C1" s="148"/>
      <c r="L1" s="58"/>
      <c r="M1" s="69" t="s">
        <v>64</v>
      </c>
      <c r="N1" s="70" t="s">
        <v>61</v>
      </c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76"/>
      <c r="BB1" s="8"/>
      <c r="BC1" s="8"/>
      <c r="BE1" s="5" t="s">
        <v>0</v>
      </c>
      <c r="BF1" s="5" t="s">
        <v>1</v>
      </c>
      <c r="BG1" s="5" t="s">
        <v>2</v>
      </c>
      <c r="BH1" s="5" t="s">
        <v>3</v>
      </c>
      <c r="BI1" s="5" t="s">
        <v>4</v>
      </c>
      <c r="BJ1" s="5" t="s">
        <v>5</v>
      </c>
      <c r="BK1" s="5" t="s">
        <v>6</v>
      </c>
      <c r="BL1" s="5" t="s">
        <v>31</v>
      </c>
      <c r="BM1" s="5" t="s">
        <v>32</v>
      </c>
      <c r="BN1" s="5" t="s">
        <v>33</v>
      </c>
      <c r="BO1" s="5" t="s">
        <v>7</v>
      </c>
      <c r="BP1" s="5" t="s">
        <v>8</v>
      </c>
      <c r="BQ1" s="5" t="s">
        <v>9</v>
      </c>
      <c r="BR1" s="5" t="s">
        <v>10</v>
      </c>
      <c r="BS1" s="5" t="s">
        <v>11</v>
      </c>
      <c r="BT1" s="5" t="s">
        <v>34</v>
      </c>
      <c r="BU1" s="5" t="s">
        <v>35</v>
      </c>
      <c r="BV1" s="5" t="s">
        <v>36</v>
      </c>
      <c r="BW1" s="5" t="s">
        <v>37</v>
      </c>
      <c r="BX1" s="5" t="s">
        <v>38</v>
      </c>
      <c r="BY1" s="5" t="s">
        <v>12</v>
      </c>
      <c r="BZ1" s="5" t="s">
        <v>13</v>
      </c>
      <c r="CA1" s="5" t="s">
        <v>14</v>
      </c>
      <c r="CB1" s="5" t="s">
        <v>15</v>
      </c>
      <c r="CC1" s="5" t="s">
        <v>16</v>
      </c>
      <c r="CD1" s="5" t="s">
        <v>17</v>
      </c>
      <c r="CE1" s="5" t="s">
        <v>18</v>
      </c>
      <c r="CF1" s="5" t="s">
        <v>19</v>
      </c>
      <c r="CG1" s="5" t="s">
        <v>20</v>
      </c>
      <c r="CH1" s="5" t="s">
        <v>21</v>
      </c>
      <c r="CI1" s="5" t="s">
        <v>22</v>
      </c>
      <c r="CJ1" s="6" t="s">
        <v>39</v>
      </c>
      <c r="CK1" s="6" t="s">
        <v>23</v>
      </c>
      <c r="CL1" s="5" t="s">
        <v>24</v>
      </c>
      <c r="CM1" s="5" t="s">
        <v>25</v>
      </c>
      <c r="CN1" s="5" t="s">
        <v>26</v>
      </c>
      <c r="CO1" s="5" t="s">
        <v>27</v>
      </c>
      <c r="CP1" s="5" t="s">
        <v>28</v>
      </c>
      <c r="CQ1" s="5" t="s">
        <v>29</v>
      </c>
      <c r="CR1" s="5" t="s">
        <v>30</v>
      </c>
      <c r="CS1" s="5" t="s">
        <v>40</v>
      </c>
      <c r="CT1" s="5" t="s">
        <v>41</v>
      </c>
      <c r="CU1" s="21" t="s">
        <v>44</v>
      </c>
      <c r="CV1" s="21" t="s">
        <v>45</v>
      </c>
      <c r="CW1" s="21" t="s">
        <v>46</v>
      </c>
      <c r="CX1" s="21" t="s">
        <v>47</v>
      </c>
      <c r="CY1" s="74" t="s">
        <v>59</v>
      </c>
      <c r="CZ1" s="74" t="s">
        <v>60</v>
      </c>
      <c r="DA1" s="74" t="s">
        <v>62</v>
      </c>
      <c r="DB1" s="74" t="s">
        <v>63</v>
      </c>
      <c r="DC1" s="74" t="s">
        <v>65</v>
      </c>
      <c r="DD1" s="74" t="s">
        <v>66</v>
      </c>
      <c r="DE1" s="74" t="s">
        <v>61</v>
      </c>
    </row>
    <row r="2" spans="1:109" ht="32.25" customHeight="1">
      <c r="A2" s="79" t="s">
        <v>68</v>
      </c>
      <c r="B2" s="149">
        <f>BH2</f>
        <v>0</v>
      </c>
      <c r="C2" s="150"/>
      <c r="D2" s="145" t="s">
        <v>73</v>
      </c>
      <c r="E2" s="145"/>
      <c r="F2" s="86">
        <f>DE2</f>
        <v>0</v>
      </c>
      <c r="L2" s="71"/>
      <c r="M2" s="72">
        <f>BH2</f>
        <v>0</v>
      </c>
      <c r="N2" s="73">
        <f>DE2</f>
        <v>0</v>
      </c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 s="43"/>
      <c r="CW2" s="1">
        <f>CO2-CV2</f>
        <v>0</v>
      </c>
      <c r="CX2" s="1">
        <f>CQ2-CV2</f>
        <v>0</v>
      </c>
      <c r="CY2" s="50">
        <f>IF(CW2&gt;=0,(CN2-CU2),(CN2-CU2)-1)</f>
        <v>0</v>
      </c>
      <c r="CZ2" s="50">
        <f>FLOOR(IF(CW2&gt;=0,CW2,(60+CW2)),"30")</f>
        <v>0</v>
      </c>
      <c r="DA2" s="50">
        <f>IF(CZ2=30,(CY2+0.5),CY2)</f>
        <v>0</v>
      </c>
      <c r="DB2" s="50" t="str">
        <f>IF(AND(DA2&gt;=3,DA2&lt;8),DA2,"")</f>
        <v/>
      </c>
      <c r="DC2" s="50" t="str">
        <f>IF(DA2=8,1,"")</f>
        <v/>
      </c>
      <c r="DD2" s="50" t="str">
        <f>IF(DB2="","",0.5)</f>
        <v/>
      </c>
      <c r="DE2" s="50">
        <f>SUM(DC2:DD300)</f>
        <v>0</v>
      </c>
    </row>
    <row r="3" spans="1:109" ht="6.75" customHeight="1">
      <c r="B3" s="80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 s="43"/>
      <c r="CW3" s="1">
        <f t="shared" ref="CW3:CW66" si="0">CO3-CV3</f>
        <v>0</v>
      </c>
      <c r="CX3" s="1">
        <f t="shared" ref="CX3:CX66" si="1">CQ3-CV3</f>
        <v>0</v>
      </c>
      <c r="CY3" s="43">
        <f t="shared" ref="CY3:CY66" si="2">IF(CW3&gt;=0,(CN3-CU3),(CN3-CU3)-1)</f>
        <v>0</v>
      </c>
      <c r="CZ3" s="43">
        <f t="shared" ref="CZ3:CZ66" si="3">IF(CW3&gt;=0,CW3,(60+CW3))</f>
        <v>0</v>
      </c>
      <c r="DA3" s="43">
        <f t="shared" ref="DA3:DA66" si="4">IF(CZ3=30,(CY3+0.5),CY3)</f>
        <v>0</v>
      </c>
      <c r="DB3" s="43" t="str">
        <f t="shared" ref="DB3:DB66" si="5">IF(AND(DA3&gt;=3,DA3&lt;8),DA3,"")</f>
        <v/>
      </c>
      <c r="DC3" s="50" t="str">
        <f t="shared" ref="DC3:DC66" si="6">IF(DA3=8,1,"")</f>
        <v/>
      </c>
      <c r="DD3" s="50" t="str">
        <f t="shared" ref="DD3:DD66" si="7">IF(DB3="","",0.5)</f>
        <v/>
      </c>
    </row>
    <row r="4" spans="1:109" ht="15" customHeight="1">
      <c r="A4" s="81" t="s">
        <v>69</v>
      </c>
      <c r="B4" s="143" t="s">
        <v>70</v>
      </c>
      <c r="C4" s="144"/>
      <c r="D4" s="143" t="s">
        <v>71</v>
      </c>
      <c r="E4" s="144"/>
      <c r="F4" s="81" t="s">
        <v>72</v>
      </c>
      <c r="L4" s="51"/>
      <c r="M4" s="91"/>
      <c r="N4" s="91"/>
      <c r="O4" s="91"/>
      <c r="P4" s="91"/>
      <c r="Q4" s="91"/>
      <c r="R4" s="102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52"/>
      <c r="AK4" s="91"/>
      <c r="AL4" s="94"/>
      <c r="AM4" s="94"/>
      <c r="AN4" s="94"/>
      <c r="AO4" s="94"/>
      <c r="AP4" s="94"/>
      <c r="AQ4" s="92"/>
      <c r="AR4" s="93"/>
      <c r="AS4" s="93"/>
      <c r="AT4" s="93"/>
      <c r="AU4" s="93"/>
      <c r="AV4" s="93"/>
      <c r="AW4" s="93"/>
      <c r="AX4" s="93"/>
      <c r="AY4" s="93"/>
      <c r="AZ4" s="93"/>
      <c r="BA4" s="93"/>
      <c r="BB4" s="93"/>
      <c r="BC4" s="93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 s="43"/>
      <c r="CW4" s="1">
        <f t="shared" si="0"/>
        <v>0</v>
      </c>
      <c r="CX4" s="1">
        <f t="shared" si="1"/>
        <v>0</v>
      </c>
      <c r="CY4" s="43">
        <f t="shared" si="2"/>
        <v>0</v>
      </c>
      <c r="CZ4" s="43">
        <f t="shared" si="3"/>
        <v>0</v>
      </c>
      <c r="DA4" s="43">
        <f t="shared" si="4"/>
        <v>0</v>
      </c>
      <c r="DB4" s="43" t="str">
        <f t="shared" si="5"/>
        <v/>
      </c>
      <c r="DC4" s="50" t="str">
        <f t="shared" si="6"/>
        <v/>
      </c>
      <c r="DD4" s="50" t="str">
        <f t="shared" si="7"/>
        <v/>
      </c>
    </row>
    <row r="5" spans="1:109" ht="37.5" customHeight="1">
      <c r="A5" s="82" t="str">
        <f>CC2&amp;"月"&amp;CD2&amp;"日("&amp;CE2&amp;")"</f>
        <v>月日()</v>
      </c>
      <c r="B5" s="83" t="str">
        <f>CF2&amp;"時"</f>
        <v>時</v>
      </c>
      <c r="C5" s="84" t="str">
        <f>CG2&amp;"分"</f>
        <v>分</v>
      </c>
      <c r="D5" s="83" t="str">
        <f>CH2&amp;"時"</f>
        <v>時</v>
      </c>
      <c r="E5" s="84" t="str">
        <f>CI2&amp;"分"</f>
        <v>分</v>
      </c>
      <c r="F5" s="85" t="str">
        <f>IF(OR(CU2&lt;&gt;0,CV2&lt;&gt;0),CHAR(10)&amp;CT2&amp;"【中抜けあり】",CHAR(10)&amp;CT2)</f>
        <v xml:space="preserve">
</v>
      </c>
      <c r="L5" s="41"/>
      <c r="M5" s="91"/>
      <c r="N5" s="91"/>
      <c r="O5" s="91"/>
      <c r="P5" s="91"/>
      <c r="Q5" s="91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41"/>
      <c r="AK5" s="94"/>
      <c r="AL5" s="94"/>
      <c r="AM5" s="94"/>
      <c r="AN5" s="94"/>
      <c r="AO5" s="94"/>
      <c r="AP5" s="94"/>
      <c r="AQ5" s="93"/>
      <c r="AR5" s="93"/>
      <c r="AS5" s="93"/>
      <c r="AT5" s="93"/>
      <c r="AU5" s="93"/>
      <c r="AV5" s="93"/>
      <c r="AW5" s="93"/>
      <c r="AX5" s="93"/>
      <c r="AY5" s="93"/>
      <c r="AZ5" s="93"/>
      <c r="BA5" s="93"/>
      <c r="BB5" s="93"/>
      <c r="BC5" s="93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 s="43"/>
      <c r="CW5" s="1">
        <f t="shared" si="0"/>
        <v>0</v>
      </c>
      <c r="CX5" s="1">
        <f t="shared" si="1"/>
        <v>0</v>
      </c>
      <c r="CY5" s="43">
        <f t="shared" si="2"/>
        <v>0</v>
      </c>
      <c r="CZ5" s="43">
        <f t="shared" si="3"/>
        <v>0</v>
      </c>
      <c r="DA5" s="43">
        <f t="shared" si="4"/>
        <v>0</v>
      </c>
      <c r="DB5" s="43" t="str">
        <f t="shared" si="5"/>
        <v/>
      </c>
      <c r="DC5" s="50" t="str">
        <f t="shared" si="6"/>
        <v/>
      </c>
      <c r="DD5" s="50" t="str">
        <f t="shared" si="7"/>
        <v/>
      </c>
    </row>
    <row r="6" spans="1:109" ht="37.5" customHeight="1">
      <c r="A6" s="82" t="str">
        <f t="shared" ref="A6:A69" si="8">CC3&amp;"月"&amp;CD3&amp;"日("&amp;CE3&amp;")"</f>
        <v>月日()</v>
      </c>
      <c r="B6" s="83" t="str">
        <f t="shared" ref="B6:B69" si="9">CF3&amp;"時"</f>
        <v>時</v>
      </c>
      <c r="C6" s="84" t="str">
        <f t="shared" ref="C6:C69" si="10">CG3&amp;"分"</f>
        <v>分</v>
      </c>
      <c r="D6" s="83" t="str">
        <f t="shared" ref="D6:D69" si="11">CH3&amp;"時"</f>
        <v>時</v>
      </c>
      <c r="E6" s="84" t="str">
        <f t="shared" ref="E6:E69" si="12">CI3&amp;"分"</f>
        <v>分</v>
      </c>
      <c r="F6" s="85" t="str">
        <f t="shared" ref="F6:F69" si="13">IF(OR(CU3&lt;&gt;0,CV3&lt;&gt;0),CHAR(10)&amp;CT3&amp;"【中抜けあり】",CHAR(10)&amp;CT3)</f>
        <v xml:space="preserve">
</v>
      </c>
      <c r="L6" s="51"/>
      <c r="M6" s="88"/>
      <c r="N6" s="91"/>
      <c r="O6" s="91"/>
      <c r="P6" s="91"/>
      <c r="Q6" s="91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 s="43"/>
      <c r="CW6" s="1">
        <f t="shared" si="0"/>
        <v>0</v>
      </c>
      <c r="CX6" s="1">
        <f t="shared" si="1"/>
        <v>0</v>
      </c>
      <c r="CY6" s="43">
        <f t="shared" si="2"/>
        <v>0</v>
      </c>
      <c r="CZ6" s="43">
        <f t="shared" si="3"/>
        <v>0</v>
      </c>
      <c r="DA6" s="43">
        <f t="shared" si="4"/>
        <v>0</v>
      </c>
      <c r="DB6" s="43" t="str">
        <f t="shared" si="5"/>
        <v/>
      </c>
      <c r="DC6" s="50" t="str">
        <f t="shared" si="6"/>
        <v/>
      </c>
      <c r="DD6" s="50" t="str">
        <f t="shared" si="7"/>
        <v/>
      </c>
    </row>
    <row r="7" spans="1:109" ht="37.5" customHeight="1">
      <c r="A7" s="82" t="str">
        <f t="shared" si="8"/>
        <v>月日()</v>
      </c>
      <c r="B7" s="83" t="str">
        <f t="shared" si="9"/>
        <v>時</v>
      </c>
      <c r="C7" s="84" t="str">
        <f t="shared" si="10"/>
        <v>分</v>
      </c>
      <c r="D7" s="83" t="str">
        <f t="shared" si="11"/>
        <v>時</v>
      </c>
      <c r="E7" s="84" t="str">
        <f t="shared" si="12"/>
        <v>分</v>
      </c>
      <c r="F7" s="85" t="str">
        <f t="shared" si="13"/>
        <v xml:space="preserve">
</v>
      </c>
      <c r="L7" s="51"/>
      <c r="M7" s="88"/>
      <c r="N7" s="91"/>
      <c r="O7" s="91"/>
      <c r="P7" s="91"/>
      <c r="Q7" s="91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N7" s="21" t="s">
        <v>42</v>
      </c>
      <c r="BO7" s="21" t="s">
        <v>43</v>
      </c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 s="43"/>
      <c r="CW7" s="1">
        <f t="shared" si="0"/>
        <v>0</v>
      </c>
      <c r="CX7" s="1">
        <f t="shared" si="1"/>
        <v>0</v>
      </c>
      <c r="CY7" s="43">
        <f t="shared" si="2"/>
        <v>0</v>
      </c>
      <c r="CZ7" s="43">
        <f t="shared" si="3"/>
        <v>0</v>
      </c>
      <c r="DA7" s="43">
        <f t="shared" si="4"/>
        <v>0</v>
      </c>
      <c r="DB7" s="43" t="str">
        <f t="shared" si="5"/>
        <v/>
      </c>
      <c r="DC7" s="50" t="str">
        <f t="shared" si="6"/>
        <v/>
      </c>
      <c r="DD7" s="50" t="str">
        <f t="shared" si="7"/>
        <v/>
      </c>
    </row>
    <row r="8" spans="1:109" ht="37.5" customHeight="1">
      <c r="A8" s="82" t="str">
        <f t="shared" si="8"/>
        <v>月日()</v>
      </c>
      <c r="B8" s="83" t="str">
        <f t="shared" si="9"/>
        <v>時</v>
      </c>
      <c r="C8" s="84" t="str">
        <f t="shared" si="10"/>
        <v>分</v>
      </c>
      <c r="D8" s="83" t="str">
        <f t="shared" si="11"/>
        <v>時</v>
      </c>
      <c r="E8" s="84" t="str">
        <f t="shared" si="12"/>
        <v>分</v>
      </c>
      <c r="F8" s="85" t="str">
        <f t="shared" si="13"/>
        <v xml:space="preserve">
</v>
      </c>
      <c r="L8" s="41"/>
      <c r="M8" s="91"/>
      <c r="N8" s="91"/>
      <c r="O8" s="91"/>
      <c r="P8" s="91"/>
      <c r="Q8" s="91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N8" s="21">
        <f>ROUNDDOWN(SUM(CU2:CU197)+(SUM(CV2:CV197)/60),0)</f>
        <v>0</v>
      </c>
      <c r="BO8" s="21">
        <f>MOD(SUM(CV2:CV197),60)</f>
        <v>0</v>
      </c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 s="43"/>
      <c r="CW8" s="1">
        <f t="shared" si="0"/>
        <v>0</v>
      </c>
      <c r="CX8" s="1">
        <f t="shared" si="1"/>
        <v>0</v>
      </c>
      <c r="CY8" s="43">
        <f t="shared" si="2"/>
        <v>0</v>
      </c>
      <c r="CZ8" s="43">
        <f t="shared" si="3"/>
        <v>0</v>
      </c>
      <c r="DA8" s="43">
        <f t="shared" si="4"/>
        <v>0</v>
      </c>
      <c r="DB8" s="43" t="str">
        <f t="shared" si="5"/>
        <v/>
      </c>
      <c r="DC8" s="50" t="str">
        <f t="shared" si="6"/>
        <v/>
      </c>
      <c r="DD8" s="50" t="str">
        <f t="shared" si="7"/>
        <v/>
      </c>
    </row>
    <row r="9" spans="1:109" ht="37.5" customHeight="1">
      <c r="A9" s="82" t="str">
        <f t="shared" si="8"/>
        <v>月日()</v>
      </c>
      <c r="B9" s="83" t="str">
        <f t="shared" si="9"/>
        <v>時</v>
      </c>
      <c r="C9" s="84" t="str">
        <f t="shared" si="10"/>
        <v>分</v>
      </c>
      <c r="D9" s="83" t="str">
        <f t="shared" si="11"/>
        <v>時</v>
      </c>
      <c r="E9" s="84" t="str">
        <f t="shared" si="12"/>
        <v>分</v>
      </c>
      <c r="F9" s="85" t="str">
        <f t="shared" si="13"/>
        <v xml:space="preserve">
</v>
      </c>
      <c r="L9" s="51"/>
      <c r="M9" s="88"/>
      <c r="N9" s="88"/>
      <c r="O9" s="88"/>
      <c r="P9" s="88"/>
      <c r="Q9" s="88"/>
      <c r="R9" s="92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52"/>
      <c r="AK9" s="88"/>
      <c r="AL9" s="94"/>
      <c r="AM9" s="94"/>
      <c r="AN9" s="94"/>
      <c r="AO9" s="94"/>
      <c r="AP9" s="94"/>
      <c r="AQ9" s="94"/>
      <c r="AR9" s="95"/>
      <c r="AS9" s="95"/>
      <c r="AT9" s="95"/>
      <c r="AU9" s="95"/>
      <c r="AV9" s="95"/>
      <c r="AW9" s="95"/>
      <c r="AX9" s="95"/>
      <c r="AY9" s="95"/>
      <c r="AZ9" s="89"/>
      <c r="BA9" s="92"/>
      <c r="BB9" s="92"/>
      <c r="BC9" s="104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 s="43"/>
      <c r="CW9" s="1">
        <f t="shared" si="0"/>
        <v>0</v>
      </c>
      <c r="CX9" s="1">
        <f t="shared" si="1"/>
        <v>0</v>
      </c>
      <c r="CY9" s="43">
        <f t="shared" si="2"/>
        <v>0</v>
      </c>
      <c r="CZ9" s="43">
        <f t="shared" si="3"/>
        <v>0</v>
      </c>
      <c r="DA9" s="43">
        <f t="shared" si="4"/>
        <v>0</v>
      </c>
      <c r="DB9" s="43" t="str">
        <f t="shared" si="5"/>
        <v/>
      </c>
      <c r="DC9" s="50" t="str">
        <f t="shared" si="6"/>
        <v/>
      </c>
      <c r="DD9" s="50" t="str">
        <f t="shared" si="7"/>
        <v/>
      </c>
    </row>
    <row r="10" spans="1:109" ht="37.5" customHeight="1">
      <c r="A10" s="82" t="str">
        <f t="shared" si="8"/>
        <v>月日()</v>
      </c>
      <c r="B10" s="83" t="str">
        <f t="shared" si="9"/>
        <v>時</v>
      </c>
      <c r="C10" s="84" t="str">
        <f t="shared" si="10"/>
        <v>分</v>
      </c>
      <c r="D10" s="83" t="str">
        <f t="shared" si="11"/>
        <v>時</v>
      </c>
      <c r="E10" s="84" t="str">
        <f t="shared" si="12"/>
        <v>分</v>
      </c>
      <c r="F10" s="85" t="str">
        <f t="shared" si="13"/>
        <v xml:space="preserve">
</v>
      </c>
      <c r="L10" s="41"/>
      <c r="M10" s="88"/>
      <c r="N10" s="88"/>
      <c r="O10" s="88"/>
      <c r="P10" s="88"/>
      <c r="Q10" s="88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46"/>
      <c r="AK10" s="94"/>
      <c r="AL10" s="94"/>
      <c r="AM10" s="94"/>
      <c r="AN10" s="94"/>
      <c r="AO10" s="94"/>
      <c r="AP10" s="94"/>
      <c r="AQ10" s="94"/>
      <c r="AR10" s="95"/>
      <c r="AS10" s="95"/>
      <c r="AT10" s="95"/>
      <c r="AU10" s="95"/>
      <c r="AV10" s="95"/>
      <c r="AW10" s="95"/>
      <c r="AX10" s="95"/>
      <c r="AY10" s="95"/>
      <c r="AZ10" s="89"/>
      <c r="BA10" s="92"/>
      <c r="BB10" s="92"/>
      <c r="BC10" s="104"/>
      <c r="BN10" s="114"/>
      <c r="BO10" s="114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 s="43"/>
      <c r="CW10" s="1">
        <f t="shared" si="0"/>
        <v>0</v>
      </c>
      <c r="CX10" s="1">
        <f t="shared" si="1"/>
        <v>0</v>
      </c>
      <c r="CY10" s="43">
        <f t="shared" si="2"/>
        <v>0</v>
      </c>
      <c r="CZ10" s="43">
        <f t="shared" si="3"/>
        <v>0</v>
      </c>
      <c r="DA10" s="43">
        <f t="shared" si="4"/>
        <v>0</v>
      </c>
      <c r="DB10" s="43" t="str">
        <f t="shared" si="5"/>
        <v/>
      </c>
      <c r="DC10" s="50" t="str">
        <f t="shared" si="6"/>
        <v/>
      </c>
      <c r="DD10" s="50" t="str">
        <f t="shared" si="7"/>
        <v/>
      </c>
    </row>
    <row r="11" spans="1:109" ht="37.5" customHeight="1">
      <c r="A11" s="82" t="str">
        <f t="shared" si="8"/>
        <v>月日()</v>
      </c>
      <c r="B11" s="83" t="str">
        <f t="shared" si="9"/>
        <v>時</v>
      </c>
      <c r="C11" s="84" t="str">
        <f t="shared" si="10"/>
        <v>分</v>
      </c>
      <c r="D11" s="83" t="str">
        <f t="shared" si="11"/>
        <v>時</v>
      </c>
      <c r="E11" s="84" t="str">
        <f t="shared" si="12"/>
        <v>分</v>
      </c>
      <c r="F11" s="85" t="str">
        <f t="shared" si="13"/>
        <v xml:space="preserve">
</v>
      </c>
      <c r="L11" s="51"/>
      <c r="M11" s="88"/>
      <c r="N11" s="94"/>
      <c r="O11" s="94"/>
      <c r="P11" s="94"/>
      <c r="Q11" s="94"/>
      <c r="R11" s="92"/>
      <c r="S11" s="92"/>
      <c r="T11" s="92"/>
      <c r="U11" s="92"/>
      <c r="V11" s="92"/>
      <c r="W11" s="92"/>
      <c r="X11" s="92"/>
      <c r="Y11" s="92"/>
      <c r="Z11" s="92"/>
      <c r="AA11" s="115"/>
      <c r="AB11" s="115"/>
      <c r="AC11" s="95"/>
      <c r="AD11" s="95"/>
      <c r="AE11" s="95"/>
      <c r="AF11" s="95"/>
      <c r="AG11" s="95"/>
      <c r="AH11" s="115"/>
      <c r="AI11" s="115"/>
      <c r="AJ11" s="52"/>
      <c r="AK11" s="88"/>
      <c r="AL11" s="94"/>
      <c r="AM11" s="94"/>
      <c r="AN11" s="94"/>
      <c r="AO11" s="94"/>
      <c r="AP11" s="94"/>
      <c r="AQ11" s="94"/>
      <c r="AR11" s="95"/>
      <c r="AS11" s="95"/>
      <c r="AT11" s="95"/>
      <c r="AU11" s="95"/>
      <c r="AV11" s="95"/>
      <c r="AW11" s="95"/>
      <c r="AX11" s="95"/>
      <c r="AY11" s="95"/>
      <c r="AZ11" s="89"/>
      <c r="BA11" s="92"/>
      <c r="BB11" s="92"/>
      <c r="BC11" s="104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 s="43"/>
      <c r="CW11" s="1">
        <f t="shared" si="0"/>
        <v>0</v>
      </c>
      <c r="CX11" s="1">
        <f t="shared" si="1"/>
        <v>0</v>
      </c>
      <c r="CY11" s="43">
        <f t="shared" si="2"/>
        <v>0</v>
      </c>
      <c r="CZ11" s="43">
        <f t="shared" si="3"/>
        <v>0</v>
      </c>
      <c r="DA11" s="43">
        <f t="shared" si="4"/>
        <v>0</v>
      </c>
      <c r="DB11" s="43" t="str">
        <f t="shared" si="5"/>
        <v/>
      </c>
      <c r="DC11" s="50" t="str">
        <f t="shared" si="6"/>
        <v/>
      </c>
      <c r="DD11" s="50" t="str">
        <f t="shared" si="7"/>
        <v/>
      </c>
    </row>
    <row r="12" spans="1:109" ht="37.5" customHeight="1">
      <c r="A12" s="82" t="str">
        <f t="shared" si="8"/>
        <v>月日()</v>
      </c>
      <c r="B12" s="83" t="str">
        <f t="shared" si="9"/>
        <v>時</v>
      </c>
      <c r="C12" s="84" t="str">
        <f t="shared" si="10"/>
        <v>分</v>
      </c>
      <c r="D12" s="83" t="str">
        <f t="shared" si="11"/>
        <v>時</v>
      </c>
      <c r="E12" s="84" t="str">
        <f t="shared" si="12"/>
        <v>分</v>
      </c>
      <c r="F12" s="85" t="str">
        <f t="shared" si="13"/>
        <v xml:space="preserve">
</v>
      </c>
      <c r="L12" s="41"/>
      <c r="M12" s="94"/>
      <c r="N12" s="94"/>
      <c r="O12" s="94"/>
      <c r="P12" s="94"/>
      <c r="Q12" s="94"/>
      <c r="R12" s="92"/>
      <c r="S12" s="92"/>
      <c r="T12" s="92"/>
      <c r="U12" s="92"/>
      <c r="V12" s="92"/>
      <c r="W12" s="92"/>
      <c r="X12" s="92"/>
      <c r="Y12" s="92"/>
      <c r="Z12" s="92"/>
      <c r="AA12" s="115"/>
      <c r="AB12" s="115"/>
      <c r="AC12" s="95"/>
      <c r="AD12" s="95"/>
      <c r="AE12" s="95"/>
      <c r="AF12" s="95"/>
      <c r="AG12" s="95"/>
      <c r="AH12" s="115"/>
      <c r="AI12" s="115"/>
      <c r="AJ12" s="41"/>
      <c r="AK12" s="94"/>
      <c r="AL12" s="94"/>
      <c r="AM12" s="94"/>
      <c r="AN12" s="94"/>
      <c r="AO12" s="94"/>
      <c r="AP12" s="94"/>
      <c r="AQ12" s="94"/>
      <c r="AR12" s="95"/>
      <c r="AS12" s="95"/>
      <c r="AT12" s="95"/>
      <c r="AU12" s="95"/>
      <c r="AV12" s="95"/>
      <c r="AW12" s="95"/>
      <c r="AX12" s="95"/>
      <c r="AY12" s="95"/>
      <c r="AZ12" s="89"/>
      <c r="BA12" s="92"/>
      <c r="BB12" s="92"/>
      <c r="BC12" s="104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W12" s="1">
        <f t="shared" si="0"/>
        <v>0</v>
      </c>
      <c r="CX12" s="1">
        <f t="shared" si="1"/>
        <v>0</v>
      </c>
      <c r="CY12" s="43">
        <f t="shared" si="2"/>
        <v>0</v>
      </c>
      <c r="CZ12" s="43">
        <f t="shared" si="3"/>
        <v>0</v>
      </c>
      <c r="DA12" s="43">
        <f t="shared" si="4"/>
        <v>0</v>
      </c>
      <c r="DB12" s="43" t="str">
        <f t="shared" si="5"/>
        <v/>
      </c>
      <c r="DC12" s="50" t="str">
        <f t="shared" si="6"/>
        <v/>
      </c>
      <c r="DD12" s="50" t="str">
        <f t="shared" si="7"/>
        <v/>
      </c>
    </row>
    <row r="13" spans="1:109" ht="37.5" customHeight="1">
      <c r="A13" s="82" t="str">
        <f t="shared" si="8"/>
        <v>月日()</v>
      </c>
      <c r="B13" s="83" t="str">
        <f t="shared" si="9"/>
        <v>時</v>
      </c>
      <c r="C13" s="84" t="str">
        <f t="shared" si="10"/>
        <v>分</v>
      </c>
      <c r="D13" s="83" t="str">
        <f t="shared" si="11"/>
        <v>時</v>
      </c>
      <c r="E13" s="84" t="str">
        <f t="shared" si="12"/>
        <v>分</v>
      </c>
      <c r="F13" s="85" t="str">
        <f t="shared" si="13"/>
        <v xml:space="preserve">
</v>
      </c>
      <c r="L13" s="52"/>
      <c r="M13" s="105"/>
      <c r="N13" s="96"/>
      <c r="O13" s="96"/>
      <c r="P13" s="96"/>
      <c r="Q13" s="106"/>
      <c r="R13" s="107"/>
      <c r="S13" s="108"/>
      <c r="T13" s="108"/>
      <c r="U13" s="108"/>
      <c r="V13" s="108"/>
      <c r="W13" s="108"/>
      <c r="X13" s="9"/>
      <c r="Y13" s="9"/>
      <c r="Z13" s="9"/>
      <c r="AA13" s="9"/>
      <c r="AB13" s="11"/>
      <c r="AC13" s="11"/>
      <c r="AD13" s="9"/>
      <c r="AE13" s="9"/>
      <c r="AF13" s="11"/>
      <c r="AG13" s="11"/>
      <c r="AH13" s="9"/>
      <c r="AI13" s="9"/>
      <c r="AJ13" s="46"/>
      <c r="AK13" s="109"/>
      <c r="AL13" s="89"/>
      <c r="AM13" s="89"/>
      <c r="AN13" s="89"/>
      <c r="AO13" s="89"/>
      <c r="AP13" s="89"/>
      <c r="AQ13" s="89"/>
      <c r="AR13" s="110"/>
      <c r="AS13" s="110"/>
      <c r="AT13" s="110"/>
      <c r="AU13" s="110"/>
      <c r="AV13" s="110"/>
      <c r="AW13" s="110"/>
      <c r="AX13" s="110"/>
      <c r="AY13" s="110"/>
      <c r="AZ13" s="111"/>
      <c r="BA13" s="113"/>
      <c r="BB13" s="113"/>
      <c r="BC13" s="113"/>
      <c r="BD13" s="20"/>
      <c r="BE13" s="20"/>
      <c r="BF13" s="20"/>
      <c r="BG13" s="20"/>
      <c r="BH13" s="20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W13" s="1">
        <f t="shared" si="0"/>
        <v>0</v>
      </c>
      <c r="CX13" s="1">
        <f t="shared" si="1"/>
        <v>0</v>
      </c>
      <c r="CY13" s="43">
        <f t="shared" si="2"/>
        <v>0</v>
      </c>
      <c r="CZ13" s="43">
        <f t="shared" si="3"/>
        <v>0</v>
      </c>
      <c r="DA13" s="43">
        <f t="shared" si="4"/>
        <v>0</v>
      </c>
      <c r="DB13" s="43" t="str">
        <f t="shared" si="5"/>
        <v/>
      </c>
      <c r="DC13" s="50" t="str">
        <f t="shared" si="6"/>
        <v/>
      </c>
      <c r="DD13" s="50" t="str">
        <f t="shared" si="7"/>
        <v/>
      </c>
    </row>
    <row r="14" spans="1:109" ht="37.5" customHeight="1">
      <c r="A14" s="82" t="str">
        <f t="shared" si="8"/>
        <v>月日()</v>
      </c>
      <c r="B14" s="83" t="str">
        <f t="shared" si="9"/>
        <v>時</v>
      </c>
      <c r="C14" s="84" t="str">
        <f t="shared" si="10"/>
        <v>分</v>
      </c>
      <c r="D14" s="83" t="str">
        <f t="shared" si="11"/>
        <v>時</v>
      </c>
      <c r="E14" s="84" t="str">
        <f t="shared" si="12"/>
        <v>分</v>
      </c>
      <c r="F14" s="85" t="str">
        <f t="shared" si="13"/>
        <v xml:space="preserve">
</v>
      </c>
      <c r="L14" s="52"/>
      <c r="M14" s="96"/>
      <c r="N14" s="96"/>
      <c r="O14" s="96"/>
      <c r="P14" s="96"/>
      <c r="Q14" s="106"/>
      <c r="R14" s="90"/>
      <c r="S14" s="90"/>
      <c r="T14" s="9"/>
      <c r="U14" s="90"/>
      <c r="V14" s="90"/>
      <c r="W14" s="9"/>
      <c r="X14" s="9"/>
      <c r="Y14" s="9"/>
      <c r="Z14" s="10"/>
      <c r="AA14" s="9"/>
      <c r="AB14" s="90"/>
      <c r="AC14" s="90"/>
      <c r="AD14" s="10"/>
      <c r="AE14" s="90"/>
      <c r="AF14" s="90"/>
      <c r="AG14" s="11"/>
      <c r="AH14" s="12"/>
      <c r="AI14" s="9"/>
      <c r="AJ14" s="53"/>
      <c r="AK14" s="89"/>
      <c r="AL14" s="89"/>
      <c r="AM14" s="89"/>
      <c r="AN14" s="89"/>
      <c r="AO14" s="89"/>
      <c r="AP14" s="89"/>
      <c r="AQ14" s="89"/>
      <c r="AR14" s="110"/>
      <c r="AS14" s="110"/>
      <c r="AT14" s="110"/>
      <c r="AU14" s="110"/>
      <c r="AV14" s="110"/>
      <c r="AW14" s="110"/>
      <c r="AX14" s="110"/>
      <c r="AY14" s="110"/>
      <c r="AZ14" s="112"/>
      <c r="BA14" s="113"/>
      <c r="BB14" s="113"/>
      <c r="BC14" s="113"/>
      <c r="BD14" s="20"/>
      <c r="BE14" s="20"/>
      <c r="BF14" s="20"/>
      <c r="BG14" s="20"/>
      <c r="BH14" s="20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W14" s="1">
        <f t="shared" si="0"/>
        <v>0</v>
      </c>
      <c r="CX14" s="1">
        <f t="shared" si="1"/>
        <v>0</v>
      </c>
      <c r="CY14" s="43">
        <f t="shared" si="2"/>
        <v>0</v>
      </c>
      <c r="CZ14" s="43">
        <f t="shared" si="3"/>
        <v>0</v>
      </c>
      <c r="DA14" s="43">
        <f t="shared" si="4"/>
        <v>0</v>
      </c>
      <c r="DB14" s="43" t="str">
        <f t="shared" si="5"/>
        <v/>
      </c>
      <c r="DC14" s="50" t="str">
        <f t="shared" si="6"/>
        <v/>
      </c>
      <c r="DD14" s="50" t="str">
        <f t="shared" si="7"/>
        <v/>
      </c>
    </row>
    <row r="15" spans="1:109" ht="37.5" customHeight="1">
      <c r="A15" s="82" t="str">
        <f t="shared" si="8"/>
        <v>月日()</v>
      </c>
      <c r="B15" s="83" t="str">
        <f t="shared" si="9"/>
        <v>時</v>
      </c>
      <c r="C15" s="84" t="str">
        <f t="shared" si="10"/>
        <v>分</v>
      </c>
      <c r="D15" s="83" t="str">
        <f t="shared" si="11"/>
        <v>時</v>
      </c>
      <c r="E15" s="84" t="str">
        <f t="shared" si="12"/>
        <v>分</v>
      </c>
      <c r="F15" s="85" t="str">
        <f t="shared" si="13"/>
        <v xml:space="preserve">
</v>
      </c>
      <c r="L15" s="52"/>
      <c r="M15" s="96"/>
      <c r="N15" s="96"/>
      <c r="O15" s="96"/>
      <c r="P15" s="96"/>
      <c r="Q15" s="106"/>
      <c r="R15" s="90"/>
      <c r="S15" s="90"/>
      <c r="T15" s="9"/>
      <c r="U15" s="90"/>
      <c r="V15" s="90"/>
      <c r="W15" s="9"/>
      <c r="X15" s="9"/>
      <c r="Y15" s="9"/>
      <c r="Z15" s="10"/>
      <c r="AA15" s="9"/>
      <c r="AB15" s="90"/>
      <c r="AC15" s="90"/>
      <c r="AD15" s="10"/>
      <c r="AE15" s="90"/>
      <c r="AF15" s="90"/>
      <c r="AG15" s="11"/>
      <c r="AH15" s="12"/>
      <c r="AI15" s="9"/>
      <c r="AJ15" s="116"/>
      <c r="AK15" s="117"/>
      <c r="AL15" s="117"/>
      <c r="AM15" s="117"/>
      <c r="AN15" s="117"/>
      <c r="AO15" s="117"/>
      <c r="AP15" s="117"/>
      <c r="AQ15" s="117"/>
      <c r="AR15" s="117"/>
      <c r="AS15" s="117"/>
      <c r="AT15" s="117"/>
      <c r="AU15" s="117"/>
      <c r="AV15" s="117"/>
      <c r="AW15" s="117"/>
      <c r="AX15" s="117"/>
      <c r="AY15" s="117"/>
      <c r="AZ15" s="117"/>
      <c r="BA15" s="117"/>
      <c r="BB15" s="117"/>
      <c r="BC15" s="117"/>
      <c r="BD15" s="20"/>
      <c r="BE15" s="20"/>
      <c r="BF15" s="20"/>
      <c r="BG15" s="20"/>
      <c r="BH15" s="20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W15" s="1">
        <f t="shared" si="0"/>
        <v>0</v>
      </c>
      <c r="CX15" s="1">
        <f t="shared" si="1"/>
        <v>0</v>
      </c>
      <c r="CY15" s="43">
        <f t="shared" si="2"/>
        <v>0</v>
      </c>
      <c r="CZ15" s="43">
        <f t="shared" si="3"/>
        <v>0</v>
      </c>
      <c r="DA15" s="43">
        <f t="shared" si="4"/>
        <v>0</v>
      </c>
      <c r="DB15" s="43" t="str">
        <f t="shared" si="5"/>
        <v/>
      </c>
      <c r="DC15" s="50" t="str">
        <f t="shared" si="6"/>
        <v/>
      </c>
      <c r="DD15" s="50" t="str">
        <f t="shared" si="7"/>
        <v/>
      </c>
    </row>
    <row r="16" spans="1:109" ht="37.5" customHeight="1">
      <c r="A16" s="82" t="str">
        <f t="shared" si="8"/>
        <v>月日()</v>
      </c>
      <c r="B16" s="83" t="str">
        <f t="shared" si="9"/>
        <v>時</v>
      </c>
      <c r="C16" s="84" t="str">
        <f t="shared" si="10"/>
        <v>分</v>
      </c>
      <c r="D16" s="83" t="str">
        <f t="shared" si="11"/>
        <v>時</v>
      </c>
      <c r="E16" s="84" t="str">
        <f t="shared" si="12"/>
        <v>分</v>
      </c>
      <c r="F16" s="85" t="str">
        <f t="shared" si="13"/>
        <v xml:space="preserve">
</v>
      </c>
      <c r="L16" s="52"/>
      <c r="M16" s="96"/>
      <c r="N16" s="96"/>
      <c r="O16" s="96"/>
      <c r="P16" s="96"/>
      <c r="Q16" s="106"/>
      <c r="R16" s="90"/>
      <c r="S16" s="90"/>
      <c r="T16" s="9"/>
      <c r="U16" s="90"/>
      <c r="V16" s="90"/>
      <c r="W16" s="9"/>
      <c r="X16" s="9"/>
      <c r="Y16" s="9"/>
      <c r="Z16" s="10"/>
      <c r="AA16" s="9"/>
      <c r="AB16" s="90"/>
      <c r="AC16" s="90"/>
      <c r="AD16" s="10"/>
      <c r="AE16" s="90"/>
      <c r="AF16" s="90"/>
      <c r="AG16" s="11"/>
      <c r="AH16" s="12"/>
      <c r="AI16" s="9"/>
      <c r="AJ16" s="59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20"/>
      <c r="BE16" s="20"/>
      <c r="BF16" s="20"/>
      <c r="BG16" s="20"/>
      <c r="BH16" s="20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W16" s="1">
        <f t="shared" si="0"/>
        <v>0</v>
      </c>
      <c r="CX16" s="1">
        <f t="shared" si="1"/>
        <v>0</v>
      </c>
      <c r="CY16" s="43">
        <f t="shared" si="2"/>
        <v>0</v>
      </c>
      <c r="CZ16" s="43">
        <f t="shared" si="3"/>
        <v>0</v>
      </c>
      <c r="DA16" s="43">
        <f t="shared" si="4"/>
        <v>0</v>
      </c>
      <c r="DB16" s="43" t="str">
        <f t="shared" si="5"/>
        <v/>
      </c>
      <c r="DC16" s="50" t="str">
        <f t="shared" si="6"/>
        <v/>
      </c>
      <c r="DD16" s="50" t="str">
        <f t="shared" si="7"/>
        <v/>
      </c>
    </row>
    <row r="17" spans="1:108" ht="37.5" customHeight="1">
      <c r="A17" s="82" t="str">
        <f t="shared" si="8"/>
        <v>月日()</v>
      </c>
      <c r="B17" s="83" t="str">
        <f t="shared" si="9"/>
        <v>時</v>
      </c>
      <c r="C17" s="84" t="str">
        <f t="shared" si="10"/>
        <v>分</v>
      </c>
      <c r="D17" s="83" t="str">
        <f t="shared" si="11"/>
        <v>時</v>
      </c>
      <c r="E17" s="84" t="str">
        <f t="shared" si="12"/>
        <v>分</v>
      </c>
      <c r="F17" s="85" t="str">
        <f t="shared" si="13"/>
        <v xml:space="preserve">
</v>
      </c>
      <c r="L17" s="54"/>
      <c r="M17" s="96"/>
      <c r="N17" s="96"/>
      <c r="O17" s="96"/>
      <c r="P17" s="96"/>
      <c r="Q17" s="106"/>
      <c r="R17" s="107"/>
      <c r="S17" s="119"/>
      <c r="T17" s="119"/>
      <c r="U17" s="119"/>
      <c r="V17" s="119"/>
      <c r="W17" s="119"/>
      <c r="X17" s="48"/>
      <c r="Y17" s="9"/>
      <c r="Z17" s="9"/>
      <c r="AA17" s="12"/>
      <c r="AB17" s="12"/>
      <c r="AC17" s="11"/>
      <c r="AD17" s="9"/>
      <c r="AE17" s="9"/>
      <c r="AF17" s="11"/>
      <c r="AG17" s="11"/>
      <c r="AH17" s="9"/>
      <c r="AI17" s="9"/>
      <c r="AJ17" s="59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20"/>
      <c r="BE17" s="20"/>
      <c r="BF17" s="20"/>
      <c r="BG17" s="20"/>
      <c r="BH17" s="20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W17" s="1">
        <f t="shared" si="0"/>
        <v>0</v>
      </c>
      <c r="CX17" s="1">
        <f t="shared" si="1"/>
        <v>0</v>
      </c>
      <c r="CY17" s="43">
        <f t="shared" si="2"/>
        <v>0</v>
      </c>
      <c r="CZ17" s="43">
        <f t="shared" si="3"/>
        <v>0</v>
      </c>
      <c r="DA17" s="43">
        <f t="shared" si="4"/>
        <v>0</v>
      </c>
      <c r="DB17" s="43" t="str">
        <f t="shared" si="5"/>
        <v/>
      </c>
      <c r="DC17" s="50" t="str">
        <f t="shared" si="6"/>
        <v/>
      </c>
      <c r="DD17" s="50" t="str">
        <f t="shared" si="7"/>
        <v/>
      </c>
    </row>
    <row r="18" spans="1:108" ht="37.5" customHeight="1">
      <c r="A18" s="82" t="str">
        <f t="shared" si="8"/>
        <v>月日()</v>
      </c>
      <c r="B18" s="83" t="str">
        <f t="shared" si="9"/>
        <v>時</v>
      </c>
      <c r="C18" s="84" t="str">
        <f t="shared" si="10"/>
        <v>分</v>
      </c>
      <c r="D18" s="83" t="str">
        <f t="shared" si="11"/>
        <v>時</v>
      </c>
      <c r="E18" s="84" t="str">
        <f t="shared" si="12"/>
        <v>分</v>
      </c>
      <c r="F18" s="85" t="str">
        <f t="shared" si="13"/>
        <v xml:space="preserve">
</v>
      </c>
      <c r="L18" s="54"/>
      <c r="M18" s="96"/>
      <c r="N18" s="96"/>
      <c r="O18" s="96"/>
      <c r="P18" s="96"/>
      <c r="Q18" s="106"/>
      <c r="R18" s="90"/>
      <c r="S18" s="90"/>
      <c r="T18" s="9"/>
      <c r="U18" s="90"/>
      <c r="V18" s="90"/>
      <c r="W18" s="9"/>
      <c r="X18" s="9"/>
      <c r="Y18" s="9"/>
      <c r="Z18" s="10"/>
      <c r="AA18" s="9"/>
      <c r="AB18" s="90"/>
      <c r="AC18" s="90"/>
      <c r="AD18" s="10"/>
      <c r="AE18" s="90"/>
      <c r="AF18" s="90"/>
      <c r="AG18" s="11"/>
      <c r="AH18" s="12"/>
      <c r="AI18" s="9"/>
      <c r="AJ18" s="59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20"/>
      <c r="BE18" s="20"/>
      <c r="BF18" s="20"/>
      <c r="BG18" s="20"/>
      <c r="BH18" s="20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W18" s="1">
        <f t="shared" si="0"/>
        <v>0</v>
      </c>
      <c r="CX18" s="1">
        <f t="shared" si="1"/>
        <v>0</v>
      </c>
      <c r="CY18" s="43">
        <f t="shared" si="2"/>
        <v>0</v>
      </c>
      <c r="CZ18" s="43">
        <f t="shared" si="3"/>
        <v>0</v>
      </c>
      <c r="DA18" s="43">
        <f t="shared" si="4"/>
        <v>0</v>
      </c>
      <c r="DB18" s="43" t="str">
        <f t="shared" si="5"/>
        <v/>
      </c>
      <c r="DC18" s="50" t="str">
        <f t="shared" si="6"/>
        <v/>
      </c>
      <c r="DD18" s="50" t="str">
        <f t="shared" si="7"/>
        <v/>
      </c>
    </row>
    <row r="19" spans="1:108" ht="37.5" customHeight="1">
      <c r="A19" s="82" t="str">
        <f t="shared" si="8"/>
        <v>月日()</v>
      </c>
      <c r="B19" s="83" t="str">
        <f t="shared" si="9"/>
        <v>時</v>
      </c>
      <c r="C19" s="84" t="str">
        <f t="shared" si="10"/>
        <v>分</v>
      </c>
      <c r="D19" s="83" t="str">
        <f t="shared" si="11"/>
        <v>時</v>
      </c>
      <c r="E19" s="84" t="str">
        <f t="shared" si="12"/>
        <v>分</v>
      </c>
      <c r="F19" s="85" t="str">
        <f t="shared" si="13"/>
        <v xml:space="preserve">
</v>
      </c>
      <c r="L19" s="54"/>
      <c r="M19" s="96"/>
      <c r="N19" s="96"/>
      <c r="O19" s="96"/>
      <c r="P19" s="96"/>
      <c r="Q19" s="106"/>
      <c r="R19" s="90"/>
      <c r="S19" s="90"/>
      <c r="T19" s="9"/>
      <c r="U19" s="90"/>
      <c r="V19" s="90"/>
      <c r="W19" s="9"/>
      <c r="X19" s="9"/>
      <c r="Y19" s="9"/>
      <c r="Z19" s="10"/>
      <c r="AA19" s="9"/>
      <c r="AB19" s="90"/>
      <c r="AC19" s="90"/>
      <c r="AD19" s="10"/>
      <c r="AE19" s="90"/>
      <c r="AF19" s="90"/>
      <c r="AG19" s="11"/>
      <c r="AH19" s="12"/>
      <c r="AI19" s="9"/>
      <c r="AJ19" s="59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20"/>
      <c r="BE19" s="20"/>
      <c r="BF19" s="20"/>
      <c r="BG19" s="20"/>
      <c r="BH19" s="20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W19" s="1">
        <f t="shared" si="0"/>
        <v>0</v>
      </c>
      <c r="CX19" s="1">
        <f t="shared" si="1"/>
        <v>0</v>
      </c>
      <c r="CY19" s="43">
        <f t="shared" si="2"/>
        <v>0</v>
      </c>
      <c r="CZ19" s="43">
        <f t="shared" si="3"/>
        <v>0</v>
      </c>
      <c r="DA19" s="43">
        <f t="shared" si="4"/>
        <v>0</v>
      </c>
      <c r="DB19" s="43" t="str">
        <f t="shared" si="5"/>
        <v/>
      </c>
      <c r="DC19" s="50" t="str">
        <f t="shared" si="6"/>
        <v/>
      </c>
      <c r="DD19" s="50" t="str">
        <f t="shared" si="7"/>
        <v/>
      </c>
    </row>
    <row r="20" spans="1:108" ht="37.5" customHeight="1">
      <c r="A20" s="82" t="str">
        <f t="shared" si="8"/>
        <v>月日()</v>
      </c>
      <c r="B20" s="83" t="str">
        <f t="shared" si="9"/>
        <v>時</v>
      </c>
      <c r="C20" s="84" t="str">
        <f t="shared" si="10"/>
        <v>分</v>
      </c>
      <c r="D20" s="83" t="str">
        <f t="shared" si="11"/>
        <v>時</v>
      </c>
      <c r="E20" s="84" t="str">
        <f t="shared" si="12"/>
        <v>分</v>
      </c>
      <c r="F20" s="85" t="str">
        <f t="shared" si="13"/>
        <v xml:space="preserve">
</v>
      </c>
      <c r="L20" s="54"/>
      <c r="M20" s="96"/>
      <c r="N20" s="96"/>
      <c r="O20" s="96"/>
      <c r="P20" s="96"/>
      <c r="Q20" s="106"/>
      <c r="R20" s="90"/>
      <c r="S20" s="90"/>
      <c r="T20" s="9"/>
      <c r="U20" s="90"/>
      <c r="V20" s="90"/>
      <c r="W20" s="9"/>
      <c r="X20" s="9"/>
      <c r="Y20" s="9"/>
      <c r="Z20" s="10"/>
      <c r="AA20" s="9"/>
      <c r="AB20" s="90"/>
      <c r="AC20" s="90"/>
      <c r="AD20" s="10"/>
      <c r="AE20" s="90"/>
      <c r="AF20" s="90"/>
      <c r="AG20" s="11"/>
      <c r="AH20" s="12"/>
      <c r="AI20" s="9"/>
      <c r="AJ20" s="59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20"/>
      <c r="BE20" s="20"/>
      <c r="BF20" s="20"/>
      <c r="BG20" s="20"/>
      <c r="BH20" s="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W20" s="1">
        <f t="shared" si="0"/>
        <v>0</v>
      </c>
      <c r="CX20" s="1">
        <f t="shared" si="1"/>
        <v>0</v>
      </c>
      <c r="CY20" s="43">
        <f t="shared" si="2"/>
        <v>0</v>
      </c>
      <c r="CZ20" s="43">
        <f t="shared" si="3"/>
        <v>0</v>
      </c>
      <c r="DA20" s="43">
        <f t="shared" si="4"/>
        <v>0</v>
      </c>
      <c r="DB20" s="43" t="str">
        <f t="shared" si="5"/>
        <v/>
      </c>
      <c r="DC20" s="50" t="str">
        <f t="shared" si="6"/>
        <v/>
      </c>
      <c r="DD20" s="50" t="str">
        <f t="shared" si="7"/>
        <v/>
      </c>
    </row>
    <row r="21" spans="1:108" ht="37.5" customHeight="1">
      <c r="A21" s="82" t="str">
        <f t="shared" si="8"/>
        <v>月日()</v>
      </c>
      <c r="B21" s="83" t="str">
        <f t="shared" si="9"/>
        <v>時</v>
      </c>
      <c r="C21" s="84" t="str">
        <f t="shared" si="10"/>
        <v>分</v>
      </c>
      <c r="D21" s="83" t="str">
        <f t="shared" si="11"/>
        <v>時</v>
      </c>
      <c r="E21" s="84" t="str">
        <f t="shared" si="12"/>
        <v>分</v>
      </c>
      <c r="F21" s="85" t="str">
        <f t="shared" si="13"/>
        <v xml:space="preserve">
</v>
      </c>
      <c r="L21" s="52"/>
      <c r="M21" s="96"/>
      <c r="N21" s="96"/>
      <c r="O21" s="96"/>
      <c r="P21" s="96"/>
      <c r="Q21" s="60"/>
      <c r="R21" s="97"/>
      <c r="S21" s="97"/>
      <c r="T21" s="97"/>
      <c r="U21" s="97"/>
      <c r="V21" s="97"/>
      <c r="W21" s="98"/>
      <c r="X21" s="98"/>
      <c r="Y21" s="98"/>
      <c r="Z21" s="98"/>
      <c r="AA21" s="98"/>
      <c r="AB21" s="98"/>
      <c r="AC21" s="98"/>
      <c r="AD21" s="98"/>
      <c r="AE21" s="98"/>
      <c r="AF21" s="98"/>
      <c r="AG21" s="98"/>
      <c r="AH21" s="98"/>
      <c r="AI21" s="98"/>
      <c r="AJ21" s="98"/>
      <c r="AK21" s="98"/>
      <c r="AL21" s="98"/>
      <c r="AM21" s="98"/>
      <c r="AN21" s="98"/>
      <c r="AO21" s="98"/>
      <c r="AP21" s="98"/>
      <c r="AQ21" s="98"/>
      <c r="AR21" s="98"/>
      <c r="AS21" s="98"/>
      <c r="AT21" s="98"/>
      <c r="AU21" s="98"/>
      <c r="AV21" s="98"/>
      <c r="AW21" s="98"/>
      <c r="AX21" s="98"/>
      <c r="AY21" s="98"/>
      <c r="AZ21" s="98"/>
      <c r="BA21" s="98"/>
      <c r="BB21" s="98"/>
      <c r="BC21" s="98"/>
      <c r="BD21" s="20"/>
      <c r="BE21" s="20"/>
      <c r="BF21" s="20"/>
      <c r="BG21" s="20"/>
      <c r="BH21" s="20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W21" s="1">
        <f t="shared" si="0"/>
        <v>0</v>
      </c>
      <c r="CX21" s="1">
        <f t="shared" si="1"/>
        <v>0</v>
      </c>
      <c r="CY21" s="43">
        <f t="shared" si="2"/>
        <v>0</v>
      </c>
      <c r="CZ21" s="43">
        <f t="shared" si="3"/>
        <v>0</v>
      </c>
      <c r="DA21" s="43">
        <f t="shared" si="4"/>
        <v>0</v>
      </c>
      <c r="DB21" s="43" t="str">
        <f t="shared" si="5"/>
        <v/>
      </c>
      <c r="DC21" s="50" t="str">
        <f t="shared" si="6"/>
        <v/>
      </c>
      <c r="DD21" s="50" t="str">
        <f t="shared" si="7"/>
        <v/>
      </c>
    </row>
    <row r="22" spans="1:108" ht="37.5" customHeight="1">
      <c r="A22" s="82" t="str">
        <f t="shared" si="8"/>
        <v>月日()</v>
      </c>
      <c r="B22" s="83" t="str">
        <f t="shared" si="9"/>
        <v>時</v>
      </c>
      <c r="C22" s="84" t="str">
        <f t="shared" si="10"/>
        <v>分</v>
      </c>
      <c r="D22" s="83" t="str">
        <f t="shared" si="11"/>
        <v>時</v>
      </c>
      <c r="E22" s="84" t="str">
        <f t="shared" si="12"/>
        <v>分</v>
      </c>
      <c r="F22" s="85" t="str">
        <f t="shared" si="13"/>
        <v xml:space="preserve">
</v>
      </c>
      <c r="L22" s="54"/>
      <c r="M22" s="96"/>
      <c r="N22" s="96"/>
      <c r="O22" s="96"/>
      <c r="P22" s="96"/>
      <c r="Q22" s="61"/>
      <c r="R22" s="97"/>
      <c r="S22" s="97"/>
      <c r="T22" s="97"/>
      <c r="U22" s="97"/>
      <c r="V22" s="97"/>
      <c r="W22" s="98"/>
      <c r="X22" s="98"/>
      <c r="Y22" s="98"/>
      <c r="Z22" s="98"/>
      <c r="AA22" s="98"/>
      <c r="AB22" s="98"/>
      <c r="AC22" s="98"/>
      <c r="AD22" s="98"/>
      <c r="AE22" s="98"/>
      <c r="AF22" s="98"/>
      <c r="AG22" s="98"/>
      <c r="AH22" s="98"/>
      <c r="AI22" s="98"/>
      <c r="AJ22" s="98"/>
      <c r="AK22" s="98"/>
      <c r="AL22" s="98"/>
      <c r="AM22" s="98"/>
      <c r="AN22" s="98"/>
      <c r="AO22" s="98"/>
      <c r="AP22" s="98"/>
      <c r="AQ22" s="98"/>
      <c r="AR22" s="98"/>
      <c r="AS22" s="98"/>
      <c r="AT22" s="98"/>
      <c r="AU22" s="98"/>
      <c r="AV22" s="98"/>
      <c r="AW22" s="98"/>
      <c r="AX22" s="98"/>
      <c r="AY22" s="98"/>
      <c r="AZ22" s="98"/>
      <c r="BA22" s="98"/>
      <c r="BB22" s="98"/>
      <c r="BC22" s="98"/>
      <c r="BD22" s="20"/>
      <c r="BE22" s="20"/>
      <c r="BF22" s="20"/>
      <c r="BG22" s="20"/>
      <c r="BH22" s="20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W22" s="1">
        <f t="shared" si="0"/>
        <v>0</v>
      </c>
      <c r="CX22" s="1">
        <f t="shared" si="1"/>
        <v>0</v>
      </c>
      <c r="CY22" s="43">
        <f t="shared" si="2"/>
        <v>0</v>
      </c>
      <c r="CZ22" s="43">
        <f t="shared" si="3"/>
        <v>0</v>
      </c>
      <c r="DA22" s="43">
        <f t="shared" si="4"/>
        <v>0</v>
      </c>
      <c r="DB22" s="43" t="str">
        <f t="shared" si="5"/>
        <v/>
      </c>
      <c r="DC22" s="50" t="str">
        <f t="shared" si="6"/>
        <v/>
      </c>
      <c r="DD22" s="50" t="str">
        <f t="shared" si="7"/>
        <v/>
      </c>
    </row>
    <row r="23" spans="1:108" ht="37.5" customHeight="1">
      <c r="A23" s="82" t="str">
        <f t="shared" si="8"/>
        <v>月日()</v>
      </c>
      <c r="B23" s="83" t="str">
        <f t="shared" si="9"/>
        <v>時</v>
      </c>
      <c r="C23" s="84" t="str">
        <f t="shared" si="10"/>
        <v>分</v>
      </c>
      <c r="D23" s="83" t="str">
        <f t="shared" si="11"/>
        <v>時</v>
      </c>
      <c r="E23" s="84" t="str">
        <f t="shared" si="12"/>
        <v>分</v>
      </c>
      <c r="F23" s="85" t="str">
        <f t="shared" si="13"/>
        <v xml:space="preserve">
</v>
      </c>
      <c r="L23" s="99"/>
      <c r="M23" s="99"/>
      <c r="N23" s="99"/>
      <c r="O23" s="99"/>
      <c r="P23" s="100"/>
      <c r="Q23" s="101"/>
      <c r="R23" s="101"/>
      <c r="S23" s="101"/>
      <c r="T23" s="101"/>
      <c r="U23" s="99"/>
      <c r="V23" s="99"/>
      <c r="W23" s="100"/>
      <c r="X23" s="100"/>
      <c r="Y23" s="99"/>
      <c r="Z23" s="99"/>
      <c r="AA23" s="100"/>
      <c r="AB23" s="100"/>
      <c r="AC23" s="100"/>
      <c r="AD23" s="100"/>
      <c r="AE23" s="99"/>
      <c r="AF23" s="99"/>
      <c r="AG23" s="100"/>
      <c r="AH23" s="100"/>
      <c r="AI23" s="99"/>
      <c r="AJ23" s="99"/>
      <c r="AK23" s="100"/>
      <c r="AL23" s="100"/>
      <c r="AM23" s="101"/>
      <c r="AN23" s="101"/>
      <c r="AO23" s="101"/>
      <c r="AP23" s="101"/>
      <c r="AQ23" s="19"/>
      <c r="AR23" s="19"/>
      <c r="AS23" s="19"/>
      <c r="AT23" s="99"/>
      <c r="AU23" s="99"/>
      <c r="AV23" s="99"/>
      <c r="AW23" s="99"/>
      <c r="AX23" s="100"/>
      <c r="AY23" s="100"/>
      <c r="AZ23" s="100"/>
      <c r="BA23" s="100"/>
      <c r="BB23" s="100"/>
      <c r="BC23" s="100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W23" s="1">
        <f t="shared" si="0"/>
        <v>0</v>
      </c>
      <c r="CX23" s="1">
        <f t="shared" si="1"/>
        <v>0</v>
      </c>
      <c r="CY23" s="43">
        <f t="shared" si="2"/>
        <v>0</v>
      </c>
      <c r="CZ23" s="43">
        <f t="shared" si="3"/>
        <v>0</v>
      </c>
      <c r="DA23" s="43">
        <f t="shared" si="4"/>
        <v>0</v>
      </c>
      <c r="DB23" s="43" t="str">
        <f t="shared" si="5"/>
        <v/>
      </c>
      <c r="DC23" s="50" t="str">
        <f t="shared" si="6"/>
        <v/>
      </c>
      <c r="DD23" s="50" t="str">
        <f t="shared" si="7"/>
        <v/>
      </c>
    </row>
    <row r="24" spans="1:108" ht="37.5" customHeight="1">
      <c r="A24" s="82" t="str">
        <f t="shared" si="8"/>
        <v>月日()</v>
      </c>
      <c r="B24" s="83" t="str">
        <f t="shared" si="9"/>
        <v>時</v>
      </c>
      <c r="C24" s="84" t="str">
        <f t="shared" si="10"/>
        <v>分</v>
      </c>
      <c r="D24" s="83" t="str">
        <f t="shared" si="11"/>
        <v>時</v>
      </c>
      <c r="E24" s="84" t="str">
        <f t="shared" si="12"/>
        <v>分</v>
      </c>
      <c r="F24" s="85" t="str">
        <f t="shared" si="13"/>
        <v xml:space="preserve">
</v>
      </c>
      <c r="L24" s="99"/>
      <c r="M24" s="99"/>
      <c r="N24" s="99"/>
      <c r="O24" s="99"/>
      <c r="P24" s="100"/>
      <c r="Q24" s="101"/>
      <c r="R24" s="101"/>
      <c r="S24" s="101"/>
      <c r="T24" s="101"/>
      <c r="U24" s="99"/>
      <c r="V24" s="99"/>
      <c r="W24" s="100"/>
      <c r="X24" s="100"/>
      <c r="Y24" s="99"/>
      <c r="Z24" s="99"/>
      <c r="AA24" s="100"/>
      <c r="AB24" s="100"/>
      <c r="AC24" s="100"/>
      <c r="AD24" s="100"/>
      <c r="AE24" s="99"/>
      <c r="AF24" s="99"/>
      <c r="AG24" s="100"/>
      <c r="AH24" s="100"/>
      <c r="AI24" s="99"/>
      <c r="AJ24" s="99"/>
      <c r="AK24" s="100"/>
      <c r="AL24" s="100"/>
      <c r="AM24" s="101"/>
      <c r="AN24" s="101"/>
      <c r="AO24" s="101"/>
      <c r="AP24" s="101"/>
      <c r="AQ24" s="19"/>
      <c r="AR24" s="19"/>
      <c r="AS24" s="19"/>
      <c r="AT24" s="99"/>
      <c r="AU24" s="99"/>
      <c r="AV24" s="99"/>
      <c r="AW24" s="99"/>
      <c r="AX24" s="100"/>
      <c r="AY24" s="100"/>
      <c r="AZ24" s="100"/>
      <c r="BA24" s="100"/>
      <c r="BB24" s="100"/>
      <c r="BC24" s="100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W24" s="1">
        <f t="shared" si="0"/>
        <v>0</v>
      </c>
      <c r="CX24" s="1">
        <f t="shared" si="1"/>
        <v>0</v>
      </c>
      <c r="CY24" s="43">
        <f t="shared" si="2"/>
        <v>0</v>
      </c>
      <c r="CZ24" s="43">
        <f t="shared" si="3"/>
        <v>0</v>
      </c>
      <c r="DA24" s="43">
        <f t="shared" si="4"/>
        <v>0</v>
      </c>
      <c r="DB24" s="43" t="str">
        <f t="shared" si="5"/>
        <v/>
      </c>
      <c r="DC24" s="50" t="str">
        <f t="shared" si="6"/>
        <v/>
      </c>
      <c r="DD24" s="50" t="str">
        <f t="shared" si="7"/>
        <v/>
      </c>
    </row>
    <row r="25" spans="1:108" ht="37.5" customHeight="1">
      <c r="A25" s="82" t="str">
        <f t="shared" si="8"/>
        <v>月日()</v>
      </c>
      <c r="B25" s="83" t="str">
        <f t="shared" si="9"/>
        <v>時</v>
      </c>
      <c r="C25" s="84" t="str">
        <f t="shared" si="10"/>
        <v>分</v>
      </c>
      <c r="D25" s="83" t="str">
        <f t="shared" si="11"/>
        <v>時</v>
      </c>
      <c r="E25" s="84" t="str">
        <f t="shared" si="12"/>
        <v>分</v>
      </c>
      <c r="F25" s="85" t="str">
        <f t="shared" si="13"/>
        <v xml:space="preserve">
</v>
      </c>
      <c r="L25" s="99"/>
      <c r="M25" s="99"/>
      <c r="N25" s="99"/>
      <c r="O25" s="99"/>
      <c r="P25" s="100"/>
      <c r="Q25" s="101"/>
      <c r="R25" s="101"/>
      <c r="S25" s="101"/>
      <c r="T25" s="101"/>
      <c r="U25" s="99"/>
      <c r="V25" s="99"/>
      <c r="W25" s="100"/>
      <c r="X25" s="100"/>
      <c r="Y25" s="99"/>
      <c r="Z25" s="99"/>
      <c r="AA25" s="100"/>
      <c r="AB25" s="100"/>
      <c r="AC25" s="100"/>
      <c r="AD25" s="100"/>
      <c r="AE25" s="99"/>
      <c r="AF25" s="99"/>
      <c r="AG25" s="100"/>
      <c r="AH25" s="100"/>
      <c r="AI25" s="99"/>
      <c r="AJ25" s="99"/>
      <c r="AK25" s="100"/>
      <c r="AL25" s="100"/>
      <c r="AM25" s="101"/>
      <c r="AN25" s="101"/>
      <c r="AO25" s="101"/>
      <c r="AP25" s="101"/>
      <c r="AQ25" s="19"/>
      <c r="AR25" s="19"/>
      <c r="AS25" s="19"/>
      <c r="AT25" s="99"/>
      <c r="AU25" s="99"/>
      <c r="AV25" s="99"/>
      <c r="AW25" s="99"/>
      <c r="AX25" s="100"/>
      <c r="AY25" s="100"/>
      <c r="AZ25" s="100"/>
      <c r="BA25" s="100"/>
      <c r="BB25" s="100"/>
      <c r="BC25" s="100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W25" s="1">
        <f t="shared" si="0"/>
        <v>0</v>
      </c>
      <c r="CX25" s="1">
        <f t="shared" si="1"/>
        <v>0</v>
      </c>
      <c r="CY25" s="43">
        <f t="shared" si="2"/>
        <v>0</v>
      </c>
      <c r="CZ25" s="43">
        <f t="shared" si="3"/>
        <v>0</v>
      </c>
      <c r="DA25" s="43">
        <f t="shared" si="4"/>
        <v>0</v>
      </c>
      <c r="DB25" s="43" t="str">
        <f t="shared" si="5"/>
        <v/>
      </c>
      <c r="DC25" s="50" t="str">
        <f t="shared" si="6"/>
        <v/>
      </c>
      <c r="DD25" s="50" t="str">
        <f t="shared" si="7"/>
        <v/>
      </c>
    </row>
    <row r="26" spans="1:108" ht="37.5" customHeight="1">
      <c r="A26" s="82" t="str">
        <f t="shared" si="8"/>
        <v>月日()</v>
      </c>
      <c r="B26" s="83" t="str">
        <f t="shared" si="9"/>
        <v>時</v>
      </c>
      <c r="C26" s="84" t="str">
        <f t="shared" si="10"/>
        <v>分</v>
      </c>
      <c r="D26" s="83" t="str">
        <f t="shared" si="11"/>
        <v>時</v>
      </c>
      <c r="E26" s="84" t="str">
        <f t="shared" si="12"/>
        <v>分</v>
      </c>
      <c r="F26" s="85" t="str">
        <f t="shared" si="13"/>
        <v xml:space="preserve">
</v>
      </c>
      <c r="L26" s="99"/>
      <c r="M26" s="99"/>
      <c r="N26" s="99"/>
      <c r="O26" s="99"/>
      <c r="P26" s="100"/>
      <c r="Q26" s="101"/>
      <c r="R26" s="101"/>
      <c r="S26" s="101"/>
      <c r="T26" s="101"/>
      <c r="U26" s="47"/>
      <c r="V26" s="47"/>
      <c r="W26" s="47"/>
      <c r="X26" s="99"/>
      <c r="Y26" s="99"/>
      <c r="Z26" s="99"/>
      <c r="AA26" s="99"/>
      <c r="AB26" s="100"/>
      <c r="AC26" s="100"/>
      <c r="AD26" s="100"/>
      <c r="AE26" s="99"/>
      <c r="AF26" s="99"/>
      <c r="AG26" s="99"/>
      <c r="AH26" s="99"/>
      <c r="AI26" s="100"/>
      <c r="AJ26" s="100"/>
      <c r="AK26" s="100"/>
      <c r="AL26" s="47"/>
      <c r="AM26" s="101"/>
      <c r="AN26" s="101"/>
      <c r="AO26" s="101"/>
      <c r="AP26" s="101"/>
      <c r="AQ26" s="19"/>
      <c r="AR26" s="19"/>
      <c r="AS26" s="19"/>
      <c r="AT26" s="99"/>
      <c r="AU26" s="99"/>
      <c r="AV26" s="99"/>
      <c r="AW26" s="99"/>
      <c r="AX26" s="100"/>
      <c r="AY26" s="100"/>
      <c r="AZ26" s="100"/>
      <c r="BA26" s="100"/>
      <c r="BB26" s="100"/>
      <c r="BC26" s="100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W26" s="1">
        <f t="shared" si="0"/>
        <v>0</v>
      </c>
      <c r="CX26" s="1">
        <f t="shared" si="1"/>
        <v>0</v>
      </c>
      <c r="CY26" s="43">
        <f t="shared" si="2"/>
        <v>0</v>
      </c>
      <c r="CZ26" s="43">
        <f t="shared" si="3"/>
        <v>0</v>
      </c>
      <c r="DA26" s="43">
        <f t="shared" si="4"/>
        <v>0</v>
      </c>
      <c r="DB26" s="43" t="str">
        <f t="shared" si="5"/>
        <v/>
      </c>
      <c r="DC26" s="50" t="str">
        <f t="shared" si="6"/>
        <v/>
      </c>
      <c r="DD26" s="50" t="str">
        <f t="shared" si="7"/>
        <v/>
      </c>
    </row>
    <row r="27" spans="1:108" ht="37.5" customHeight="1">
      <c r="A27" s="82" t="str">
        <f t="shared" si="8"/>
        <v>月日()</v>
      </c>
      <c r="B27" s="83" t="str">
        <f t="shared" si="9"/>
        <v>時</v>
      </c>
      <c r="C27" s="84" t="str">
        <f t="shared" si="10"/>
        <v>分</v>
      </c>
      <c r="D27" s="83" t="str">
        <f t="shared" si="11"/>
        <v>時</v>
      </c>
      <c r="E27" s="84" t="str">
        <f t="shared" si="12"/>
        <v>分</v>
      </c>
      <c r="F27" s="85" t="str">
        <f t="shared" si="13"/>
        <v xml:space="preserve">
</v>
      </c>
      <c r="L27" s="99"/>
      <c r="M27" s="99"/>
      <c r="N27" s="99"/>
      <c r="O27" s="99"/>
      <c r="P27" s="100"/>
      <c r="Q27" s="101"/>
      <c r="R27" s="101"/>
      <c r="S27" s="101"/>
      <c r="T27" s="101"/>
      <c r="U27" s="19"/>
      <c r="V27" s="19"/>
      <c r="W27" s="19"/>
      <c r="X27" s="99"/>
      <c r="Y27" s="99"/>
      <c r="Z27" s="99"/>
      <c r="AA27" s="99"/>
      <c r="AB27" s="100"/>
      <c r="AC27" s="100"/>
      <c r="AD27" s="100"/>
      <c r="AE27" s="99"/>
      <c r="AF27" s="99"/>
      <c r="AG27" s="99"/>
      <c r="AH27" s="99"/>
      <c r="AI27" s="100"/>
      <c r="AJ27" s="100"/>
      <c r="AK27" s="100"/>
      <c r="AL27" s="19"/>
      <c r="AM27" s="101"/>
      <c r="AN27" s="101"/>
      <c r="AO27" s="101"/>
      <c r="AP27" s="101"/>
      <c r="AQ27" s="19"/>
      <c r="AR27" s="19"/>
      <c r="AS27" s="19"/>
      <c r="AT27" s="99"/>
      <c r="AU27" s="99"/>
      <c r="AV27" s="99"/>
      <c r="AW27" s="99"/>
      <c r="AX27" s="100"/>
      <c r="AY27" s="100"/>
      <c r="AZ27" s="100"/>
      <c r="BA27" s="100"/>
      <c r="BB27" s="100"/>
      <c r="BC27" s="100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W27" s="1">
        <f t="shared" si="0"/>
        <v>0</v>
      </c>
      <c r="CX27" s="1">
        <f t="shared" si="1"/>
        <v>0</v>
      </c>
      <c r="CY27" s="43">
        <f t="shared" si="2"/>
        <v>0</v>
      </c>
      <c r="CZ27" s="43">
        <f t="shared" si="3"/>
        <v>0</v>
      </c>
      <c r="DA27" s="43">
        <f t="shared" si="4"/>
        <v>0</v>
      </c>
      <c r="DB27" s="43" t="str">
        <f t="shared" si="5"/>
        <v/>
      </c>
      <c r="DC27" s="50" t="str">
        <f t="shared" si="6"/>
        <v/>
      </c>
      <c r="DD27" s="50" t="str">
        <f t="shared" si="7"/>
        <v/>
      </c>
    </row>
    <row r="28" spans="1:108" ht="37.5" customHeight="1">
      <c r="A28" s="82" t="str">
        <f t="shared" si="8"/>
        <v>月日()</v>
      </c>
      <c r="B28" s="83" t="str">
        <f t="shared" si="9"/>
        <v>時</v>
      </c>
      <c r="C28" s="84" t="str">
        <f t="shared" si="10"/>
        <v>分</v>
      </c>
      <c r="D28" s="83" t="str">
        <f t="shared" si="11"/>
        <v>時</v>
      </c>
      <c r="E28" s="84" t="str">
        <f t="shared" si="12"/>
        <v>分</v>
      </c>
      <c r="F28" s="85" t="str">
        <f t="shared" si="13"/>
        <v xml:space="preserve">
</v>
      </c>
      <c r="L28" s="99"/>
      <c r="M28" s="99"/>
      <c r="N28" s="99"/>
      <c r="O28" s="99"/>
      <c r="P28" s="100"/>
      <c r="Q28" s="101"/>
      <c r="R28" s="101"/>
      <c r="S28" s="101"/>
      <c r="T28" s="101"/>
      <c r="U28" s="19"/>
      <c r="V28" s="19"/>
      <c r="W28" s="19"/>
      <c r="X28" s="99"/>
      <c r="Y28" s="99"/>
      <c r="Z28" s="99"/>
      <c r="AA28" s="99"/>
      <c r="AB28" s="100"/>
      <c r="AC28" s="100"/>
      <c r="AD28" s="100"/>
      <c r="AE28" s="99"/>
      <c r="AF28" s="99"/>
      <c r="AG28" s="99"/>
      <c r="AH28" s="99"/>
      <c r="AI28" s="100"/>
      <c r="AJ28" s="100"/>
      <c r="AK28" s="100"/>
      <c r="AL28" s="19"/>
      <c r="AM28" s="101"/>
      <c r="AN28" s="101"/>
      <c r="AO28" s="101"/>
      <c r="AP28" s="101"/>
      <c r="AQ28" s="19"/>
      <c r="AR28" s="19"/>
      <c r="AS28" s="19"/>
      <c r="AT28" s="99"/>
      <c r="AU28" s="99"/>
      <c r="AV28" s="99"/>
      <c r="AW28" s="99"/>
      <c r="AX28" s="100"/>
      <c r="AY28" s="100"/>
      <c r="AZ28" s="100"/>
      <c r="BA28" s="100"/>
      <c r="BB28" s="100"/>
      <c r="BC28" s="100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W28" s="1">
        <f t="shared" si="0"/>
        <v>0</v>
      </c>
      <c r="CX28" s="1">
        <f t="shared" si="1"/>
        <v>0</v>
      </c>
      <c r="CY28" s="43">
        <f t="shared" si="2"/>
        <v>0</v>
      </c>
      <c r="CZ28" s="43">
        <f t="shared" si="3"/>
        <v>0</v>
      </c>
      <c r="DA28" s="43">
        <f t="shared" si="4"/>
        <v>0</v>
      </c>
      <c r="DB28" s="43" t="str">
        <f t="shared" si="5"/>
        <v/>
      </c>
      <c r="DC28" s="50" t="str">
        <f t="shared" si="6"/>
        <v/>
      </c>
      <c r="DD28" s="50" t="str">
        <f t="shared" si="7"/>
        <v/>
      </c>
    </row>
    <row r="29" spans="1:108" ht="37.5" customHeight="1">
      <c r="A29" s="82" t="str">
        <f t="shared" si="8"/>
        <v>月日()</v>
      </c>
      <c r="B29" s="83" t="str">
        <f t="shared" si="9"/>
        <v>時</v>
      </c>
      <c r="C29" s="84" t="str">
        <f t="shared" si="10"/>
        <v>分</v>
      </c>
      <c r="D29" s="83" t="str">
        <f t="shared" si="11"/>
        <v>時</v>
      </c>
      <c r="E29" s="84" t="str">
        <f t="shared" si="12"/>
        <v>分</v>
      </c>
      <c r="F29" s="85" t="str">
        <f t="shared" si="13"/>
        <v xml:space="preserve">
</v>
      </c>
      <c r="L29" s="120"/>
      <c r="M29" s="120"/>
      <c r="N29" s="120"/>
      <c r="O29" s="121"/>
      <c r="P29" s="121"/>
      <c r="Q29" s="100"/>
      <c r="R29" s="100"/>
      <c r="S29" s="100"/>
      <c r="T29" s="100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  <c r="AH29" s="122"/>
      <c r="AI29" s="122"/>
      <c r="AJ29" s="122"/>
      <c r="AK29" s="122"/>
      <c r="AL29" s="122"/>
      <c r="AM29" s="122"/>
      <c r="AN29" s="122"/>
      <c r="AO29" s="122"/>
      <c r="AP29" s="122"/>
      <c r="AQ29" s="122"/>
      <c r="AR29" s="122"/>
      <c r="AS29" s="122"/>
      <c r="AT29" s="122"/>
      <c r="AU29" s="122"/>
      <c r="AV29" s="122"/>
      <c r="AW29" s="122"/>
      <c r="AX29" s="122"/>
      <c r="AY29" s="122"/>
      <c r="AZ29" s="122"/>
      <c r="BA29" s="122"/>
      <c r="BB29" s="122"/>
      <c r="BC29" s="122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W29" s="1">
        <f t="shared" si="0"/>
        <v>0</v>
      </c>
      <c r="CX29" s="1">
        <f t="shared" si="1"/>
        <v>0</v>
      </c>
      <c r="CY29" s="43">
        <f t="shared" si="2"/>
        <v>0</v>
      </c>
      <c r="CZ29" s="43">
        <f t="shared" si="3"/>
        <v>0</v>
      </c>
      <c r="DA29" s="43">
        <f t="shared" si="4"/>
        <v>0</v>
      </c>
      <c r="DB29" s="43" t="str">
        <f t="shared" si="5"/>
        <v/>
      </c>
      <c r="DC29" s="50" t="str">
        <f t="shared" si="6"/>
        <v/>
      </c>
      <c r="DD29" s="50" t="str">
        <f t="shared" si="7"/>
        <v/>
      </c>
    </row>
    <row r="30" spans="1:108" ht="37.5" customHeight="1">
      <c r="A30" s="82" t="str">
        <f t="shared" si="8"/>
        <v>月日()</v>
      </c>
      <c r="B30" s="83" t="str">
        <f t="shared" si="9"/>
        <v>時</v>
      </c>
      <c r="C30" s="84" t="str">
        <f t="shared" si="10"/>
        <v>分</v>
      </c>
      <c r="D30" s="83" t="str">
        <f t="shared" si="11"/>
        <v>時</v>
      </c>
      <c r="E30" s="84" t="str">
        <f t="shared" si="12"/>
        <v>分</v>
      </c>
      <c r="F30" s="85" t="str">
        <f t="shared" si="13"/>
        <v xml:space="preserve">
</v>
      </c>
      <c r="L30" s="123"/>
      <c r="M30" s="123"/>
      <c r="O30" s="124"/>
      <c r="P30" s="124"/>
      <c r="Q30" s="100"/>
      <c r="R30" s="100"/>
      <c r="S30" s="100"/>
      <c r="T30" s="100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  <c r="AH30" s="122"/>
      <c r="AI30" s="122"/>
      <c r="AJ30" s="122"/>
      <c r="AK30" s="122"/>
      <c r="AL30" s="122"/>
      <c r="AM30" s="122"/>
      <c r="AN30" s="122"/>
      <c r="AO30" s="122"/>
      <c r="AP30" s="122"/>
      <c r="AQ30" s="122"/>
      <c r="AR30" s="122"/>
      <c r="AS30" s="122"/>
      <c r="AT30" s="122"/>
      <c r="AU30" s="122"/>
      <c r="AV30" s="122"/>
      <c r="AW30" s="122"/>
      <c r="AX30" s="122"/>
      <c r="AY30" s="122"/>
      <c r="AZ30" s="122"/>
      <c r="BA30" s="122"/>
      <c r="BB30" s="122"/>
      <c r="BC30" s="122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W30" s="1">
        <f t="shared" si="0"/>
        <v>0</v>
      </c>
      <c r="CX30" s="1">
        <f t="shared" si="1"/>
        <v>0</v>
      </c>
      <c r="CY30" s="43">
        <f t="shared" si="2"/>
        <v>0</v>
      </c>
      <c r="CZ30" s="43">
        <f t="shared" si="3"/>
        <v>0</v>
      </c>
      <c r="DA30" s="43">
        <f t="shared" si="4"/>
        <v>0</v>
      </c>
      <c r="DB30" s="43" t="str">
        <f t="shared" si="5"/>
        <v/>
      </c>
      <c r="DC30" s="50" t="str">
        <f t="shared" si="6"/>
        <v/>
      </c>
      <c r="DD30" s="50" t="str">
        <f t="shared" si="7"/>
        <v/>
      </c>
    </row>
    <row r="31" spans="1:108" ht="37.5" customHeight="1">
      <c r="A31" s="82" t="str">
        <f t="shared" si="8"/>
        <v>月日()</v>
      </c>
      <c r="B31" s="83" t="str">
        <f t="shared" si="9"/>
        <v>時</v>
      </c>
      <c r="C31" s="84" t="str">
        <f t="shared" si="10"/>
        <v>分</v>
      </c>
      <c r="D31" s="83" t="str">
        <f t="shared" si="11"/>
        <v>時</v>
      </c>
      <c r="E31" s="84" t="str">
        <f t="shared" si="12"/>
        <v>分</v>
      </c>
      <c r="F31" s="85" t="str">
        <f t="shared" si="13"/>
        <v xml:space="preserve">
</v>
      </c>
      <c r="L31" s="99"/>
      <c r="M31" s="99"/>
      <c r="N31" s="99"/>
      <c r="O31" s="99"/>
      <c r="P31" s="100"/>
      <c r="Q31" s="101"/>
      <c r="R31" s="101"/>
      <c r="S31" s="101"/>
      <c r="T31" s="101"/>
      <c r="U31" s="99"/>
      <c r="V31" s="99"/>
      <c r="W31" s="100"/>
      <c r="X31" s="100"/>
      <c r="Y31" s="99"/>
      <c r="Z31" s="99"/>
      <c r="AA31" s="100"/>
      <c r="AB31" s="100"/>
      <c r="AC31" s="100"/>
      <c r="AD31" s="100"/>
      <c r="AE31" s="99"/>
      <c r="AF31" s="99"/>
      <c r="AG31" s="100"/>
      <c r="AH31" s="100"/>
      <c r="AI31" s="99"/>
      <c r="AJ31" s="99"/>
      <c r="AK31" s="100"/>
      <c r="AL31" s="100"/>
      <c r="AM31" s="101"/>
      <c r="AN31" s="101"/>
      <c r="AO31" s="101"/>
      <c r="AP31" s="101"/>
      <c r="AQ31" s="19"/>
      <c r="AR31" s="19"/>
      <c r="AS31" s="19"/>
      <c r="AT31" s="99"/>
      <c r="AU31" s="99"/>
      <c r="AV31" s="99"/>
      <c r="AW31" s="99"/>
      <c r="AX31" s="100"/>
      <c r="AY31" s="100"/>
      <c r="AZ31" s="100"/>
      <c r="BA31" s="100"/>
      <c r="BB31" s="100"/>
      <c r="BC31" s="100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W31" s="1">
        <f t="shared" si="0"/>
        <v>0</v>
      </c>
      <c r="CX31" s="1">
        <f t="shared" si="1"/>
        <v>0</v>
      </c>
      <c r="CY31" s="43">
        <f t="shared" si="2"/>
        <v>0</v>
      </c>
      <c r="CZ31" s="43">
        <f t="shared" si="3"/>
        <v>0</v>
      </c>
      <c r="DA31" s="43">
        <f t="shared" si="4"/>
        <v>0</v>
      </c>
      <c r="DB31" s="43" t="str">
        <f t="shared" si="5"/>
        <v/>
      </c>
      <c r="DC31" s="50" t="str">
        <f t="shared" si="6"/>
        <v/>
      </c>
      <c r="DD31" s="50" t="str">
        <f t="shared" si="7"/>
        <v/>
      </c>
    </row>
    <row r="32" spans="1:108" ht="37.5" customHeight="1">
      <c r="A32" s="82" t="str">
        <f t="shared" si="8"/>
        <v>月日()</v>
      </c>
      <c r="B32" s="83" t="str">
        <f t="shared" si="9"/>
        <v>時</v>
      </c>
      <c r="C32" s="84" t="str">
        <f t="shared" si="10"/>
        <v>分</v>
      </c>
      <c r="D32" s="83" t="str">
        <f t="shared" si="11"/>
        <v>時</v>
      </c>
      <c r="E32" s="84" t="str">
        <f t="shared" si="12"/>
        <v>分</v>
      </c>
      <c r="F32" s="85" t="str">
        <f t="shared" si="13"/>
        <v xml:space="preserve">
</v>
      </c>
      <c r="L32" s="99"/>
      <c r="M32" s="99"/>
      <c r="N32" s="99"/>
      <c r="O32" s="99"/>
      <c r="P32" s="100"/>
      <c r="Q32" s="101"/>
      <c r="R32" s="101"/>
      <c r="S32" s="101"/>
      <c r="T32" s="101"/>
      <c r="U32" s="99"/>
      <c r="V32" s="99"/>
      <c r="W32" s="100"/>
      <c r="X32" s="100"/>
      <c r="Y32" s="99"/>
      <c r="Z32" s="99"/>
      <c r="AA32" s="100"/>
      <c r="AB32" s="100"/>
      <c r="AC32" s="100"/>
      <c r="AD32" s="100"/>
      <c r="AE32" s="99"/>
      <c r="AF32" s="99"/>
      <c r="AG32" s="100"/>
      <c r="AH32" s="100"/>
      <c r="AI32" s="99"/>
      <c r="AJ32" s="99"/>
      <c r="AK32" s="100"/>
      <c r="AL32" s="100"/>
      <c r="AM32" s="101"/>
      <c r="AN32" s="101"/>
      <c r="AO32" s="101"/>
      <c r="AP32" s="101"/>
      <c r="AQ32" s="19"/>
      <c r="AR32" s="19"/>
      <c r="AS32" s="19"/>
      <c r="AT32" s="99"/>
      <c r="AU32" s="99"/>
      <c r="AV32" s="99"/>
      <c r="AW32" s="99"/>
      <c r="AX32" s="100"/>
      <c r="AY32" s="100"/>
      <c r="AZ32" s="100"/>
      <c r="BA32" s="100"/>
      <c r="BB32" s="100"/>
      <c r="BC32" s="100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W32" s="1">
        <f t="shared" si="0"/>
        <v>0</v>
      </c>
      <c r="CX32" s="1">
        <f t="shared" si="1"/>
        <v>0</v>
      </c>
      <c r="CY32" s="43">
        <f t="shared" si="2"/>
        <v>0</v>
      </c>
      <c r="CZ32" s="43">
        <f t="shared" si="3"/>
        <v>0</v>
      </c>
      <c r="DA32" s="43">
        <f t="shared" si="4"/>
        <v>0</v>
      </c>
      <c r="DB32" s="43" t="str">
        <f t="shared" si="5"/>
        <v/>
      </c>
      <c r="DC32" s="50" t="str">
        <f t="shared" si="6"/>
        <v/>
      </c>
      <c r="DD32" s="50" t="str">
        <f t="shared" si="7"/>
        <v/>
      </c>
    </row>
    <row r="33" spans="1:108" ht="37.5" customHeight="1">
      <c r="A33" s="82" t="str">
        <f t="shared" si="8"/>
        <v>月日()</v>
      </c>
      <c r="B33" s="83" t="str">
        <f t="shared" si="9"/>
        <v>時</v>
      </c>
      <c r="C33" s="84" t="str">
        <f t="shared" si="10"/>
        <v>分</v>
      </c>
      <c r="D33" s="83" t="str">
        <f t="shared" si="11"/>
        <v>時</v>
      </c>
      <c r="E33" s="84" t="str">
        <f t="shared" si="12"/>
        <v>分</v>
      </c>
      <c r="F33" s="85" t="str">
        <f t="shared" si="13"/>
        <v xml:space="preserve">
</v>
      </c>
      <c r="L33" s="99"/>
      <c r="M33" s="99"/>
      <c r="N33" s="99"/>
      <c r="O33" s="99"/>
      <c r="P33" s="100"/>
      <c r="Q33" s="101"/>
      <c r="R33" s="101"/>
      <c r="S33" s="101"/>
      <c r="T33" s="101"/>
      <c r="U33" s="99"/>
      <c r="V33" s="99"/>
      <c r="W33" s="100"/>
      <c r="X33" s="100"/>
      <c r="Y33" s="99"/>
      <c r="Z33" s="99"/>
      <c r="AA33" s="100"/>
      <c r="AB33" s="100"/>
      <c r="AC33" s="100"/>
      <c r="AD33" s="100"/>
      <c r="AE33" s="99"/>
      <c r="AF33" s="99"/>
      <c r="AG33" s="100"/>
      <c r="AH33" s="100"/>
      <c r="AI33" s="99"/>
      <c r="AJ33" s="99"/>
      <c r="AK33" s="100"/>
      <c r="AL33" s="100"/>
      <c r="AM33" s="101"/>
      <c r="AN33" s="101"/>
      <c r="AO33" s="101"/>
      <c r="AP33" s="101"/>
      <c r="AQ33" s="19"/>
      <c r="AR33" s="19"/>
      <c r="AS33" s="19"/>
      <c r="AT33" s="99"/>
      <c r="AU33" s="99"/>
      <c r="AV33" s="99"/>
      <c r="AW33" s="99"/>
      <c r="AX33" s="100"/>
      <c r="AY33" s="100"/>
      <c r="AZ33" s="100"/>
      <c r="BA33" s="100"/>
      <c r="BB33" s="100"/>
      <c r="BC33" s="100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W33" s="1">
        <f t="shared" si="0"/>
        <v>0</v>
      </c>
      <c r="CX33" s="1">
        <f t="shared" si="1"/>
        <v>0</v>
      </c>
      <c r="CY33" s="43">
        <f t="shared" si="2"/>
        <v>0</v>
      </c>
      <c r="CZ33" s="43">
        <f t="shared" si="3"/>
        <v>0</v>
      </c>
      <c r="DA33" s="43">
        <f t="shared" si="4"/>
        <v>0</v>
      </c>
      <c r="DB33" s="43" t="str">
        <f t="shared" si="5"/>
        <v/>
      </c>
      <c r="DC33" s="50" t="str">
        <f t="shared" si="6"/>
        <v/>
      </c>
      <c r="DD33" s="50" t="str">
        <f t="shared" si="7"/>
        <v/>
      </c>
    </row>
    <row r="34" spans="1:108" ht="37.5" customHeight="1">
      <c r="A34" s="82" t="str">
        <f t="shared" si="8"/>
        <v>月日()</v>
      </c>
      <c r="B34" s="83" t="str">
        <f t="shared" si="9"/>
        <v>時</v>
      </c>
      <c r="C34" s="84" t="str">
        <f t="shared" si="10"/>
        <v>分</v>
      </c>
      <c r="D34" s="83" t="str">
        <f t="shared" si="11"/>
        <v>時</v>
      </c>
      <c r="E34" s="84" t="str">
        <f t="shared" si="12"/>
        <v>分</v>
      </c>
      <c r="F34" s="85" t="str">
        <f t="shared" si="13"/>
        <v xml:space="preserve">
</v>
      </c>
      <c r="L34" s="99"/>
      <c r="M34" s="99"/>
      <c r="N34" s="99"/>
      <c r="O34" s="99"/>
      <c r="P34" s="100"/>
      <c r="Q34" s="101"/>
      <c r="R34" s="101"/>
      <c r="S34" s="101"/>
      <c r="T34" s="101"/>
      <c r="U34" s="47"/>
      <c r="V34" s="47"/>
      <c r="W34" s="47"/>
      <c r="X34" s="99"/>
      <c r="Y34" s="99"/>
      <c r="Z34" s="99"/>
      <c r="AA34" s="99"/>
      <c r="AB34" s="100"/>
      <c r="AC34" s="100"/>
      <c r="AD34" s="100"/>
      <c r="AE34" s="99"/>
      <c r="AF34" s="99"/>
      <c r="AG34" s="99"/>
      <c r="AH34" s="99"/>
      <c r="AI34" s="100"/>
      <c r="AJ34" s="100"/>
      <c r="AK34" s="100"/>
      <c r="AL34" s="47"/>
      <c r="AM34" s="101"/>
      <c r="AN34" s="101"/>
      <c r="AO34" s="101"/>
      <c r="AP34" s="101"/>
      <c r="AQ34" s="19"/>
      <c r="AR34" s="19"/>
      <c r="AS34" s="19"/>
      <c r="AT34" s="99"/>
      <c r="AU34" s="99"/>
      <c r="AV34" s="99"/>
      <c r="AW34" s="99"/>
      <c r="AX34" s="100"/>
      <c r="AY34" s="100"/>
      <c r="AZ34" s="100"/>
      <c r="BA34" s="100"/>
      <c r="BB34" s="100"/>
      <c r="BC34" s="100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W34" s="1">
        <f t="shared" si="0"/>
        <v>0</v>
      </c>
      <c r="CX34" s="1">
        <f t="shared" si="1"/>
        <v>0</v>
      </c>
      <c r="CY34" s="43">
        <f t="shared" si="2"/>
        <v>0</v>
      </c>
      <c r="CZ34" s="43">
        <f t="shared" si="3"/>
        <v>0</v>
      </c>
      <c r="DA34" s="43">
        <f t="shared" si="4"/>
        <v>0</v>
      </c>
      <c r="DB34" s="43" t="str">
        <f t="shared" si="5"/>
        <v/>
      </c>
      <c r="DC34" s="50" t="str">
        <f t="shared" si="6"/>
        <v/>
      </c>
      <c r="DD34" s="50" t="str">
        <f t="shared" si="7"/>
        <v/>
      </c>
    </row>
    <row r="35" spans="1:108" ht="37.5" customHeight="1">
      <c r="A35" s="82" t="str">
        <f t="shared" si="8"/>
        <v>月日()</v>
      </c>
      <c r="B35" s="83" t="str">
        <f t="shared" si="9"/>
        <v>時</v>
      </c>
      <c r="C35" s="84" t="str">
        <f t="shared" si="10"/>
        <v>分</v>
      </c>
      <c r="D35" s="83" t="str">
        <f t="shared" si="11"/>
        <v>時</v>
      </c>
      <c r="E35" s="84" t="str">
        <f t="shared" si="12"/>
        <v>分</v>
      </c>
      <c r="F35" s="85" t="str">
        <f t="shared" si="13"/>
        <v xml:space="preserve">
</v>
      </c>
      <c r="L35" s="99"/>
      <c r="M35" s="99"/>
      <c r="N35" s="99"/>
      <c r="O35" s="99"/>
      <c r="P35" s="100"/>
      <c r="Q35" s="101"/>
      <c r="R35" s="101"/>
      <c r="S35" s="101"/>
      <c r="T35" s="101"/>
      <c r="U35" s="19"/>
      <c r="V35" s="19"/>
      <c r="W35" s="19"/>
      <c r="X35" s="99"/>
      <c r="Y35" s="99"/>
      <c r="Z35" s="99"/>
      <c r="AA35" s="99"/>
      <c r="AB35" s="100"/>
      <c r="AC35" s="100"/>
      <c r="AD35" s="100"/>
      <c r="AE35" s="99"/>
      <c r="AF35" s="99"/>
      <c r="AG35" s="99"/>
      <c r="AH35" s="99"/>
      <c r="AI35" s="100"/>
      <c r="AJ35" s="100"/>
      <c r="AK35" s="100"/>
      <c r="AL35" s="19"/>
      <c r="AM35" s="101"/>
      <c r="AN35" s="101"/>
      <c r="AO35" s="101"/>
      <c r="AP35" s="101"/>
      <c r="AQ35" s="19"/>
      <c r="AR35" s="19"/>
      <c r="AS35" s="19"/>
      <c r="AT35" s="99"/>
      <c r="AU35" s="99"/>
      <c r="AV35" s="99"/>
      <c r="AW35" s="99"/>
      <c r="AX35" s="100"/>
      <c r="AY35" s="100"/>
      <c r="AZ35" s="100"/>
      <c r="BA35" s="100"/>
      <c r="BB35" s="100"/>
      <c r="BC35" s="100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W35" s="1">
        <f t="shared" si="0"/>
        <v>0</v>
      </c>
      <c r="CX35" s="1">
        <f t="shared" si="1"/>
        <v>0</v>
      </c>
      <c r="CY35" s="43">
        <f t="shared" si="2"/>
        <v>0</v>
      </c>
      <c r="CZ35" s="43">
        <f t="shared" si="3"/>
        <v>0</v>
      </c>
      <c r="DA35" s="43">
        <f t="shared" si="4"/>
        <v>0</v>
      </c>
      <c r="DB35" s="43" t="str">
        <f t="shared" si="5"/>
        <v/>
      </c>
      <c r="DC35" s="50" t="str">
        <f t="shared" si="6"/>
        <v/>
      </c>
      <c r="DD35" s="50" t="str">
        <f t="shared" si="7"/>
        <v/>
      </c>
    </row>
    <row r="36" spans="1:108" ht="37.5" customHeight="1">
      <c r="A36" s="82" t="str">
        <f t="shared" si="8"/>
        <v>月日()</v>
      </c>
      <c r="B36" s="83" t="str">
        <f t="shared" si="9"/>
        <v>時</v>
      </c>
      <c r="C36" s="84" t="str">
        <f t="shared" si="10"/>
        <v>分</v>
      </c>
      <c r="D36" s="83" t="str">
        <f t="shared" si="11"/>
        <v>時</v>
      </c>
      <c r="E36" s="84" t="str">
        <f t="shared" si="12"/>
        <v>分</v>
      </c>
      <c r="F36" s="85" t="str">
        <f t="shared" si="13"/>
        <v xml:space="preserve">
</v>
      </c>
      <c r="L36" s="99"/>
      <c r="M36" s="99"/>
      <c r="N36" s="99"/>
      <c r="O36" s="99"/>
      <c r="P36" s="100"/>
      <c r="Q36" s="101"/>
      <c r="R36" s="101"/>
      <c r="S36" s="101"/>
      <c r="T36" s="101"/>
      <c r="U36" s="19"/>
      <c r="V36" s="19"/>
      <c r="W36" s="19"/>
      <c r="X36" s="99"/>
      <c r="Y36" s="99"/>
      <c r="Z36" s="99"/>
      <c r="AA36" s="99"/>
      <c r="AB36" s="100"/>
      <c r="AC36" s="100"/>
      <c r="AD36" s="100"/>
      <c r="AE36" s="99"/>
      <c r="AF36" s="99"/>
      <c r="AG36" s="99"/>
      <c r="AH36" s="99"/>
      <c r="AI36" s="100"/>
      <c r="AJ36" s="100"/>
      <c r="AK36" s="100"/>
      <c r="AL36" s="19"/>
      <c r="AM36" s="101"/>
      <c r="AN36" s="101"/>
      <c r="AO36" s="101"/>
      <c r="AP36" s="101"/>
      <c r="AQ36" s="19"/>
      <c r="AR36" s="19"/>
      <c r="AS36" s="19"/>
      <c r="AT36" s="99"/>
      <c r="AU36" s="99"/>
      <c r="AV36" s="99"/>
      <c r="AW36" s="99"/>
      <c r="AX36" s="100"/>
      <c r="AY36" s="100"/>
      <c r="AZ36" s="100"/>
      <c r="BA36" s="100"/>
      <c r="BB36" s="100"/>
      <c r="BC36" s="100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W36" s="1">
        <f t="shared" si="0"/>
        <v>0</v>
      </c>
      <c r="CX36" s="1">
        <f t="shared" si="1"/>
        <v>0</v>
      </c>
      <c r="CY36" s="43">
        <f t="shared" si="2"/>
        <v>0</v>
      </c>
      <c r="CZ36" s="43">
        <f t="shared" si="3"/>
        <v>0</v>
      </c>
      <c r="DA36" s="43">
        <f t="shared" si="4"/>
        <v>0</v>
      </c>
      <c r="DB36" s="43" t="str">
        <f t="shared" si="5"/>
        <v/>
      </c>
      <c r="DC36" s="50" t="str">
        <f t="shared" si="6"/>
        <v/>
      </c>
      <c r="DD36" s="50" t="str">
        <f t="shared" si="7"/>
        <v/>
      </c>
    </row>
    <row r="37" spans="1:108" ht="37.5" customHeight="1">
      <c r="A37" s="82" t="str">
        <f t="shared" si="8"/>
        <v>月日()</v>
      </c>
      <c r="B37" s="83" t="str">
        <f t="shared" si="9"/>
        <v>時</v>
      </c>
      <c r="C37" s="84" t="str">
        <f t="shared" si="10"/>
        <v>分</v>
      </c>
      <c r="D37" s="83" t="str">
        <f t="shared" si="11"/>
        <v>時</v>
      </c>
      <c r="E37" s="84" t="str">
        <f t="shared" si="12"/>
        <v>分</v>
      </c>
      <c r="F37" s="85" t="str">
        <f t="shared" si="13"/>
        <v xml:space="preserve">
</v>
      </c>
      <c r="L37" s="120"/>
      <c r="M37" s="120"/>
      <c r="N37" s="120"/>
      <c r="O37" s="121"/>
      <c r="P37" s="121"/>
      <c r="Q37" s="100"/>
      <c r="R37" s="100"/>
      <c r="S37" s="100"/>
      <c r="T37" s="100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2"/>
      <c r="AP37" s="122"/>
      <c r="AQ37" s="122"/>
      <c r="AR37" s="122"/>
      <c r="AS37" s="122"/>
      <c r="AT37" s="122"/>
      <c r="AU37" s="122"/>
      <c r="AV37" s="122"/>
      <c r="AW37" s="122"/>
      <c r="AX37" s="122"/>
      <c r="AY37" s="122"/>
      <c r="AZ37" s="122"/>
      <c r="BA37" s="122"/>
      <c r="BB37" s="122"/>
      <c r="BC37" s="122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W37" s="1">
        <f t="shared" si="0"/>
        <v>0</v>
      </c>
      <c r="CX37" s="1">
        <f t="shared" si="1"/>
        <v>0</v>
      </c>
      <c r="CY37" s="43">
        <f t="shared" si="2"/>
        <v>0</v>
      </c>
      <c r="CZ37" s="43">
        <f t="shared" si="3"/>
        <v>0</v>
      </c>
      <c r="DA37" s="43">
        <f t="shared" si="4"/>
        <v>0</v>
      </c>
      <c r="DB37" s="43" t="str">
        <f t="shared" si="5"/>
        <v/>
      </c>
      <c r="DC37" s="50" t="str">
        <f t="shared" si="6"/>
        <v/>
      </c>
      <c r="DD37" s="50" t="str">
        <f t="shared" si="7"/>
        <v/>
      </c>
    </row>
    <row r="38" spans="1:108" ht="37.5" customHeight="1">
      <c r="A38" s="82" t="str">
        <f t="shared" si="8"/>
        <v>月日()</v>
      </c>
      <c r="B38" s="83" t="str">
        <f t="shared" si="9"/>
        <v>時</v>
      </c>
      <c r="C38" s="84" t="str">
        <f t="shared" si="10"/>
        <v>分</v>
      </c>
      <c r="D38" s="83" t="str">
        <f t="shared" si="11"/>
        <v>時</v>
      </c>
      <c r="E38" s="84" t="str">
        <f t="shared" si="12"/>
        <v>分</v>
      </c>
      <c r="F38" s="85" t="str">
        <f t="shared" si="13"/>
        <v xml:space="preserve">
</v>
      </c>
      <c r="L38" s="123"/>
      <c r="M38" s="123"/>
      <c r="O38" s="124"/>
      <c r="P38" s="124"/>
      <c r="Q38" s="100"/>
      <c r="R38" s="100"/>
      <c r="S38" s="100"/>
      <c r="T38" s="100"/>
      <c r="U38" s="122"/>
      <c r="V38" s="122"/>
      <c r="W38" s="122"/>
      <c r="X38" s="122"/>
      <c r="Y38" s="122"/>
      <c r="Z38" s="122"/>
      <c r="AA38" s="122"/>
      <c r="AB38" s="122"/>
      <c r="AC38" s="122"/>
      <c r="AD38" s="122"/>
      <c r="AE38" s="122"/>
      <c r="AF38" s="122"/>
      <c r="AG38" s="122"/>
      <c r="AH38" s="122"/>
      <c r="AI38" s="122"/>
      <c r="AJ38" s="122"/>
      <c r="AK38" s="122"/>
      <c r="AL38" s="122"/>
      <c r="AM38" s="122"/>
      <c r="AN38" s="122"/>
      <c r="AO38" s="122"/>
      <c r="AP38" s="122"/>
      <c r="AQ38" s="122"/>
      <c r="AR38" s="122"/>
      <c r="AS38" s="122"/>
      <c r="AT38" s="122"/>
      <c r="AU38" s="122"/>
      <c r="AV38" s="122"/>
      <c r="AW38" s="122"/>
      <c r="AX38" s="122"/>
      <c r="AY38" s="122"/>
      <c r="AZ38" s="122"/>
      <c r="BA38" s="122"/>
      <c r="BB38" s="122"/>
      <c r="BC38" s="122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W38" s="1">
        <f t="shared" si="0"/>
        <v>0</v>
      </c>
      <c r="CX38" s="1">
        <f t="shared" si="1"/>
        <v>0</v>
      </c>
      <c r="CY38" s="43">
        <f t="shared" si="2"/>
        <v>0</v>
      </c>
      <c r="CZ38" s="43">
        <f t="shared" si="3"/>
        <v>0</v>
      </c>
      <c r="DA38" s="43">
        <f t="shared" si="4"/>
        <v>0</v>
      </c>
      <c r="DB38" s="43" t="str">
        <f t="shared" si="5"/>
        <v/>
      </c>
      <c r="DC38" s="50" t="str">
        <f t="shared" si="6"/>
        <v/>
      </c>
      <c r="DD38" s="50" t="str">
        <f t="shared" si="7"/>
        <v/>
      </c>
    </row>
    <row r="39" spans="1:108" ht="37.5" customHeight="1">
      <c r="A39" s="82" t="str">
        <f t="shared" si="8"/>
        <v>月日()</v>
      </c>
      <c r="B39" s="83" t="str">
        <f t="shared" si="9"/>
        <v>時</v>
      </c>
      <c r="C39" s="84" t="str">
        <f t="shared" si="10"/>
        <v>分</v>
      </c>
      <c r="D39" s="83" t="str">
        <f t="shared" si="11"/>
        <v>時</v>
      </c>
      <c r="E39" s="84" t="str">
        <f t="shared" si="12"/>
        <v>分</v>
      </c>
      <c r="F39" s="85" t="str">
        <f t="shared" si="13"/>
        <v xml:space="preserve">
</v>
      </c>
      <c r="L39" s="99"/>
      <c r="M39" s="99"/>
      <c r="N39" s="99"/>
      <c r="O39" s="99"/>
      <c r="P39" s="100"/>
      <c r="Q39" s="101"/>
      <c r="R39" s="101"/>
      <c r="S39" s="101"/>
      <c r="T39" s="101"/>
      <c r="U39" s="99"/>
      <c r="V39" s="99"/>
      <c r="W39" s="100"/>
      <c r="X39" s="100"/>
      <c r="Y39" s="99"/>
      <c r="Z39" s="99"/>
      <c r="AA39" s="100"/>
      <c r="AB39" s="100"/>
      <c r="AC39" s="100"/>
      <c r="AD39" s="100"/>
      <c r="AE39" s="99"/>
      <c r="AF39" s="99"/>
      <c r="AG39" s="100"/>
      <c r="AH39" s="100"/>
      <c r="AI39" s="99"/>
      <c r="AJ39" s="99"/>
      <c r="AK39" s="100"/>
      <c r="AL39" s="100"/>
      <c r="AM39" s="101"/>
      <c r="AN39" s="101"/>
      <c r="AO39" s="101"/>
      <c r="AP39" s="101"/>
      <c r="AQ39" s="19"/>
      <c r="AR39" s="19"/>
      <c r="AS39" s="19"/>
      <c r="AT39" s="99"/>
      <c r="AU39" s="99"/>
      <c r="AV39" s="99"/>
      <c r="AW39" s="99"/>
      <c r="AX39" s="100"/>
      <c r="AY39" s="100"/>
      <c r="AZ39" s="100"/>
      <c r="BA39" s="100"/>
      <c r="BB39" s="100"/>
      <c r="BC39" s="100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W39" s="1">
        <f t="shared" si="0"/>
        <v>0</v>
      </c>
      <c r="CX39" s="1">
        <f t="shared" si="1"/>
        <v>0</v>
      </c>
      <c r="CY39" s="43">
        <f t="shared" si="2"/>
        <v>0</v>
      </c>
      <c r="CZ39" s="43">
        <f t="shared" si="3"/>
        <v>0</v>
      </c>
      <c r="DA39" s="43">
        <f t="shared" si="4"/>
        <v>0</v>
      </c>
      <c r="DB39" s="43" t="str">
        <f t="shared" si="5"/>
        <v/>
      </c>
      <c r="DC39" s="50" t="str">
        <f t="shared" si="6"/>
        <v/>
      </c>
      <c r="DD39" s="50" t="str">
        <f t="shared" si="7"/>
        <v/>
      </c>
    </row>
    <row r="40" spans="1:108" ht="37.5" customHeight="1">
      <c r="A40" s="82" t="str">
        <f t="shared" si="8"/>
        <v>月日()</v>
      </c>
      <c r="B40" s="83" t="str">
        <f t="shared" si="9"/>
        <v>時</v>
      </c>
      <c r="C40" s="84" t="str">
        <f t="shared" si="10"/>
        <v>分</v>
      </c>
      <c r="D40" s="83" t="str">
        <f t="shared" si="11"/>
        <v>時</v>
      </c>
      <c r="E40" s="84" t="str">
        <f t="shared" si="12"/>
        <v>分</v>
      </c>
      <c r="F40" s="85" t="str">
        <f t="shared" si="13"/>
        <v xml:space="preserve">
</v>
      </c>
      <c r="L40" s="99"/>
      <c r="M40" s="99"/>
      <c r="N40" s="99"/>
      <c r="O40" s="99"/>
      <c r="P40" s="100"/>
      <c r="Q40" s="101"/>
      <c r="R40" s="101"/>
      <c r="S40" s="101"/>
      <c r="T40" s="101"/>
      <c r="U40" s="99"/>
      <c r="V40" s="99"/>
      <c r="W40" s="100"/>
      <c r="X40" s="100"/>
      <c r="Y40" s="99"/>
      <c r="Z40" s="99"/>
      <c r="AA40" s="100"/>
      <c r="AB40" s="100"/>
      <c r="AC40" s="100"/>
      <c r="AD40" s="100"/>
      <c r="AE40" s="99"/>
      <c r="AF40" s="99"/>
      <c r="AG40" s="100"/>
      <c r="AH40" s="100"/>
      <c r="AI40" s="99"/>
      <c r="AJ40" s="99"/>
      <c r="AK40" s="100"/>
      <c r="AL40" s="100"/>
      <c r="AM40" s="101"/>
      <c r="AN40" s="101"/>
      <c r="AO40" s="101"/>
      <c r="AP40" s="101"/>
      <c r="AQ40" s="19"/>
      <c r="AR40" s="19"/>
      <c r="AS40" s="19"/>
      <c r="AT40" s="99"/>
      <c r="AU40" s="99"/>
      <c r="AV40" s="99"/>
      <c r="AW40" s="99"/>
      <c r="AX40" s="100"/>
      <c r="AY40" s="100"/>
      <c r="AZ40" s="100"/>
      <c r="BA40" s="100"/>
      <c r="BB40" s="100"/>
      <c r="BC40" s="10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W40" s="1">
        <f t="shared" si="0"/>
        <v>0</v>
      </c>
      <c r="CX40" s="1">
        <f t="shared" si="1"/>
        <v>0</v>
      </c>
      <c r="CY40" s="43">
        <f t="shared" si="2"/>
        <v>0</v>
      </c>
      <c r="CZ40" s="43">
        <f t="shared" si="3"/>
        <v>0</v>
      </c>
      <c r="DA40" s="43">
        <f t="shared" si="4"/>
        <v>0</v>
      </c>
      <c r="DB40" s="43" t="str">
        <f t="shared" si="5"/>
        <v/>
      </c>
      <c r="DC40" s="50" t="str">
        <f t="shared" si="6"/>
        <v/>
      </c>
      <c r="DD40" s="50" t="str">
        <f t="shared" si="7"/>
        <v/>
      </c>
    </row>
    <row r="41" spans="1:108" ht="37.5" customHeight="1">
      <c r="A41" s="82" t="str">
        <f t="shared" si="8"/>
        <v>月日()</v>
      </c>
      <c r="B41" s="83" t="str">
        <f t="shared" si="9"/>
        <v>時</v>
      </c>
      <c r="C41" s="84" t="str">
        <f t="shared" si="10"/>
        <v>分</v>
      </c>
      <c r="D41" s="83" t="str">
        <f t="shared" si="11"/>
        <v>時</v>
      </c>
      <c r="E41" s="84" t="str">
        <f t="shared" si="12"/>
        <v>分</v>
      </c>
      <c r="F41" s="85" t="str">
        <f t="shared" si="13"/>
        <v xml:space="preserve">
</v>
      </c>
      <c r="L41" s="99"/>
      <c r="M41" s="99"/>
      <c r="N41" s="99"/>
      <c r="O41" s="99"/>
      <c r="P41" s="100"/>
      <c r="Q41" s="101"/>
      <c r="R41" s="101"/>
      <c r="S41" s="101"/>
      <c r="T41" s="101"/>
      <c r="U41" s="99"/>
      <c r="V41" s="99"/>
      <c r="W41" s="100"/>
      <c r="X41" s="100"/>
      <c r="Y41" s="99"/>
      <c r="Z41" s="99"/>
      <c r="AA41" s="100"/>
      <c r="AB41" s="100"/>
      <c r="AC41" s="100"/>
      <c r="AD41" s="100"/>
      <c r="AE41" s="99"/>
      <c r="AF41" s="99"/>
      <c r="AG41" s="100"/>
      <c r="AH41" s="100"/>
      <c r="AI41" s="99"/>
      <c r="AJ41" s="99"/>
      <c r="AK41" s="100"/>
      <c r="AL41" s="100"/>
      <c r="AM41" s="101"/>
      <c r="AN41" s="101"/>
      <c r="AO41" s="101"/>
      <c r="AP41" s="101"/>
      <c r="AQ41" s="19"/>
      <c r="AR41" s="19"/>
      <c r="AS41" s="19"/>
      <c r="AT41" s="99"/>
      <c r="AU41" s="99"/>
      <c r="AV41" s="99"/>
      <c r="AW41" s="99"/>
      <c r="AX41" s="100"/>
      <c r="AY41" s="100"/>
      <c r="AZ41" s="100"/>
      <c r="BA41" s="100"/>
      <c r="BB41" s="100"/>
      <c r="BC41" s="100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W41" s="1">
        <f t="shared" si="0"/>
        <v>0</v>
      </c>
      <c r="CX41" s="1">
        <f t="shared" si="1"/>
        <v>0</v>
      </c>
      <c r="CY41" s="43">
        <f t="shared" si="2"/>
        <v>0</v>
      </c>
      <c r="CZ41" s="43">
        <f t="shared" si="3"/>
        <v>0</v>
      </c>
      <c r="DA41" s="43">
        <f t="shared" si="4"/>
        <v>0</v>
      </c>
      <c r="DB41" s="43" t="str">
        <f t="shared" si="5"/>
        <v/>
      </c>
      <c r="DC41" s="50" t="str">
        <f t="shared" si="6"/>
        <v/>
      </c>
      <c r="DD41" s="50" t="str">
        <f t="shared" si="7"/>
        <v/>
      </c>
    </row>
    <row r="42" spans="1:108" ht="37.5" customHeight="1">
      <c r="A42" s="82" t="str">
        <f t="shared" si="8"/>
        <v>月日()</v>
      </c>
      <c r="B42" s="83" t="str">
        <f t="shared" si="9"/>
        <v>時</v>
      </c>
      <c r="C42" s="84" t="str">
        <f t="shared" si="10"/>
        <v>分</v>
      </c>
      <c r="D42" s="83" t="str">
        <f t="shared" si="11"/>
        <v>時</v>
      </c>
      <c r="E42" s="84" t="str">
        <f t="shared" si="12"/>
        <v>分</v>
      </c>
      <c r="F42" s="85" t="str">
        <f t="shared" si="13"/>
        <v xml:space="preserve">
</v>
      </c>
      <c r="L42" s="99"/>
      <c r="M42" s="99"/>
      <c r="N42" s="99"/>
      <c r="O42" s="99"/>
      <c r="P42" s="100"/>
      <c r="Q42" s="101"/>
      <c r="R42" s="101"/>
      <c r="S42" s="101"/>
      <c r="T42" s="101"/>
      <c r="U42" s="47"/>
      <c r="V42" s="47"/>
      <c r="W42" s="47"/>
      <c r="X42" s="99"/>
      <c r="Y42" s="99"/>
      <c r="Z42" s="99"/>
      <c r="AA42" s="99"/>
      <c r="AB42" s="100"/>
      <c r="AC42" s="100"/>
      <c r="AD42" s="100"/>
      <c r="AE42" s="99"/>
      <c r="AF42" s="99"/>
      <c r="AG42" s="99"/>
      <c r="AH42" s="99"/>
      <c r="AI42" s="100"/>
      <c r="AJ42" s="100"/>
      <c r="AK42" s="100"/>
      <c r="AL42" s="47"/>
      <c r="AM42" s="101"/>
      <c r="AN42" s="101"/>
      <c r="AO42" s="101"/>
      <c r="AP42" s="101"/>
      <c r="AQ42" s="19"/>
      <c r="AR42" s="19"/>
      <c r="AS42" s="19"/>
      <c r="AT42" s="99"/>
      <c r="AU42" s="99"/>
      <c r="AV42" s="99"/>
      <c r="AW42" s="99"/>
      <c r="AX42" s="100"/>
      <c r="AY42" s="100"/>
      <c r="AZ42" s="100"/>
      <c r="BA42" s="100"/>
      <c r="BB42" s="100"/>
      <c r="BC42" s="100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W42" s="1">
        <f t="shared" si="0"/>
        <v>0</v>
      </c>
      <c r="CX42" s="1">
        <f t="shared" si="1"/>
        <v>0</v>
      </c>
      <c r="CY42" s="43">
        <f t="shared" si="2"/>
        <v>0</v>
      </c>
      <c r="CZ42" s="43">
        <f t="shared" si="3"/>
        <v>0</v>
      </c>
      <c r="DA42" s="43">
        <f t="shared" si="4"/>
        <v>0</v>
      </c>
      <c r="DB42" s="43" t="str">
        <f t="shared" si="5"/>
        <v/>
      </c>
      <c r="DC42" s="50" t="str">
        <f t="shared" si="6"/>
        <v/>
      </c>
      <c r="DD42" s="50" t="str">
        <f t="shared" si="7"/>
        <v/>
      </c>
    </row>
    <row r="43" spans="1:108" ht="37.5" customHeight="1">
      <c r="A43" s="82" t="str">
        <f t="shared" si="8"/>
        <v>月日()</v>
      </c>
      <c r="B43" s="83" t="str">
        <f t="shared" si="9"/>
        <v>時</v>
      </c>
      <c r="C43" s="84" t="str">
        <f t="shared" si="10"/>
        <v>分</v>
      </c>
      <c r="D43" s="83" t="str">
        <f t="shared" si="11"/>
        <v>時</v>
      </c>
      <c r="E43" s="84" t="str">
        <f t="shared" si="12"/>
        <v>分</v>
      </c>
      <c r="F43" s="85" t="str">
        <f t="shared" si="13"/>
        <v xml:space="preserve">
</v>
      </c>
      <c r="L43" s="99"/>
      <c r="M43" s="99"/>
      <c r="N43" s="99"/>
      <c r="O43" s="99"/>
      <c r="P43" s="100"/>
      <c r="Q43" s="101"/>
      <c r="R43" s="101"/>
      <c r="S43" s="101"/>
      <c r="T43" s="101"/>
      <c r="U43" s="19"/>
      <c r="V43" s="19"/>
      <c r="W43" s="19"/>
      <c r="X43" s="99"/>
      <c r="Y43" s="99"/>
      <c r="Z43" s="99"/>
      <c r="AA43" s="99"/>
      <c r="AB43" s="100"/>
      <c r="AC43" s="100"/>
      <c r="AD43" s="100"/>
      <c r="AE43" s="99"/>
      <c r="AF43" s="99"/>
      <c r="AG43" s="99"/>
      <c r="AH43" s="99"/>
      <c r="AI43" s="100"/>
      <c r="AJ43" s="100"/>
      <c r="AK43" s="100"/>
      <c r="AL43" s="19"/>
      <c r="AM43" s="101"/>
      <c r="AN43" s="101"/>
      <c r="AO43" s="101"/>
      <c r="AP43" s="101"/>
      <c r="AQ43" s="19"/>
      <c r="AR43" s="19"/>
      <c r="AS43" s="19"/>
      <c r="AT43" s="99"/>
      <c r="AU43" s="99"/>
      <c r="AV43" s="99"/>
      <c r="AW43" s="99"/>
      <c r="AX43" s="100"/>
      <c r="AY43" s="100"/>
      <c r="AZ43" s="100"/>
      <c r="BA43" s="100"/>
      <c r="BB43" s="100"/>
      <c r="BC43" s="100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W43" s="1">
        <f t="shared" si="0"/>
        <v>0</v>
      </c>
      <c r="CX43" s="1">
        <f t="shared" si="1"/>
        <v>0</v>
      </c>
      <c r="CY43" s="43">
        <f t="shared" si="2"/>
        <v>0</v>
      </c>
      <c r="CZ43" s="43">
        <f t="shared" si="3"/>
        <v>0</v>
      </c>
      <c r="DA43" s="43">
        <f t="shared" si="4"/>
        <v>0</v>
      </c>
      <c r="DB43" s="43" t="str">
        <f t="shared" si="5"/>
        <v/>
      </c>
      <c r="DC43" s="50" t="str">
        <f t="shared" si="6"/>
        <v/>
      </c>
      <c r="DD43" s="50" t="str">
        <f t="shared" si="7"/>
        <v/>
      </c>
    </row>
    <row r="44" spans="1:108" ht="37.5" customHeight="1">
      <c r="A44" s="82" t="str">
        <f t="shared" si="8"/>
        <v>月日()</v>
      </c>
      <c r="B44" s="83" t="str">
        <f t="shared" si="9"/>
        <v>時</v>
      </c>
      <c r="C44" s="84" t="str">
        <f t="shared" si="10"/>
        <v>分</v>
      </c>
      <c r="D44" s="83" t="str">
        <f t="shared" si="11"/>
        <v>時</v>
      </c>
      <c r="E44" s="84" t="str">
        <f t="shared" si="12"/>
        <v>分</v>
      </c>
      <c r="F44" s="85" t="str">
        <f t="shared" si="13"/>
        <v xml:space="preserve">
</v>
      </c>
      <c r="L44" s="99"/>
      <c r="M44" s="99"/>
      <c r="N44" s="99"/>
      <c r="O44" s="99"/>
      <c r="P44" s="100"/>
      <c r="Q44" s="101"/>
      <c r="R44" s="101"/>
      <c r="S44" s="101"/>
      <c r="T44" s="101"/>
      <c r="U44" s="19"/>
      <c r="V44" s="19"/>
      <c r="W44" s="19"/>
      <c r="X44" s="99"/>
      <c r="Y44" s="99"/>
      <c r="Z44" s="99"/>
      <c r="AA44" s="99"/>
      <c r="AB44" s="100"/>
      <c r="AC44" s="100"/>
      <c r="AD44" s="100"/>
      <c r="AE44" s="99"/>
      <c r="AF44" s="99"/>
      <c r="AG44" s="99"/>
      <c r="AH44" s="99"/>
      <c r="AI44" s="100"/>
      <c r="AJ44" s="100"/>
      <c r="AK44" s="100"/>
      <c r="AL44" s="19"/>
      <c r="AM44" s="101"/>
      <c r="AN44" s="101"/>
      <c r="AO44" s="101"/>
      <c r="AP44" s="101"/>
      <c r="AQ44" s="19"/>
      <c r="AR44" s="19"/>
      <c r="AS44" s="19"/>
      <c r="AT44" s="99"/>
      <c r="AU44" s="99"/>
      <c r="AV44" s="99"/>
      <c r="AW44" s="99"/>
      <c r="AX44" s="100"/>
      <c r="AY44" s="100"/>
      <c r="AZ44" s="100"/>
      <c r="BA44" s="100"/>
      <c r="BB44" s="100"/>
      <c r="BC44" s="100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W44" s="1">
        <f t="shared" si="0"/>
        <v>0</v>
      </c>
      <c r="CX44" s="1">
        <f t="shared" si="1"/>
        <v>0</v>
      </c>
      <c r="CY44" s="43">
        <f t="shared" si="2"/>
        <v>0</v>
      </c>
      <c r="CZ44" s="43">
        <f t="shared" si="3"/>
        <v>0</v>
      </c>
      <c r="DA44" s="43">
        <f t="shared" si="4"/>
        <v>0</v>
      </c>
      <c r="DB44" s="43" t="str">
        <f t="shared" si="5"/>
        <v/>
      </c>
      <c r="DC44" s="50" t="str">
        <f t="shared" si="6"/>
        <v/>
      </c>
      <c r="DD44" s="50" t="str">
        <f t="shared" si="7"/>
        <v/>
      </c>
    </row>
    <row r="45" spans="1:108" ht="37.5" customHeight="1">
      <c r="A45" s="82" t="str">
        <f t="shared" si="8"/>
        <v>月日()</v>
      </c>
      <c r="B45" s="83" t="str">
        <f t="shared" si="9"/>
        <v>時</v>
      </c>
      <c r="C45" s="84" t="str">
        <f t="shared" si="10"/>
        <v>分</v>
      </c>
      <c r="D45" s="83" t="str">
        <f t="shared" si="11"/>
        <v>時</v>
      </c>
      <c r="E45" s="84" t="str">
        <f t="shared" si="12"/>
        <v>分</v>
      </c>
      <c r="F45" s="85" t="str">
        <f t="shared" si="13"/>
        <v xml:space="preserve">
</v>
      </c>
      <c r="L45" s="120"/>
      <c r="M45" s="120"/>
      <c r="N45" s="120"/>
      <c r="O45" s="121"/>
      <c r="P45" s="121"/>
      <c r="Q45" s="100"/>
      <c r="R45" s="100"/>
      <c r="S45" s="100"/>
      <c r="T45" s="100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  <c r="AH45" s="122"/>
      <c r="AI45" s="122"/>
      <c r="AJ45" s="122"/>
      <c r="AK45" s="122"/>
      <c r="AL45" s="122"/>
      <c r="AM45" s="122"/>
      <c r="AN45" s="122"/>
      <c r="AO45" s="122"/>
      <c r="AP45" s="122"/>
      <c r="AQ45" s="122"/>
      <c r="AR45" s="122"/>
      <c r="AS45" s="122"/>
      <c r="AT45" s="122"/>
      <c r="AU45" s="122"/>
      <c r="AV45" s="122"/>
      <c r="AW45" s="122"/>
      <c r="AX45" s="122"/>
      <c r="AY45" s="122"/>
      <c r="AZ45" s="122"/>
      <c r="BA45" s="122"/>
      <c r="BB45" s="122"/>
      <c r="BC45" s="122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W45" s="1">
        <f t="shared" si="0"/>
        <v>0</v>
      </c>
      <c r="CX45" s="1">
        <f t="shared" si="1"/>
        <v>0</v>
      </c>
      <c r="CY45" s="43">
        <f t="shared" si="2"/>
        <v>0</v>
      </c>
      <c r="CZ45" s="43">
        <f t="shared" si="3"/>
        <v>0</v>
      </c>
      <c r="DA45" s="43">
        <f t="shared" si="4"/>
        <v>0</v>
      </c>
      <c r="DB45" s="43" t="str">
        <f t="shared" si="5"/>
        <v/>
      </c>
      <c r="DC45" s="50" t="str">
        <f t="shared" si="6"/>
        <v/>
      </c>
      <c r="DD45" s="50" t="str">
        <f t="shared" si="7"/>
        <v/>
      </c>
    </row>
    <row r="46" spans="1:108" ht="37.5" customHeight="1">
      <c r="A46" s="82" t="str">
        <f t="shared" si="8"/>
        <v>月日()</v>
      </c>
      <c r="B46" s="83" t="str">
        <f t="shared" si="9"/>
        <v>時</v>
      </c>
      <c r="C46" s="84" t="str">
        <f t="shared" si="10"/>
        <v>分</v>
      </c>
      <c r="D46" s="83" t="str">
        <f t="shared" si="11"/>
        <v>時</v>
      </c>
      <c r="E46" s="84" t="str">
        <f t="shared" si="12"/>
        <v>分</v>
      </c>
      <c r="F46" s="85" t="str">
        <f t="shared" si="13"/>
        <v xml:space="preserve">
</v>
      </c>
      <c r="L46" s="123"/>
      <c r="M46" s="123"/>
      <c r="O46" s="124"/>
      <c r="P46" s="124"/>
      <c r="Q46" s="100"/>
      <c r="R46" s="100"/>
      <c r="S46" s="100"/>
      <c r="T46" s="100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  <c r="AH46" s="122"/>
      <c r="AI46" s="122"/>
      <c r="AJ46" s="122"/>
      <c r="AK46" s="122"/>
      <c r="AL46" s="122"/>
      <c r="AM46" s="122"/>
      <c r="AN46" s="122"/>
      <c r="AO46" s="122"/>
      <c r="AP46" s="122"/>
      <c r="AQ46" s="122"/>
      <c r="AR46" s="122"/>
      <c r="AS46" s="122"/>
      <c r="AT46" s="122"/>
      <c r="AU46" s="122"/>
      <c r="AV46" s="122"/>
      <c r="AW46" s="122"/>
      <c r="AX46" s="122"/>
      <c r="AY46" s="122"/>
      <c r="AZ46" s="122"/>
      <c r="BA46" s="122"/>
      <c r="BB46" s="122"/>
      <c r="BC46" s="122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W46" s="1">
        <f t="shared" si="0"/>
        <v>0</v>
      </c>
      <c r="CX46" s="1">
        <f t="shared" si="1"/>
        <v>0</v>
      </c>
      <c r="CY46" s="43">
        <f t="shared" si="2"/>
        <v>0</v>
      </c>
      <c r="CZ46" s="43">
        <f t="shared" si="3"/>
        <v>0</v>
      </c>
      <c r="DA46" s="43">
        <f t="shared" si="4"/>
        <v>0</v>
      </c>
      <c r="DB46" s="43" t="str">
        <f t="shared" si="5"/>
        <v/>
      </c>
      <c r="DC46" s="50" t="str">
        <f t="shared" si="6"/>
        <v/>
      </c>
      <c r="DD46" s="50" t="str">
        <f t="shared" si="7"/>
        <v/>
      </c>
    </row>
    <row r="47" spans="1:108" ht="37.5" customHeight="1">
      <c r="A47" s="82" t="str">
        <f t="shared" si="8"/>
        <v>月日()</v>
      </c>
      <c r="B47" s="83" t="str">
        <f t="shared" si="9"/>
        <v>時</v>
      </c>
      <c r="C47" s="84" t="str">
        <f t="shared" si="10"/>
        <v>分</v>
      </c>
      <c r="D47" s="83" t="str">
        <f t="shared" si="11"/>
        <v>時</v>
      </c>
      <c r="E47" s="84" t="str">
        <f t="shared" si="12"/>
        <v>分</v>
      </c>
      <c r="F47" s="85" t="str">
        <f t="shared" si="13"/>
        <v xml:space="preserve">
</v>
      </c>
      <c r="L47" s="99"/>
      <c r="M47" s="99"/>
      <c r="N47" s="99"/>
      <c r="O47" s="99"/>
      <c r="P47" s="100"/>
      <c r="Q47" s="101"/>
      <c r="R47" s="101"/>
      <c r="S47" s="101"/>
      <c r="T47" s="101"/>
      <c r="U47" s="99"/>
      <c r="V47" s="99"/>
      <c r="W47" s="100"/>
      <c r="X47" s="100"/>
      <c r="Y47" s="99"/>
      <c r="Z47" s="99"/>
      <c r="AA47" s="100"/>
      <c r="AB47" s="100"/>
      <c r="AC47" s="100"/>
      <c r="AD47" s="100"/>
      <c r="AE47" s="99"/>
      <c r="AF47" s="99"/>
      <c r="AG47" s="100"/>
      <c r="AH47" s="100"/>
      <c r="AI47" s="99"/>
      <c r="AJ47" s="99"/>
      <c r="AK47" s="100"/>
      <c r="AL47" s="100"/>
      <c r="AM47" s="101"/>
      <c r="AN47" s="101"/>
      <c r="AO47" s="101"/>
      <c r="AP47" s="101"/>
      <c r="AQ47" s="19"/>
      <c r="AR47" s="19"/>
      <c r="AS47" s="19"/>
      <c r="AT47" s="99"/>
      <c r="AU47" s="99"/>
      <c r="AV47" s="99"/>
      <c r="AW47" s="99"/>
      <c r="AX47" s="100"/>
      <c r="AY47" s="100"/>
      <c r="AZ47" s="100"/>
      <c r="BA47" s="100"/>
      <c r="BB47" s="100"/>
      <c r="BC47" s="100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W47" s="1">
        <f t="shared" si="0"/>
        <v>0</v>
      </c>
      <c r="CX47" s="1">
        <f t="shared" si="1"/>
        <v>0</v>
      </c>
      <c r="CY47" s="43">
        <f t="shared" si="2"/>
        <v>0</v>
      </c>
      <c r="CZ47" s="43">
        <f t="shared" si="3"/>
        <v>0</v>
      </c>
      <c r="DA47" s="43">
        <f t="shared" si="4"/>
        <v>0</v>
      </c>
      <c r="DB47" s="43" t="str">
        <f t="shared" si="5"/>
        <v/>
      </c>
      <c r="DC47" s="50" t="str">
        <f t="shared" si="6"/>
        <v/>
      </c>
      <c r="DD47" s="50" t="str">
        <f t="shared" si="7"/>
        <v/>
      </c>
    </row>
    <row r="48" spans="1:108" ht="37.5" customHeight="1">
      <c r="A48" s="82" t="str">
        <f t="shared" si="8"/>
        <v>月日()</v>
      </c>
      <c r="B48" s="83" t="str">
        <f t="shared" si="9"/>
        <v>時</v>
      </c>
      <c r="C48" s="84" t="str">
        <f t="shared" si="10"/>
        <v>分</v>
      </c>
      <c r="D48" s="83" t="str">
        <f t="shared" si="11"/>
        <v>時</v>
      </c>
      <c r="E48" s="84" t="str">
        <f t="shared" si="12"/>
        <v>分</v>
      </c>
      <c r="F48" s="85" t="str">
        <f t="shared" si="13"/>
        <v xml:space="preserve">
</v>
      </c>
      <c r="L48" s="99"/>
      <c r="M48" s="99"/>
      <c r="N48" s="99"/>
      <c r="O48" s="99"/>
      <c r="P48" s="100"/>
      <c r="Q48" s="101"/>
      <c r="R48" s="101"/>
      <c r="S48" s="101"/>
      <c r="T48" s="101"/>
      <c r="U48" s="99"/>
      <c r="V48" s="99"/>
      <c r="W48" s="100"/>
      <c r="X48" s="100"/>
      <c r="Y48" s="99"/>
      <c r="Z48" s="99"/>
      <c r="AA48" s="100"/>
      <c r="AB48" s="100"/>
      <c r="AC48" s="100"/>
      <c r="AD48" s="100"/>
      <c r="AE48" s="99"/>
      <c r="AF48" s="99"/>
      <c r="AG48" s="100"/>
      <c r="AH48" s="100"/>
      <c r="AI48" s="99"/>
      <c r="AJ48" s="99"/>
      <c r="AK48" s="100"/>
      <c r="AL48" s="100"/>
      <c r="AM48" s="101"/>
      <c r="AN48" s="101"/>
      <c r="AO48" s="101"/>
      <c r="AP48" s="101"/>
      <c r="AQ48" s="19"/>
      <c r="AR48" s="19"/>
      <c r="AS48" s="19"/>
      <c r="AT48" s="99"/>
      <c r="AU48" s="99"/>
      <c r="AV48" s="99"/>
      <c r="AW48" s="99"/>
      <c r="AX48" s="100"/>
      <c r="AY48" s="100"/>
      <c r="AZ48" s="100"/>
      <c r="BA48" s="100"/>
      <c r="BB48" s="100"/>
      <c r="BC48" s="100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W48" s="1">
        <f t="shared" si="0"/>
        <v>0</v>
      </c>
      <c r="CX48" s="1">
        <f t="shared" si="1"/>
        <v>0</v>
      </c>
      <c r="CY48" s="43">
        <f t="shared" si="2"/>
        <v>0</v>
      </c>
      <c r="CZ48" s="43">
        <f t="shared" si="3"/>
        <v>0</v>
      </c>
      <c r="DA48" s="43">
        <f t="shared" si="4"/>
        <v>0</v>
      </c>
      <c r="DB48" s="43" t="str">
        <f t="shared" si="5"/>
        <v/>
      </c>
      <c r="DC48" s="50" t="str">
        <f t="shared" si="6"/>
        <v/>
      </c>
      <c r="DD48" s="50" t="str">
        <f t="shared" si="7"/>
        <v/>
      </c>
    </row>
    <row r="49" spans="1:108" ht="37.5" customHeight="1">
      <c r="A49" s="82" t="str">
        <f t="shared" si="8"/>
        <v>月日()</v>
      </c>
      <c r="B49" s="83" t="str">
        <f t="shared" si="9"/>
        <v>時</v>
      </c>
      <c r="C49" s="84" t="str">
        <f t="shared" si="10"/>
        <v>分</v>
      </c>
      <c r="D49" s="83" t="str">
        <f t="shared" si="11"/>
        <v>時</v>
      </c>
      <c r="E49" s="84" t="str">
        <f t="shared" si="12"/>
        <v>分</v>
      </c>
      <c r="F49" s="85" t="str">
        <f t="shared" si="13"/>
        <v xml:space="preserve">
</v>
      </c>
      <c r="L49" s="99"/>
      <c r="M49" s="99"/>
      <c r="N49" s="99"/>
      <c r="O49" s="99"/>
      <c r="P49" s="100"/>
      <c r="Q49" s="101"/>
      <c r="R49" s="101"/>
      <c r="S49" s="101"/>
      <c r="T49" s="101"/>
      <c r="U49" s="99"/>
      <c r="V49" s="99"/>
      <c r="W49" s="100"/>
      <c r="X49" s="100"/>
      <c r="Y49" s="99"/>
      <c r="Z49" s="99"/>
      <c r="AA49" s="100"/>
      <c r="AB49" s="100"/>
      <c r="AC49" s="100"/>
      <c r="AD49" s="100"/>
      <c r="AE49" s="99"/>
      <c r="AF49" s="99"/>
      <c r="AG49" s="100"/>
      <c r="AH49" s="100"/>
      <c r="AI49" s="99"/>
      <c r="AJ49" s="99"/>
      <c r="AK49" s="100"/>
      <c r="AL49" s="100"/>
      <c r="AM49" s="101"/>
      <c r="AN49" s="101"/>
      <c r="AO49" s="101"/>
      <c r="AP49" s="101"/>
      <c r="AQ49" s="19"/>
      <c r="AR49" s="19"/>
      <c r="AS49" s="19"/>
      <c r="AT49" s="99"/>
      <c r="AU49" s="99"/>
      <c r="AV49" s="99"/>
      <c r="AW49" s="99"/>
      <c r="AX49" s="100"/>
      <c r="AY49" s="100"/>
      <c r="AZ49" s="100"/>
      <c r="BA49" s="100"/>
      <c r="BB49" s="100"/>
      <c r="BC49" s="100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W49" s="1">
        <f t="shared" si="0"/>
        <v>0</v>
      </c>
      <c r="CX49" s="1">
        <f t="shared" si="1"/>
        <v>0</v>
      </c>
      <c r="CY49" s="43">
        <f t="shared" si="2"/>
        <v>0</v>
      </c>
      <c r="CZ49" s="43">
        <f t="shared" si="3"/>
        <v>0</v>
      </c>
      <c r="DA49" s="43">
        <f t="shared" si="4"/>
        <v>0</v>
      </c>
      <c r="DB49" s="43" t="str">
        <f t="shared" si="5"/>
        <v/>
      </c>
      <c r="DC49" s="50" t="str">
        <f t="shared" si="6"/>
        <v/>
      </c>
      <c r="DD49" s="50" t="str">
        <f t="shared" si="7"/>
        <v/>
      </c>
    </row>
    <row r="50" spans="1:108" ht="37.5" customHeight="1">
      <c r="A50" s="82" t="str">
        <f t="shared" si="8"/>
        <v>月日()</v>
      </c>
      <c r="B50" s="83" t="str">
        <f t="shared" si="9"/>
        <v>時</v>
      </c>
      <c r="C50" s="84" t="str">
        <f t="shared" si="10"/>
        <v>分</v>
      </c>
      <c r="D50" s="83" t="str">
        <f t="shared" si="11"/>
        <v>時</v>
      </c>
      <c r="E50" s="84" t="str">
        <f t="shared" si="12"/>
        <v>分</v>
      </c>
      <c r="F50" s="85" t="str">
        <f t="shared" si="13"/>
        <v xml:space="preserve">
</v>
      </c>
      <c r="L50" s="99"/>
      <c r="M50" s="99"/>
      <c r="N50" s="99"/>
      <c r="O50" s="99"/>
      <c r="P50" s="100"/>
      <c r="Q50" s="101"/>
      <c r="R50" s="101"/>
      <c r="S50" s="101"/>
      <c r="T50" s="101"/>
      <c r="U50" s="47"/>
      <c r="V50" s="47"/>
      <c r="W50" s="47"/>
      <c r="X50" s="99"/>
      <c r="Y50" s="99"/>
      <c r="Z50" s="99"/>
      <c r="AA50" s="99"/>
      <c r="AB50" s="100"/>
      <c r="AC50" s="100"/>
      <c r="AD50" s="100"/>
      <c r="AE50" s="99"/>
      <c r="AF50" s="99"/>
      <c r="AG50" s="99"/>
      <c r="AH50" s="99"/>
      <c r="AI50" s="100"/>
      <c r="AJ50" s="100"/>
      <c r="AK50" s="100"/>
      <c r="AL50" s="47"/>
      <c r="AM50" s="101"/>
      <c r="AN50" s="101"/>
      <c r="AO50" s="101"/>
      <c r="AP50" s="101"/>
      <c r="AQ50" s="19"/>
      <c r="AR50" s="19"/>
      <c r="AS50" s="19"/>
      <c r="AT50" s="99"/>
      <c r="AU50" s="99"/>
      <c r="AV50" s="99"/>
      <c r="AW50" s="99"/>
      <c r="AX50" s="100"/>
      <c r="AY50" s="100"/>
      <c r="AZ50" s="100"/>
      <c r="BA50" s="100"/>
      <c r="BB50" s="100"/>
      <c r="BC50" s="10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W50" s="1">
        <f t="shared" si="0"/>
        <v>0</v>
      </c>
      <c r="CX50" s="1">
        <f t="shared" si="1"/>
        <v>0</v>
      </c>
      <c r="CY50" s="43">
        <f t="shared" si="2"/>
        <v>0</v>
      </c>
      <c r="CZ50" s="43">
        <f t="shared" si="3"/>
        <v>0</v>
      </c>
      <c r="DA50" s="43">
        <f t="shared" si="4"/>
        <v>0</v>
      </c>
      <c r="DB50" s="43" t="str">
        <f t="shared" si="5"/>
        <v/>
      </c>
      <c r="DC50" s="50" t="str">
        <f t="shared" si="6"/>
        <v/>
      </c>
      <c r="DD50" s="50" t="str">
        <f t="shared" si="7"/>
        <v/>
      </c>
    </row>
    <row r="51" spans="1:108" ht="37.5" customHeight="1">
      <c r="A51" s="82" t="str">
        <f t="shared" si="8"/>
        <v>月日()</v>
      </c>
      <c r="B51" s="83" t="str">
        <f t="shared" si="9"/>
        <v>時</v>
      </c>
      <c r="C51" s="84" t="str">
        <f t="shared" si="10"/>
        <v>分</v>
      </c>
      <c r="D51" s="83" t="str">
        <f t="shared" si="11"/>
        <v>時</v>
      </c>
      <c r="E51" s="84" t="str">
        <f t="shared" si="12"/>
        <v>分</v>
      </c>
      <c r="F51" s="85" t="str">
        <f t="shared" si="13"/>
        <v xml:space="preserve">
</v>
      </c>
      <c r="L51" s="99"/>
      <c r="M51" s="99"/>
      <c r="N51" s="99"/>
      <c r="O51" s="99"/>
      <c r="P51" s="100"/>
      <c r="Q51" s="101"/>
      <c r="R51" s="101"/>
      <c r="S51" s="101"/>
      <c r="T51" s="101"/>
      <c r="U51" s="19"/>
      <c r="V51" s="19"/>
      <c r="W51" s="19"/>
      <c r="X51" s="99"/>
      <c r="Y51" s="99"/>
      <c r="Z51" s="99"/>
      <c r="AA51" s="99"/>
      <c r="AB51" s="100"/>
      <c r="AC51" s="100"/>
      <c r="AD51" s="100"/>
      <c r="AE51" s="99"/>
      <c r="AF51" s="99"/>
      <c r="AG51" s="99"/>
      <c r="AH51" s="99"/>
      <c r="AI51" s="100"/>
      <c r="AJ51" s="100"/>
      <c r="AK51" s="100"/>
      <c r="AL51" s="19"/>
      <c r="AM51" s="101"/>
      <c r="AN51" s="101"/>
      <c r="AO51" s="101"/>
      <c r="AP51" s="101"/>
      <c r="AQ51" s="19"/>
      <c r="AR51" s="19"/>
      <c r="AS51" s="19"/>
      <c r="AT51" s="99"/>
      <c r="AU51" s="99"/>
      <c r="AV51" s="99"/>
      <c r="AW51" s="99"/>
      <c r="AX51" s="100"/>
      <c r="AY51" s="100"/>
      <c r="AZ51" s="100"/>
      <c r="BA51" s="100"/>
      <c r="BB51" s="100"/>
      <c r="BC51" s="100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W51" s="1">
        <f t="shared" si="0"/>
        <v>0</v>
      </c>
      <c r="CX51" s="1">
        <f t="shared" si="1"/>
        <v>0</v>
      </c>
      <c r="CY51" s="43">
        <f t="shared" si="2"/>
        <v>0</v>
      </c>
      <c r="CZ51" s="43">
        <f t="shared" si="3"/>
        <v>0</v>
      </c>
      <c r="DA51" s="43">
        <f t="shared" si="4"/>
        <v>0</v>
      </c>
      <c r="DB51" s="43" t="str">
        <f t="shared" si="5"/>
        <v/>
      </c>
      <c r="DC51" s="50" t="str">
        <f t="shared" si="6"/>
        <v/>
      </c>
      <c r="DD51" s="50" t="str">
        <f t="shared" si="7"/>
        <v/>
      </c>
    </row>
    <row r="52" spans="1:108" ht="37.5" customHeight="1">
      <c r="A52" s="82" t="str">
        <f t="shared" si="8"/>
        <v>月日()</v>
      </c>
      <c r="B52" s="83" t="str">
        <f t="shared" si="9"/>
        <v>時</v>
      </c>
      <c r="C52" s="84" t="str">
        <f t="shared" si="10"/>
        <v>分</v>
      </c>
      <c r="D52" s="83" t="str">
        <f t="shared" si="11"/>
        <v>時</v>
      </c>
      <c r="E52" s="84" t="str">
        <f t="shared" si="12"/>
        <v>分</v>
      </c>
      <c r="F52" s="85" t="str">
        <f t="shared" si="13"/>
        <v xml:space="preserve">
</v>
      </c>
      <c r="L52" s="99"/>
      <c r="M52" s="99"/>
      <c r="N52" s="99"/>
      <c r="O52" s="99"/>
      <c r="P52" s="100"/>
      <c r="Q52" s="101"/>
      <c r="R52" s="101"/>
      <c r="S52" s="101"/>
      <c r="T52" s="101"/>
      <c r="U52" s="19"/>
      <c r="V52" s="19"/>
      <c r="W52" s="19"/>
      <c r="X52" s="99"/>
      <c r="Y52" s="99"/>
      <c r="Z52" s="99"/>
      <c r="AA52" s="99"/>
      <c r="AB52" s="100"/>
      <c r="AC52" s="100"/>
      <c r="AD52" s="100"/>
      <c r="AE52" s="99"/>
      <c r="AF52" s="99"/>
      <c r="AG52" s="99"/>
      <c r="AH52" s="99"/>
      <c r="AI52" s="100"/>
      <c r="AJ52" s="100"/>
      <c r="AK52" s="100"/>
      <c r="AL52" s="19"/>
      <c r="AM52" s="101"/>
      <c r="AN52" s="101"/>
      <c r="AO52" s="101"/>
      <c r="AP52" s="101"/>
      <c r="AQ52" s="19"/>
      <c r="AR52" s="19"/>
      <c r="AS52" s="19"/>
      <c r="AT52" s="99"/>
      <c r="AU52" s="99"/>
      <c r="AV52" s="99"/>
      <c r="AW52" s="99"/>
      <c r="AX52" s="100"/>
      <c r="AY52" s="100"/>
      <c r="AZ52" s="100"/>
      <c r="BA52" s="100"/>
      <c r="BB52" s="100"/>
      <c r="BC52" s="100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W52" s="1">
        <f t="shared" si="0"/>
        <v>0</v>
      </c>
      <c r="CX52" s="1">
        <f t="shared" si="1"/>
        <v>0</v>
      </c>
      <c r="CY52" s="43">
        <f t="shared" si="2"/>
        <v>0</v>
      </c>
      <c r="CZ52" s="43">
        <f t="shared" si="3"/>
        <v>0</v>
      </c>
      <c r="DA52" s="43">
        <f t="shared" si="4"/>
        <v>0</v>
      </c>
      <c r="DB52" s="43" t="str">
        <f t="shared" si="5"/>
        <v/>
      </c>
      <c r="DC52" s="50" t="str">
        <f t="shared" si="6"/>
        <v/>
      </c>
      <c r="DD52" s="50" t="str">
        <f t="shared" si="7"/>
        <v/>
      </c>
    </row>
    <row r="53" spans="1:108" ht="37.5" customHeight="1">
      <c r="A53" s="82" t="str">
        <f t="shared" si="8"/>
        <v>月日()</v>
      </c>
      <c r="B53" s="83" t="str">
        <f t="shared" si="9"/>
        <v>時</v>
      </c>
      <c r="C53" s="84" t="str">
        <f t="shared" si="10"/>
        <v>分</v>
      </c>
      <c r="D53" s="83" t="str">
        <f t="shared" si="11"/>
        <v>時</v>
      </c>
      <c r="E53" s="84" t="str">
        <f t="shared" si="12"/>
        <v>分</v>
      </c>
      <c r="F53" s="85" t="str">
        <f t="shared" si="13"/>
        <v xml:space="preserve">
</v>
      </c>
      <c r="L53" s="120"/>
      <c r="M53" s="120"/>
      <c r="N53" s="120"/>
      <c r="O53" s="121"/>
      <c r="P53" s="121"/>
      <c r="Q53" s="100"/>
      <c r="R53" s="100"/>
      <c r="S53" s="100"/>
      <c r="T53" s="100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  <c r="AH53" s="122"/>
      <c r="AI53" s="122"/>
      <c r="AJ53" s="122"/>
      <c r="AK53" s="122"/>
      <c r="AL53" s="122"/>
      <c r="AM53" s="122"/>
      <c r="AN53" s="122"/>
      <c r="AO53" s="122"/>
      <c r="AP53" s="122"/>
      <c r="AQ53" s="122"/>
      <c r="AR53" s="122"/>
      <c r="AS53" s="122"/>
      <c r="AT53" s="122"/>
      <c r="AU53" s="122"/>
      <c r="AV53" s="122"/>
      <c r="AW53" s="122"/>
      <c r="AX53" s="122"/>
      <c r="AY53" s="122"/>
      <c r="AZ53" s="122"/>
      <c r="BA53" s="122"/>
      <c r="BB53" s="122"/>
      <c r="BC53" s="122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W53" s="1">
        <f t="shared" si="0"/>
        <v>0</v>
      </c>
      <c r="CX53" s="1">
        <f t="shared" si="1"/>
        <v>0</v>
      </c>
      <c r="CY53" s="43">
        <f t="shared" si="2"/>
        <v>0</v>
      </c>
      <c r="CZ53" s="43">
        <f t="shared" si="3"/>
        <v>0</v>
      </c>
      <c r="DA53" s="43">
        <f t="shared" si="4"/>
        <v>0</v>
      </c>
      <c r="DB53" s="43" t="str">
        <f t="shared" si="5"/>
        <v/>
      </c>
      <c r="DC53" s="50" t="str">
        <f t="shared" si="6"/>
        <v/>
      </c>
      <c r="DD53" s="50" t="str">
        <f t="shared" si="7"/>
        <v/>
      </c>
    </row>
    <row r="54" spans="1:108" ht="37.5" customHeight="1">
      <c r="A54" s="82" t="str">
        <f t="shared" si="8"/>
        <v>月日()</v>
      </c>
      <c r="B54" s="83" t="str">
        <f t="shared" si="9"/>
        <v>時</v>
      </c>
      <c r="C54" s="84" t="str">
        <f t="shared" si="10"/>
        <v>分</v>
      </c>
      <c r="D54" s="83" t="str">
        <f t="shared" si="11"/>
        <v>時</v>
      </c>
      <c r="E54" s="84" t="str">
        <f t="shared" si="12"/>
        <v>分</v>
      </c>
      <c r="F54" s="85" t="str">
        <f t="shared" si="13"/>
        <v xml:space="preserve">
</v>
      </c>
      <c r="L54" s="123"/>
      <c r="M54" s="123"/>
      <c r="O54" s="124"/>
      <c r="P54" s="124"/>
      <c r="Q54" s="100"/>
      <c r="R54" s="100"/>
      <c r="S54" s="100"/>
      <c r="T54" s="100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  <c r="AH54" s="122"/>
      <c r="AI54" s="122"/>
      <c r="AJ54" s="122"/>
      <c r="AK54" s="122"/>
      <c r="AL54" s="122"/>
      <c r="AM54" s="122"/>
      <c r="AN54" s="122"/>
      <c r="AO54" s="122"/>
      <c r="AP54" s="122"/>
      <c r="AQ54" s="122"/>
      <c r="AR54" s="122"/>
      <c r="AS54" s="122"/>
      <c r="AT54" s="122"/>
      <c r="AU54" s="122"/>
      <c r="AV54" s="122"/>
      <c r="AW54" s="122"/>
      <c r="AX54" s="122"/>
      <c r="AY54" s="122"/>
      <c r="AZ54" s="122"/>
      <c r="BA54" s="122"/>
      <c r="BB54" s="122"/>
      <c r="BC54" s="122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W54" s="1">
        <f t="shared" si="0"/>
        <v>0</v>
      </c>
      <c r="CX54" s="1">
        <f t="shared" si="1"/>
        <v>0</v>
      </c>
      <c r="CY54" s="43">
        <f t="shared" si="2"/>
        <v>0</v>
      </c>
      <c r="CZ54" s="43">
        <f t="shared" si="3"/>
        <v>0</v>
      </c>
      <c r="DA54" s="43">
        <f t="shared" si="4"/>
        <v>0</v>
      </c>
      <c r="DB54" s="43" t="str">
        <f t="shared" si="5"/>
        <v/>
      </c>
      <c r="DC54" s="50" t="str">
        <f t="shared" si="6"/>
        <v/>
      </c>
      <c r="DD54" s="50" t="str">
        <f t="shared" si="7"/>
        <v/>
      </c>
    </row>
    <row r="55" spans="1:108" ht="37.5" customHeight="1">
      <c r="A55" s="82" t="str">
        <f t="shared" si="8"/>
        <v>月日()</v>
      </c>
      <c r="B55" s="83" t="str">
        <f t="shared" si="9"/>
        <v>時</v>
      </c>
      <c r="C55" s="84" t="str">
        <f t="shared" si="10"/>
        <v>分</v>
      </c>
      <c r="D55" s="83" t="str">
        <f t="shared" si="11"/>
        <v>時</v>
      </c>
      <c r="E55" s="84" t="str">
        <f t="shared" si="12"/>
        <v>分</v>
      </c>
      <c r="F55" s="85" t="str">
        <f t="shared" si="13"/>
        <v xml:space="preserve">
</v>
      </c>
      <c r="L55" s="99"/>
      <c r="M55" s="99"/>
      <c r="N55" s="99"/>
      <c r="O55" s="99"/>
      <c r="P55" s="100"/>
      <c r="Q55" s="101"/>
      <c r="R55" s="101"/>
      <c r="S55" s="101"/>
      <c r="T55" s="101"/>
      <c r="U55" s="99"/>
      <c r="V55" s="99"/>
      <c r="W55" s="100"/>
      <c r="X55" s="100"/>
      <c r="Y55" s="99"/>
      <c r="Z55" s="99"/>
      <c r="AA55" s="100"/>
      <c r="AB55" s="100"/>
      <c r="AC55" s="100"/>
      <c r="AD55" s="100"/>
      <c r="AE55" s="99"/>
      <c r="AF55" s="99"/>
      <c r="AG55" s="100"/>
      <c r="AH55" s="100"/>
      <c r="AI55" s="99"/>
      <c r="AJ55" s="99"/>
      <c r="AK55" s="100"/>
      <c r="AL55" s="100"/>
      <c r="AM55" s="101"/>
      <c r="AN55" s="101"/>
      <c r="AO55" s="101"/>
      <c r="AP55" s="101"/>
      <c r="AQ55" s="19"/>
      <c r="AR55" s="19"/>
      <c r="AS55" s="19"/>
      <c r="AT55" s="99"/>
      <c r="AU55" s="99"/>
      <c r="AV55" s="99"/>
      <c r="AW55" s="99"/>
      <c r="AX55" s="100"/>
      <c r="AY55" s="100"/>
      <c r="AZ55" s="100"/>
      <c r="BA55" s="100"/>
      <c r="BB55" s="100"/>
      <c r="BC55" s="100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W55" s="1">
        <f t="shared" si="0"/>
        <v>0</v>
      </c>
      <c r="CX55" s="1">
        <f t="shared" si="1"/>
        <v>0</v>
      </c>
      <c r="CY55" s="43">
        <f t="shared" si="2"/>
        <v>0</v>
      </c>
      <c r="CZ55" s="43">
        <f t="shared" si="3"/>
        <v>0</v>
      </c>
      <c r="DA55" s="43">
        <f t="shared" si="4"/>
        <v>0</v>
      </c>
      <c r="DB55" s="43" t="str">
        <f t="shared" si="5"/>
        <v/>
      </c>
      <c r="DC55" s="50" t="str">
        <f t="shared" si="6"/>
        <v/>
      </c>
      <c r="DD55" s="50" t="str">
        <f t="shared" si="7"/>
        <v/>
      </c>
    </row>
    <row r="56" spans="1:108" ht="37.5" customHeight="1">
      <c r="A56" s="82" t="str">
        <f t="shared" si="8"/>
        <v>月日()</v>
      </c>
      <c r="B56" s="83" t="str">
        <f t="shared" si="9"/>
        <v>時</v>
      </c>
      <c r="C56" s="84" t="str">
        <f t="shared" si="10"/>
        <v>分</v>
      </c>
      <c r="D56" s="83" t="str">
        <f t="shared" si="11"/>
        <v>時</v>
      </c>
      <c r="E56" s="84" t="str">
        <f t="shared" si="12"/>
        <v>分</v>
      </c>
      <c r="F56" s="85" t="str">
        <f t="shared" si="13"/>
        <v xml:space="preserve">
</v>
      </c>
      <c r="L56" s="99"/>
      <c r="M56" s="99"/>
      <c r="N56" s="99"/>
      <c r="O56" s="99"/>
      <c r="P56" s="100"/>
      <c r="Q56" s="101"/>
      <c r="R56" s="101"/>
      <c r="S56" s="101"/>
      <c r="T56" s="101"/>
      <c r="U56" s="99"/>
      <c r="V56" s="99"/>
      <c r="W56" s="100"/>
      <c r="X56" s="100"/>
      <c r="Y56" s="99"/>
      <c r="Z56" s="99"/>
      <c r="AA56" s="100"/>
      <c r="AB56" s="100"/>
      <c r="AC56" s="100"/>
      <c r="AD56" s="100"/>
      <c r="AE56" s="99"/>
      <c r="AF56" s="99"/>
      <c r="AG56" s="100"/>
      <c r="AH56" s="100"/>
      <c r="AI56" s="99"/>
      <c r="AJ56" s="99"/>
      <c r="AK56" s="100"/>
      <c r="AL56" s="100"/>
      <c r="AM56" s="101"/>
      <c r="AN56" s="101"/>
      <c r="AO56" s="101"/>
      <c r="AP56" s="101"/>
      <c r="AQ56" s="19"/>
      <c r="AR56" s="19"/>
      <c r="AS56" s="19"/>
      <c r="AT56" s="99"/>
      <c r="AU56" s="99"/>
      <c r="AV56" s="99"/>
      <c r="AW56" s="99"/>
      <c r="AX56" s="100"/>
      <c r="AY56" s="100"/>
      <c r="AZ56" s="100"/>
      <c r="BA56" s="100"/>
      <c r="BB56" s="100"/>
      <c r="BC56" s="100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W56" s="1">
        <f t="shared" si="0"/>
        <v>0</v>
      </c>
      <c r="CX56" s="1">
        <f t="shared" si="1"/>
        <v>0</v>
      </c>
      <c r="CY56" s="43">
        <f t="shared" si="2"/>
        <v>0</v>
      </c>
      <c r="CZ56" s="43">
        <f t="shared" si="3"/>
        <v>0</v>
      </c>
      <c r="DA56" s="43">
        <f t="shared" si="4"/>
        <v>0</v>
      </c>
      <c r="DB56" s="43" t="str">
        <f t="shared" si="5"/>
        <v/>
      </c>
      <c r="DC56" s="50" t="str">
        <f t="shared" si="6"/>
        <v/>
      </c>
      <c r="DD56" s="50" t="str">
        <f t="shared" si="7"/>
        <v/>
      </c>
    </row>
    <row r="57" spans="1:108" ht="37.5" customHeight="1">
      <c r="A57" s="82" t="str">
        <f t="shared" si="8"/>
        <v>月日()</v>
      </c>
      <c r="B57" s="83" t="str">
        <f t="shared" si="9"/>
        <v>時</v>
      </c>
      <c r="C57" s="84" t="str">
        <f t="shared" si="10"/>
        <v>分</v>
      </c>
      <c r="D57" s="83" t="str">
        <f t="shared" si="11"/>
        <v>時</v>
      </c>
      <c r="E57" s="84" t="str">
        <f t="shared" si="12"/>
        <v>分</v>
      </c>
      <c r="F57" s="85" t="str">
        <f t="shared" si="13"/>
        <v xml:space="preserve">
</v>
      </c>
      <c r="L57" s="99"/>
      <c r="M57" s="99"/>
      <c r="N57" s="99"/>
      <c r="O57" s="99"/>
      <c r="P57" s="100"/>
      <c r="Q57" s="101"/>
      <c r="R57" s="101"/>
      <c r="S57" s="101"/>
      <c r="T57" s="101"/>
      <c r="U57" s="99"/>
      <c r="V57" s="99"/>
      <c r="W57" s="100"/>
      <c r="X57" s="100"/>
      <c r="Y57" s="99"/>
      <c r="Z57" s="99"/>
      <c r="AA57" s="100"/>
      <c r="AB57" s="100"/>
      <c r="AC57" s="100"/>
      <c r="AD57" s="100"/>
      <c r="AE57" s="99"/>
      <c r="AF57" s="99"/>
      <c r="AG57" s="100"/>
      <c r="AH57" s="100"/>
      <c r="AI57" s="99"/>
      <c r="AJ57" s="99"/>
      <c r="AK57" s="100"/>
      <c r="AL57" s="100"/>
      <c r="AM57" s="101"/>
      <c r="AN57" s="101"/>
      <c r="AO57" s="101"/>
      <c r="AP57" s="101"/>
      <c r="AQ57" s="19"/>
      <c r="AR57" s="19"/>
      <c r="AS57" s="19"/>
      <c r="AT57" s="99"/>
      <c r="AU57" s="99"/>
      <c r="AV57" s="99"/>
      <c r="AW57" s="99"/>
      <c r="AX57" s="100"/>
      <c r="AY57" s="100"/>
      <c r="AZ57" s="100"/>
      <c r="BA57" s="100"/>
      <c r="BB57" s="100"/>
      <c r="BC57" s="100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W57" s="1">
        <f t="shared" si="0"/>
        <v>0</v>
      </c>
      <c r="CX57" s="1">
        <f t="shared" si="1"/>
        <v>0</v>
      </c>
      <c r="CY57" s="43">
        <f t="shared" si="2"/>
        <v>0</v>
      </c>
      <c r="CZ57" s="43">
        <f t="shared" si="3"/>
        <v>0</v>
      </c>
      <c r="DA57" s="43">
        <f t="shared" si="4"/>
        <v>0</v>
      </c>
      <c r="DB57" s="43" t="str">
        <f t="shared" si="5"/>
        <v/>
      </c>
      <c r="DC57" s="50" t="str">
        <f t="shared" si="6"/>
        <v/>
      </c>
      <c r="DD57" s="50" t="str">
        <f t="shared" si="7"/>
        <v/>
      </c>
    </row>
    <row r="58" spans="1:108" ht="37.5" customHeight="1">
      <c r="A58" s="82" t="str">
        <f t="shared" si="8"/>
        <v>月日()</v>
      </c>
      <c r="B58" s="83" t="str">
        <f t="shared" si="9"/>
        <v>時</v>
      </c>
      <c r="C58" s="84" t="str">
        <f t="shared" si="10"/>
        <v>分</v>
      </c>
      <c r="D58" s="83" t="str">
        <f t="shared" si="11"/>
        <v>時</v>
      </c>
      <c r="E58" s="84" t="str">
        <f t="shared" si="12"/>
        <v>分</v>
      </c>
      <c r="F58" s="85" t="str">
        <f t="shared" si="13"/>
        <v xml:space="preserve">
</v>
      </c>
      <c r="L58" s="99"/>
      <c r="M58" s="99"/>
      <c r="N58" s="99"/>
      <c r="O58" s="99"/>
      <c r="P58" s="100"/>
      <c r="Q58" s="101"/>
      <c r="R58" s="101"/>
      <c r="S58" s="101"/>
      <c r="T58" s="101"/>
      <c r="U58" s="47"/>
      <c r="V58" s="47"/>
      <c r="W58" s="47"/>
      <c r="X58" s="99"/>
      <c r="Y58" s="99"/>
      <c r="Z58" s="99"/>
      <c r="AA58" s="99"/>
      <c r="AB58" s="100"/>
      <c r="AC58" s="100"/>
      <c r="AD58" s="100"/>
      <c r="AE58" s="99"/>
      <c r="AF58" s="99"/>
      <c r="AG58" s="99"/>
      <c r="AH58" s="99"/>
      <c r="AI58" s="100"/>
      <c r="AJ58" s="100"/>
      <c r="AK58" s="100"/>
      <c r="AL58" s="47"/>
      <c r="AM58" s="101"/>
      <c r="AN58" s="101"/>
      <c r="AO58" s="101"/>
      <c r="AP58" s="101"/>
      <c r="AQ58" s="19"/>
      <c r="AR58" s="19"/>
      <c r="AS58" s="19"/>
      <c r="AT58" s="99"/>
      <c r="AU58" s="99"/>
      <c r="AV58" s="99"/>
      <c r="AW58" s="99"/>
      <c r="AX58" s="100"/>
      <c r="AY58" s="100"/>
      <c r="AZ58" s="100"/>
      <c r="BA58" s="100"/>
      <c r="BB58" s="100"/>
      <c r="BC58" s="100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W58" s="1">
        <f t="shared" si="0"/>
        <v>0</v>
      </c>
      <c r="CX58" s="1">
        <f t="shared" si="1"/>
        <v>0</v>
      </c>
      <c r="CY58" s="43">
        <f t="shared" si="2"/>
        <v>0</v>
      </c>
      <c r="CZ58" s="43">
        <f t="shared" si="3"/>
        <v>0</v>
      </c>
      <c r="DA58" s="43">
        <f t="shared" si="4"/>
        <v>0</v>
      </c>
      <c r="DB58" s="43" t="str">
        <f t="shared" si="5"/>
        <v/>
      </c>
      <c r="DC58" s="50" t="str">
        <f t="shared" si="6"/>
        <v/>
      </c>
      <c r="DD58" s="50" t="str">
        <f t="shared" si="7"/>
        <v/>
      </c>
    </row>
    <row r="59" spans="1:108" ht="37.5" customHeight="1">
      <c r="A59" s="82" t="str">
        <f t="shared" si="8"/>
        <v>月日()</v>
      </c>
      <c r="B59" s="83" t="str">
        <f t="shared" si="9"/>
        <v>時</v>
      </c>
      <c r="C59" s="84" t="str">
        <f t="shared" si="10"/>
        <v>分</v>
      </c>
      <c r="D59" s="83" t="str">
        <f t="shared" si="11"/>
        <v>時</v>
      </c>
      <c r="E59" s="84" t="str">
        <f t="shared" si="12"/>
        <v>分</v>
      </c>
      <c r="F59" s="85" t="str">
        <f t="shared" si="13"/>
        <v xml:space="preserve">
</v>
      </c>
      <c r="L59" s="99"/>
      <c r="M59" s="99"/>
      <c r="N59" s="99"/>
      <c r="O59" s="99"/>
      <c r="P59" s="100"/>
      <c r="Q59" s="101"/>
      <c r="R59" s="101"/>
      <c r="S59" s="101"/>
      <c r="T59" s="101"/>
      <c r="U59" s="19"/>
      <c r="V59" s="19"/>
      <c r="W59" s="19"/>
      <c r="X59" s="99"/>
      <c r="Y59" s="99"/>
      <c r="Z59" s="99"/>
      <c r="AA59" s="99"/>
      <c r="AB59" s="100"/>
      <c r="AC59" s="100"/>
      <c r="AD59" s="100"/>
      <c r="AE59" s="99"/>
      <c r="AF59" s="99"/>
      <c r="AG59" s="99"/>
      <c r="AH59" s="99"/>
      <c r="AI59" s="100"/>
      <c r="AJ59" s="100"/>
      <c r="AK59" s="100"/>
      <c r="AL59" s="19"/>
      <c r="AM59" s="101"/>
      <c r="AN59" s="101"/>
      <c r="AO59" s="101"/>
      <c r="AP59" s="101"/>
      <c r="AQ59" s="19"/>
      <c r="AR59" s="19"/>
      <c r="AS59" s="19"/>
      <c r="AT59" s="99"/>
      <c r="AU59" s="99"/>
      <c r="AV59" s="99"/>
      <c r="AW59" s="99"/>
      <c r="AX59" s="100"/>
      <c r="AY59" s="100"/>
      <c r="AZ59" s="100"/>
      <c r="BA59" s="100"/>
      <c r="BB59" s="100"/>
      <c r="BC59" s="100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W59" s="1">
        <f t="shared" si="0"/>
        <v>0</v>
      </c>
      <c r="CX59" s="1">
        <f t="shared" si="1"/>
        <v>0</v>
      </c>
      <c r="CY59" s="43">
        <f t="shared" si="2"/>
        <v>0</v>
      </c>
      <c r="CZ59" s="43">
        <f t="shared" si="3"/>
        <v>0</v>
      </c>
      <c r="DA59" s="43">
        <f t="shared" si="4"/>
        <v>0</v>
      </c>
      <c r="DB59" s="43" t="str">
        <f t="shared" si="5"/>
        <v/>
      </c>
      <c r="DC59" s="50" t="str">
        <f t="shared" si="6"/>
        <v/>
      </c>
      <c r="DD59" s="50" t="str">
        <f t="shared" si="7"/>
        <v/>
      </c>
    </row>
    <row r="60" spans="1:108" ht="37.5" customHeight="1">
      <c r="A60" s="82" t="str">
        <f t="shared" si="8"/>
        <v>月日()</v>
      </c>
      <c r="B60" s="83" t="str">
        <f t="shared" si="9"/>
        <v>時</v>
      </c>
      <c r="C60" s="84" t="str">
        <f t="shared" si="10"/>
        <v>分</v>
      </c>
      <c r="D60" s="83" t="str">
        <f t="shared" si="11"/>
        <v>時</v>
      </c>
      <c r="E60" s="84" t="str">
        <f t="shared" si="12"/>
        <v>分</v>
      </c>
      <c r="F60" s="85" t="str">
        <f t="shared" si="13"/>
        <v xml:space="preserve">
</v>
      </c>
      <c r="L60" s="99"/>
      <c r="M60" s="99"/>
      <c r="N60" s="99"/>
      <c r="O60" s="99"/>
      <c r="P60" s="100"/>
      <c r="Q60" s="101"/>
      <c r="R60" s="101"/>
      <c r="S60" s="101"/>
      <c r="T60" s="101"/>
      <c r="U60" s="19"/>
      <c r="V60" s="19"/>
      <c r="W60" s="19"/>
      <c r="X60" s="99"/>
      <c r="Y60" s="99"/>
      <c r="Z60" s="99"/>
      <c r="AA60" s="99"/>
      <c r="AB60" s="100"/>
      <c r="AC60" s="100"/>
      <c r="AD60" s="100"/>
      <c r="AE60" s="99"/>
      <c r="AF60" s="99"/>
      <c r="AG60" s="99"/>
      <c r="AH60" s="99"/>
      <c r="AI60" s="100"/>
      <c r="AJ60" s="100"/>
      <c r="AK60" s="100"/>
      <c r="AL60" s="19"/>
      <c r="AM60" s="101"/>
      <c r="AN60" s="101"/>
      <c r="AO60" s="101"/>
      <c r="AP60" s="101"/>
      <c r="AQ60" s="19"/>
      <c r="AR60" s="19"/>
      <c r="AS60" s="19"/>
      <c r="AT60" s="99"/>
      <c r="AU60" s="99"/>
      <c r="AV60" s="99"/>
      <c r="AW60" s="99"/>
      <c r="AX60" s="100"/>
      <c r="AY60" s="100"/>
      <c r="AZ60" s="100"/>
      <c r="BA60" s="100"/>
      <c r="BB60" s="100"/>
      <c r="BC60" s="10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W60" s="1">
        <f t="shared" si="0"/>
        <v>0</v>
      </c>
      <c r="CX60" s="1">
        <f t="shared" si="1"/>
        <v>0</v>
      </c>
      <c r="CY60" s="43">
        <f t="shared" si="2"/>
        <v>0</v>
      </c>
      <c r="CZ60" s="43">
        <f t="shared" si="3"/>
        <v>0</v>
      </c>
      <c r="DA60" s="43">
        <f t="shared" si="4"/>
        <v>0</v>
      </c>
      <c r="DB60" s="43" t="str">
        <f t="shared" si="5"/>
        <v/>
      </c>
      <c r="DC60" s="50" t="str">
        <f t="shared" si="6"/>
        <v/>
      </c>
      <c r="DD60" s="50" t="str">
        <f t="shared" si="7"/>
        <v/>
      </c>
    </row>
    <row r="61" spans="1:108" ht="37.5" customHeight="1">
      <c r="A61" s="82" t="str">
        <f t="shared" si="8"/>
        <v>月日()</v>
      </c>
      <c r="B61" s="83" t="str">
        <f t="shared" si="9"/>
        <v>時</v>
      </c>
      <c r="C61" s="84" t="str">
        <f t="shared" si="10"/>
        <v>分</v>
      </c>
      <c r="D61" s="83" t="str">
        <f t="shared" si="11"/>
        <v>時</v>
      </c>
      <c r="E61" s="84" t="str">
        <f t="shared" si="12"/>
        <v>分</v>
      </c>
      <c r="F61" s="85" t="str">
        <f t="shared" si="13"/>
        <v xml:space="preserve">
</v>
      </c>
      <c r="L61" s="120"/>
      <c r="M61" s="120"/>
      <c r="N61" s="120"/>
      <c r="O61" s="121"/>
      <c r="P61" s="121"/>
      <c r="Q61" s="100"/>
      <c r="R61" s="100"/>
      <c r="S61" s="100"/>
      <c r="T61" s="100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  <c r="AH61" s="122"/>
      <c r="AI61" s="122"/>
      <c r="AJ61" s="122"/>
      <c r="AK61" s="122"/>
      <c r="AL61" s="122"/>
      <c r="AM61" s="122"/>
      <c r="AN61" s="122"/>
      <c r="AO61" s="122"/>
      <c r="AP61" s="122"/>
      <c r="AQ61" s="122"/>
      <c r="AR61" s="122"/>
      <c r="AS61" s="122"/>
      <c r="AT61" s="122"/>
      <c r="AU61" s="122"/>
      <c r="AV61" s="122"/>
      <c r="AW61" s="122"/>
      <c r="AX61" s="122"/>
      <c r="AY61" s="122"/>
      <c r="AZ61" s="122"/>
      <c r="BA61" s="122"/>
      <c r="BB61" s="122"/>
      <c r="BC61" s="122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W61" s="1">
        <f t="shared" si="0"/>
        <v>0</v>
      </c>
      <c r="CX61" s="1">
        <f t="shared" si="1"/>
        <v>0</v>
      </c>
      <c r="CY61" s="43">
        <f t="shared" si="2"/>
        <v>0</v>
      </c>
      <c r="CZ61" s="43">
        <f t="shared" si="3"/>
        <v>0</v>
      </c>
      <c r="DA61" s="43">
        <f t="shared" si="4"/>
        <v>0</v>
      </c>
      <c r="DB61" s="43" t="str">
        <f t="shared" si="5"/>
        <v/>
      </c>
      <c r="DC61" s="50" t="str">
        <f t="shared" si="6"/>
        <v/>
      </c>
      <c r="DD61" s="50" t="str">
        <f t="shared" si="7"/>
        <v/>
      </c>
    </row>
    <row r="62" spans="1:108" ht="37.5" customHeight="1">
      <c r="A62" s="82" t="str">
        <f t="shared" si="8"/>
        <v>月日()</v>
      </c>
      <c r="B62" s="83" t="str">
        <f t="shared" si="9"/>
        <v>時</v>
      </c>
      <c r="C62" s="84" t="str">
        <f t="shared" si="10"/>
        <v>分</v>
      </c>
      <c r="D62" s="83" t="str">
        <f t="shared" si="11"/>
        <v>時</v>
      </c>
      <c r="E62" s="84" t="str">
        <f t="shared" si="12"/>
        <v>分</v>
      </c>
      <c r="F62" s="85" t="str">
        <f t="shared" si="13"/>
        <v xml:space="preserve">
</v>
      </c>
      <c r="L62" s="123"/>
      <c r="M62" s="123"/>
      <c r="O62" s="124"/>
      <c r="P62" s="124"/>
      <c r="Q62" s="100"/>
      <c r="R62" s="100"/>
      <c r="S62" s="100"/>
      <c r="T62" s="100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  <c r="AH62" s="122"/>
      <c r="AI62" s="122"/>
      <c r="AJ62" s="122"/>
      <c r="AK62" s="122"/>
      <c r="AL62" s="122"/>
      <c r="AM62" s="122"/>
      <c r="AN62" s="122"/>
      <c r="AO62" s="122"/>
      <c r="AP62" s="122"/>
      <c r="AQ62" s="122"/>
      <c r="AR62" s="122"/>
      <c r="AS62" s="122"/>
      <c r="AT62" s="122"/>
      <c r="AU62" s="122"/>
      <c r="AV62" s="122"/>
      <c r="AW62" s="122"/>
      <c r="AX62" s="122"/>
      <c r="AY62" s="122"/>
      <c r="AZ62" s="122"/>
      <c r="BA62" s="122"/>
      <c r="BB62" s="122"/>
      <c r="BC62" s="12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W62" s="1">
        <f t="shared" si="0"/>
        <v>0</v>
      </c>
      <c r="CX62" s="1">
        <f t="shared" si="1"/>
        <v>0</v>
      </c>
      <c r="CY62" s="43">
        <f t="shared" si="2"/>
        <v>0</v>
      </c>
      <c r="CZ62" s="43">
        <f t="shared" si="3"/>
        <v>0</v>
      </c>
      <c r="DA62" s="43">
        <f t="shared" si="4"/>
        <v>0</v>
      </c>
      <c r="DB62" s="43" t="str">
        <f t="shared" si="5"/>
        <v/>
      </c>
      <c r="DC62" s="50" t="str">
        <f t="shared" si="6"/>
        <v/>
      </c>
      <c r="DD62" s="50" t="str">
        <f t="shared" si="7"/>
        <v/>
      </c>
    </row>
    <row r="63" spans="1:108" ht="37.5" customHeight="1">
      <c r="A63" s="82" t="str">
        <f t="shared" si="8"/>
        <v>月日()</v>
      </c>
      <c r="B63" s="83" t="str">
        <f t="shared" si="9"/>
        <v>時</v>
      </c>
      <c r="C63" s="84" t="str">
        <f t="shared" si="10"/>
        <v>分</v>
      </c>
      <c r="D63" s="83" t="str">
        <f t="shared" si="11"/>
        <v>時</v>
      </c>
      <c r="E63" s="84" t="str">
        <f t="shared" si="12"/>
        <v>分</v>
      </c>
      <c r="F63" s="85" t="str">
        <f t="shared" si="13"/>
        <v xml:space="preserve">
</v>
      </c>
      <c r="L63" s="13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4"/>
      <c r="BE63" s="4"/>
      <c r="BF63" s="4"/>
      <c r="BG63" s="42"/>
      <c r="BH63" s="42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W63" s="1">
        <f t="shared" si="0"/>
        <v>0</v>
      </c>
      <c r="CX63" s="1">
        <f t="shared" si="1"/>
        <v>0</v>
      </c>
      <c r="CY63" s="43">
        <f t="shared" si="2"/>
        <v>0</v>
      </c>
      <c r="CZ63" s="43">
        <f t="shared" si="3"/>
        <v>0</v>
      </c>
      <c r="DA63" s="43">
        <f t="shared" si="4"/>
        <v>0</v>
      </c>
      <c r="DB63" s="43" t="str">
        <f t="shared" si="5"/>
        <v/>
      </c>
      <c r="DC63" s="50" t="str">
        <f t="shared" si="6"/>
        <v/>
      </c>
      <c r="DD63" s="50" t="str">
        <f t="shared" si="7"/>
        <v/>
      </c>
    </row>
    <row r="64" spans="1:108" ht="37.5" customHeight="1">
      <c r="A64" s="82" t="str">
        <f t="shared" si="8"/>
        <v>月日()</v>
      </c>
      <c r="B64" s="83" t="str">
        <f t="shared" si="9"/>
        <v>時</v>
      </c>
      <c r="C64" s="84" t="str">
        <f t="shared" si="10"/>
        <v>分</v>
      </c>
      <c r="D64" s="83" t="str">
        <f t="shared" si="11"/>
        <v>時</v>
      </c>
      <c r="E64" s="84" t="str">
        <f t="shared" si="12"/>
        <v>分</v>
      </c>
      <c r="F64" s="85" t="str">
        <f t="shared" si="13"/>
        <v xml:space="preserve">
</v>
      </c>
      <c r="L64" s="8"/>
      <c r="O64" s="15"/>
      <c r="P64" s="15"/>
      <c r="Q64" s="15"/>
      <c r="R64" s="15"/>
      <c r="S64" s="15"/>
      <c r="T64" s="15"/>
      <c r="U64" s="41"/>
      <c r="V64" s="41"/>
      <c r="W64" s="41"/>
      <c r="X64" s="62"/>
      <c r="Y64" s="62"/>
      <c r="Z64" s="62"/>
      <c r="AA64" s="62"/>
      <c r="AB64" s="62"/>
      <c r="AC64" s="41"/>
      <c r="AD64" s="41"/>
      <c r="AE64" s="41"/>
      <c r="AF64" s="41"/>
      <c r="AG64" s="15"/>
      <c r="AH64" s="15"/>
      <c r="AI64" s="41"/>
      <c r="AJ64" s="41"/>
      <c r="AK64" s="41"/>
      <c r="AL64" s="62"/>
      <c r="AM64" s="62"/>
      <c r="AN64" s="62"/>
      <c r="AO64" s="62"/>
      <c r="AP64" s="62"/>
      <c r="AQ64" s="41"/>
      <c r="AR64" s="41"/>
      <c r="AS64" s="41"/>
      <c r="AT64" s="41"/>
      <c r="AU64" s="15"/>
      <c r="AV64" s="15"/>
      <c r="AW64" s="41"/>
      <c r="AX64" s="41"/>
      <c r="AY64" s="41"/>
      <c r="AZ64" s="62"/>
      <c r="BA64" s="41"/>
      <c r="BB64" s="41"/>
      <c r="BC64" s="41"/>
      <c r="BD64" s="4"/>
      <c r="BE64" s="4"/>
      <c r="BF64" s="4"/>
      <c r="BG64" s="42"/>
      <c r="BH64" s="42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W64" s="1">
        <f t="shared" si="0"/>
        <v>0</v>
      </c>
      <c r="CX64" s="1">
        <f t="shared" si="1"/>
        <v>0</v>
      </c>
      <c r="CY64" s="43">
        <f t="shared" si="2"/>
        <v>0</v>
      </c>
      <c r="CZ64" s="43">
        <f t="shared" si="3"/>
        <v>0</v>
      </c>
      <c r="DA64" s="43">
        <f t="shared" si="4"/>
        <v>0</v>
      </c>
      <c r="DB64" s="43" t="str">
        <f t="shared" si="5"/>
        <v/>
      </c>
      <c r="DC64" s="50" t="str">
        <f t="shared" si="6"/>
        <v/>
      </c>
      <c r="DD64" s="50" t="str">
        <f t="shared" si="7"/>
        <v/>
      </c>
    </row>
    <row r="65" spans="1:109" ht="37.5" customHeight="1">
      <c r="A65" s="82" t="str">
        <f t="shared" si="8"/>
        <v>月日()</v>
      </c>
      <c r="B65" s="83" t="str">
        <f t="shared" si="9"/>
        <v>時</v>
      </c>
      <c r="C65" s="84" t="str">
        <f t="shared" si="10"/>
        <v>分</v>
      </c>
      <c r="D65" s="83" t="str">
        <f t="shared" si="11"/>
        <v>時</v>
      </c>
      <c r="E65" s="84" t="str">
        <f t="shared" si="12"/>
        <v>分</v>
      </c>
      <c r="F65" s="85" t="str">
        <f t="shared" si="13"/>
        <v xml:space="preserve">
</v>
      </c>
      <c r="L65" s="126"/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  <c r="AA65" s="126"/>
      <c r="AB65" s="126"/>
      <c r="AC65" s="126"/>
      <c r="AD65" s="126"/>
      <c r="AE65" s="126"/>
      <c r="AF65" s="126"/>
      <c r="AG65" s="126"/>
      <c r="AH65" s="126"/>
      <c r="AI65" s="126"/>
      <c r="AJ65" s="126"/>
      <c r="AK65" s="126"/>
      <c r="AL65" s="126"/>
      <c r="AM65" s="126"/>
      <c r="AN65" s="126"/>
      <c r="AO65" s="126"/>
      <c r="AP65" s="126"/>
      <c r="AQ65" s="126"/>
      <c r="AR65" s="126"/>
      <c r="AS65" s="126"/>
      <c r="AT65" s="126"/>
      <c r="AU65" s="126"/>
      <c r="AV65" s="126"/>
      <c r="AW65" s="126"/>
      <c r="AX65" s="126"/>
      <c r="AY65" s="126"/>
      <c r="AZ65" s="126"/>
      <c r="BA65" s="126"/>
      <c r="BB65" s="126"/>
      <c r="BC65" s="126"/>
      <c r="BD65" s="4"/>
      <c r="BE65" s="4"/>
      <c r="BF65" s="4"/>
      <c r="BG65" s="42"/>
      <c r="BH65" s="42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W65" s="1">
        <f t="shared" si="0"/>
        <v>0</v>
      </c>
      <c r="CX65" s="1">
        <f t="shared" si="1"/>
        <v>0</v>
      </c>
      <c r="CY65" s="43">
        <f t="shared" si="2"/>
        <v>0</v>
      </c>
      <c r="CZ65" s="43">
        <f t="shared" si="3"/>
        <v>0</v>
      </c>
      <c r="DA65" s="43">
        <f t="shared" si="4"/>
        <v>0</v>
      </c>
      <c r="DB65" s="43" t="str">
        <f t="shared" si="5"/>
        <v/>
      </c>
      <c r="DC65" s="50" t="str">
        <f t="shared" si="6"/>
        <v/>
      </c>
      <c r="DD65" s="50" t="str">
        <f t="shared" si="7"/>
        <v/>
      </c>
    </row>
    <row r="66" spans="1:109" ht="37.5" customHeight="1">
      <c r="A66" s="82" t="str">
        <f t="shared" si="8"/>
        <v>月日()</v>
      </c>
      <c r="B66" s="83" t="str">
        <f t="shared" si="9"/>
        <v>時</v>
      </c>
      <c r="C66" s="84" t="str">
        <f t="shared" si="10"/>
        <v>分</v>
      </c>
      <c r="D66" s="83" t="str">
        <f t="shared" si="11"/>
        <v>時</v>
      </c>
      <c r="E66" s="84" t="str">
        <f t="shared" si="12"/>
        <v>分</v>
      </c>
      <c r="F66" s="85" t="str">
        <f t="shared" si="13"/>
        <v xml:space="preserve">
</v>
      </c>
      <c r="L66" s="55"/>
      <c r="M66" s="91"/>
      <c r="N66" s="91"/>
      <c r="O66" s="91"/>
      <c r="P66" s="91"/>
      <c r="Q66" s="91"/>
      <c r="R66" s="91"/>
      <c r="S66" s="91"/>
      <c r="T66" s="91"/>
      <c r="U66" s="91"/>
      <c r="V66" s="8"/>
      <c r="W66" s="89"/>
      <c r="X66" s="89"/>
      <c r="Y66" s="89"/>
      <c r="Z66" s="89"/>
      <c r="AA66" s="89"/>
      <c r="AB66" s="92"/>
      <c r="AC66" s="92"/>
      <c r="AD66" s="89"/>
      <c r="AE66" s="92"/>
      <c r="AF66" s="92"/>
      <c r="AG66" s="89"/>
      <c r="AH66" s="8"/>
      <c r="AI66" s="8"/>
      <c r="AJ66" s="91"/>
      <c r="AK66" s="91"/>
      <c r="AL66" s="91"/>
      <c r="AM66" s="91"/>
      <c r="AN66" s="91"/>
      <c r="AO66" s="91"/>
      <c r="AP66" s="91"/>
      <c r="AQ66" s="91"/>
      <c r="AR66" s="91"/>
      <c r="AS66" s="91"/>
      <c r="AT66" s="91"/>
      <c r="AU66" s="91"/>
      <c r="AV66" s="91"/>
      <c r="AW66" s="91"/>
      <c r="AX66" s="91"/>
      <c r="AY66" s="91"/>
      <c r="AZ66" s="91"/>
      <c r="BA66" s="91"/>
      <c r="BB66" s="91"/>
      <c r="BC66" s="91"/>
      <c r="BD66" s="4"/>
      <c r="BE66" s="4"/>
      <c r="BF66" s="4"/>
      <c r="BG66" s="42"/>
      <c r="BH66" s="42"/>
      <c r="CW66" s="1">
        <f t="shared" si="0"/>
        <v>0</v>
      </c>
      <c r="CX66" s="1">
        <f t="shared" si="1"/>
        <v>0</v>
      </c>
      <c r="CY66" s="43">
        <f t="shared" si="2"/>
        <v>0</v>
      </c>
      <c r="CZ66" s="43">
        <f t="shared" si="3"/>
        <v>0</v>
      </c>
      <c r="DA66" s="43">
        <f t="shared" si="4"/>
        <v>0</v>
      </c>
      <c r="DB66" s="43" t="str">
        <f t="shared" si="5"/>
        <v/>
      </c>
      <c r="DC66" s="50" t="str">
        <f t="shared" si="6"/>
        <v/>
      </c>
      <c r="DD66" s="50" t="str">
        <f t="shared" si="7"/>
        <v/>
      </c>
    </row>
    <row r="67" spans="1:109" ht="37.5" customHeight="1">
      <c r="A67" s="82" t="str">
        <f t="shared" si="8"/>
        <v>月日()</v>
      </c>
      <c r="B67" s="83" t="str">
        <f t="shared" si="9"/>
        <v>時</v>
      </c>
      <c r="C67" s="84" t="str">
        <f t="shared" si="10"/>
        <v>分</v>
      </c>
      <c r="D67" s="83" t="str">
        <f t="shared" si="11"/>
        <v>時</v>
      </c>
      <c r="E67" s="84" t="str">
        <f t="shared" si="12"/>
        <v>分</v>
      </c>
      <c r="F67" s="85" t="str">
        <f t="shared" si="13"/>
        <v xml:space="preserve">
</v>
      </c>
      <c r="L67" s="13"/>
      <c r="M67" s="91"/>
      <c r="N67" s="91"/>
      <c r="O67" s="91"/>
      <c r="P67" s="91"/>
      <c r="Q67" s="91"/>
      <c r="R67" s="91"/>
      <c r="S67" s="91"/>
      <c r="T67" s="91"/>
      <c r="U67" s="91"/>
      <c r="V67" s="8"/>
      <c r="W67" s="89"/>
      <c r="X67" s="89"/>
      <c r="Y67" s="89"/>
      <c r="Z67" s="89"/>
      <c r="AA67" s="89"/>
      <c r="AB67" s="92"/>
      <c r="AC67" s="92"/>
      <c r="AD67" s="89"/>
      <c r="AE67" s="92"/>
      <c r="AF67" s="92"/>
      <c r="AG67" s="89"/>
      <c r="AH67" s="8"/>
      <c r="AI67" s="8"/>
      <c r="AJ67" s="91"/>
      <c r="AK67" s="91"/>
      <c r="AL67" s="91"/>
      <c r="AM67" s="91"/>
      <c r="AN67" s="91"/>
      <c r="AO67" s="91"/>
      <c r="AP67" s="91"/>
      <c r="AQ67" s="91"/>
      <c r="AR67" s="91"/>
      <c r="AS67" s="91"/>
      <c r="AT67" s="91"/>
      <c r="AU67" s="91"/>
      <c r="AV67" s="91"/>
      <c r="AW67" s="91"/>
      <c r="AX67" s="91"/>
      <c r="AY67" s="91"/>
      <c r="AZ67" s="91"/>
      <c r="BA67" s="91"/>
      <c r="BB67" s="91"/>
      <c r="BC67" s="91"/>
      <c r="BD67" s="4"/>
      <c r="BE67" s="4"/>
      <c r="BF67" s="4"/>
      <c r="BG67" s="42"/>
      <c r="BH67" s="42"/>
      <c r="CW67" s="1">
        <f t="shared" ref="CW67:CW130" si="14">CO67-CV67</f>
        <v>0</v>
      </c>
      <c r="CX67" s="1">
        <f t="shared" ref="CX67:CX130" si="15">CQ67-CV67</f>
        <v>0</v>
      </c>
      <c r="CY67" s="43">
        <f t="shared" ref="CY67:CY130" si="16">IF(CW67&gt;=0,(CN67-CU67),(CN67-CU67)-1)</f>
        <v>0</v>
      </c>
      <c r="CZ67" s="43">
        <f t="shared" ref="CZ67:CZ130" si="17">IF(CW67&gt;=0,CW67,(60+CW67))</f>
        <v>0</v>
      </c>
      <c r="DA67" s="43">
        <f t="shared" ref="DA67:DA130" si="18">IF(CZ67=30,(CY67+0.5),CY67)</f>
        <v>0</v>
      </c>
      <c r="DB67" s="43" t="str">
        <f t="shared" ref="DB67:DB130" si="19">IF(AND(DA67&gt;=3,DA67&lt;8),DA67,"")</f>
        <v/>
      </c>
      <c r="DC67" s="50" t="str">
        <f t="shared" ref="DC67:DC130" si="20">IF(DA67=8,1,"")</f>
        <v/>
      </c>
      <c r="DD67" s="50" t="str">
        <f t="shared" ref="DD67:DD130" si="21">IF(DB67="","",0.5)</f>
        <v/>
      </c>
    </row>
    <row r="68" spans="1:109" ht="37.5" customHeight="1">
      <c r="A68" s="82" t="str">
        <f t="shared" si="8"/>
        <v>月日()</v>
      </c>
      <c r="B68" s="83" t="str">
        <f t="shared" si="9"/>
        <v>時</v>
      </c>
      <c r="C68" s="84" t="str">
        <f t="shared" si="10"/>
        <v>分</v>
      </c>
      <c r="D68" s="83" t="str">
        <f t="shared" si="11"/>
        <v>時</v>
      </c>
      <c r="E68" s="84" t="str">
        <f t="shared" si="12"/>
        <v>分</v>
      </c>
      <c r="F68" s="85" t="str">
        <f t="shared" si="13"/>
        <v xml:space="preserve">
</v>
      </c>
      <c r="L68" s="13"/>
      <c r="M68" s="109"/>
      <c r="N68" s="109"/>
      <c r="O68" s="109"/>
      <c r="P68" s="125"/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56"/>
      <c r="AI68" s="56"/>
      <c r="AJ68" s="63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64"/>
      <c r="AZ68" s="64"/>
      <c r="BA68" s="64"/>
      <c r="BB68" s="64"/>
      <c r="BC68" s="64"/>
      <c r="BD68" s="4"/>
      <c r="BE68" s="4"/>
      <c r="BF68" s="4"/>
      <c r="BG68" s="42"/>
      <c r="BH68" s="42"/>
      <c r="CW68" s="1">
        <f t="shared" si="14"/>
        <v>0</v>
      </c>
      <c r="CX68" s="1">
        <f t="shared" si="15"/>
        <v>0</v>
      </c>
      <c r="CY68" s="43">
        <f t="shared" si="16"/>
        <v>0</v>
      </c>
      <c r="CZ68" s="43">
        <f t="shared" si="17"/>
        <v>0</v>
      </c>
      <c r="DA68" s="43">
        <f t="shared" si="18"/>
        <v>0</v>
      </c>
      <c r="DB68" s="43" t="str">
        <f t="shared" si="19"/>
        <v/>
      </c>
      <c r="DC68" s="50" t="str">
        <f t="shared" si="20"/>
        <v/>
      </c>
      <c r="DD68" s="50" t="str">
        <f t="shared" si="21"/>
        <v/>
      </c>
    </row>
    <row r="69" spans="1:109" ht="37.5" customHeight="1">
      <c r="A69" s="82" t="str">
        <f t="shared" si="8"/>
        <v>月日()</v>
      </c>
      <c r="B69" s="83" t="str">
        <f t="shared" si="9"/>
        <v>時</v>
      </c>
      <c r="C69" s="84" t="str">
        <f t="shared" si="10"/>
        <v>分</v>
      </c>
      <c r="D69" s="83" t="str">
        <f t="shared" si="11"/>
        <v>時</v>
      </c>
      <c r="E69" s="84" t="str">
        <f t="shared" si="12"/>
        <v>分</v>
      </c>
      <c r="F69" s="85" t="str">
        <f t="shared" si="13"/>
        <v xml:space="preserve">
</v>
      </c>
      <c r="L69" s="13"/>
      <c r="M69" s="109"/>
      <c r="N69" s="109"/>
      <c r="O69" s="109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56"/>
      <c r="AI69" s="56"/>
      <c r="AJ69" s="63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64"/>
      <c r="AZ69" s="64"/>
      <c r="BA69" s="64"/>
      <c r="BB69" s="64"/>
      <c r="BC69" s="64"/>
      <c r="BD69" s="4"/>
      <c r="BE69" s="4"/>
      <c r="BF69" s="4"/>
      <c r="BG69" s="42"/>
      <c r="BH69" s="42"/>
      <c r="CW69" s="1">
        <f t="shared" si="14"/>
        <v>0</v>
      </c>
      <c r="CX69" s="1">
        <f t="shared" si="15"/>
        <v>0</v>
      </c>
      <c r="CY69" s="43">
        <f t="shared" si="16"/>
        <v>0</v>
      </c>
      <c r="CZ69" s="43">
        <f t="shared" si="17"/>
        <v>0</v>
      </c>
      <c r="DA69" s="43">
        <f t="shared" si="18"/>
        <v>0</v>
      </c>
      <c r="DB69" s="43" t="str">
        <f t="shared" si="19"/>
        <v/>
      </c>
      <c r="DC69" s="50" t="str">
        <f t="shared" si="20"/>
        <v/>
      </c>
      <c r="DD69" s="50" t="str">
        <f t="shared" si="21"/>
        <v/>
      </c>
    </row>
    <row r="70" spans="1:109" ht="37.5" customHeight="1">
      <c r="A70" s="82" t="str">
        <f t="shared" ref="A70:A108" si="22">CC67&amp;"月"&amp;CD67&amp;"日("&amp;CE67&amp;")"</f>
        <v>月日()</v>
      </c>
      <c r="B70" s="83" t="str">
        <f t="shared" ref="B70:B108" si="23">CF67&amp;"時"</f>
        <v>時</v>
      </c>
      <c r="C70" s="84" t="str">
        <f t="shared" ref="C70:C108" si="24">CG67&amp;"分"</f>
        <v>分</v>
      </c>
      <c r="D70" s="83" t="str">
        <f t="shared" ref="D70:D108" si="25">CH67&amp;"時"</f>
        <v>時</v>
      </c>
      <c r="E70" s="84" t="str">
        <f t="shared" ref="E70:E108" si="26">CI67&amp;"分"</f>
        <v>分</v>
      </c>
      <c r="F70" s="85" t="str">
        <f t="shared" ref="F70:F108" si="27">IF(OR(CU67&lt;&gt;0,CV67&lt;&gt;0),CHAR(10)&amp;CT67&amp;"【中抜けあり】",CHAR(10)&amp;CT67)</f>
        <v xml:space="preserve">
</v>
      </c>
      <c r="L70" s="13"/>
      <c r="M70" s="109"/>
      <c r="N70" s="109"/>
      <c r="O70" s="109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56"/>
      <c r="AI70" s="56"/>
      <c r="AJ70" s="63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7"/>
      <c r="AZ70" s="87"/>
      <c r="BA70" s="87"/>
      <c r="BB70" s="87"/>
      <c r="BC70" s="87"/>
      <c r="BD70" s="4"/>
      <c r="BE70" s="4"/>
      <c r="BF70" s="4"/>
      <c r="BG70" s="42"/>
      <c r="BH70" s="42"/>
      <c r="CW70" s="1">
        <f t="shared" si="14"/>
        <v>0</v>
      </c>
      <c r="CX70" s="1">
        <f t="shared" si="15"/>
        <v>0</v>
      </c>
      <c r="CY70" s="43">
        <f t="shared" si="16"/>
        <v>0</v>
      </c>
      <c r="CZ70" s="43">
        <f t="shared" si="17"/>
        <v>0</v>
      </c>
      <c r="DA70" s="43">
        <f t="shared" si="18"/>
        <v>0</v>
      </c>
      <c r="DB70" s="43" t="str">
        <f t="shared" si="19"/>
        <v/>
      </c>
      <c r="DC70" s="50" t="str">
        <f t="shared" si="20"/>
        <v/>
      </c>
      <c r="DD70" s="50" t="str">
        <f t="shared" si="21"/>
        <v/>
      </c>
    </row>
    <row r="71" spans="1:109" ht="37.5" customHeight="1">
      <c r="A71" s="82" t="str">
        <f t="shared" si="22"/>
        <v>月日()</v>
      </c>
      <c r="B71" s="83" t="str">
        <f t="shared" si="23"/>
        <v>時</v>
      </c>
      <c r="C71" s="84" t="str">
        <f t="shared" si="24"/>
        <v>分</v>
      </c>
      <c r="D71" s="83" t="str">
        <f t="shared" si="25"/>
        <v>時</v>
      </c>
      <c r="E71" s="84" t="str">
        <f t="shared" si="26"/>
        <v>分</v>
      </c>
      <c r="F71" s="85" t="str">
        <f t="shared" si="27"/>
        <v xml:space="preserve">
</v>
      </c>
      <c r="L71" s="13"/>
      <c r="M71" s="109"/>
      <c r="N71" s="109"/>
      <c r="O71" s="109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89"/>
      <c r="AI71" s="89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7"/>
      <c r="AZ71" s="87"/>
      <c r="BA71" s="87"/>
      <c r="BB71" s="87"/>
      <c r="BC71" s="87"/>
      <c r="BD71" s="4"/>
      <c r="BE71" s="4"/>
      <c r="BF71" s="4"/>
      <c r="BG71" s="42"/>
      <c r="BH71" s="42"/>
      <c r="CW71" s="1">
        <f t="shared" si="14"/>
        <v>0</v>
      </c>
      <c r="CX71" s="1">
        <f t="shared" si="15"/>
        <v>0</v>
      </c>
      <c r="CY71" s="43">
        <f t="shared" si="16"/>
        <v>0</v>
      </c>
      <c r="CZ71" s="43">
        <f t="shared" si="17"/>
        <v>0</v>
      </c>
      <c r="DA71" s="43">
        <f t="shared" si="18"/>
        <v>0</v>
      </c>
      <c r="DB71" s="43" t="str">
        <f t="shared" si="19"/>
        <v/>
      </c>
      <c r="DC71" s="50" t="str">
        <f t="shared" si="20"/>
        <v/>
      </c>
      <c r="DD71" s="50" t="str">
        <f t="shared" si="21"/>
        <v/>
      </c>
    </row>
    <row r="72" spans="1:109" ht="37.5" customHeight="1">
      <c r="A72" s="82" t="str">
        <f t="shared" si="22"/>
        <v>月日()</v>
      </c>
      <c r="B72" s="83" t="str">
        <f t="shared" si="23"/>
        <v>時</v>
      </c>
      <c r="C72" s="84" t="str">
        <f t="shared" si="24"/>
        <v>分</v>
      </c>
      <c r="D72" s="83" t="str">
        <f t="shared" si="25"/>
        <v>時</v>
      </c>
      <c r="E72" s="84" t="str">
        <f t="shared" si="26"/>
        <v>分</v>
      </c>
      <c r="F72" s="85" t="str">
        <f t="shared" si="27"/>
        <v xml:space="preserve">
</v>
      </c>
      <c r="L72" s="13"/>
      <c r="M72" s="109"/>
      <c r="N72" s="109"/>
      <c r="O72" s="109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89"/>
      <c r="AI72" s="89"/>
      <c r="AJ72" s="63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  <c r="AX72" s="88"/>
      <c r="AY72" s="88"/>
      <c r="AZ72" s="88"/>
      <c r="BA72" s="88"/>
      <c r="BB72" s="88"/>
      <c r="BC72" s="88"/>
      <c r="BD72" s="4"/>
      <c r="BE72" s="4"/>
      <c r="BF72" s="4"/>
      <c r="BG72" s="42"/>
      <c r="BH72" s="42"/>
      <c r="CW72" s="1">
        <f t="shared" si="14"/>
        <v>0</v>
      </c>
      <c r="CX72" s="1">
        <f t="shared" si="15"/>
        <v>0</v>
      </c>
      <c r="CY72" s="43">
        <f t="shared" si="16"/>
        <v>0</v>
      </c>
      <c r="CZ72" s="43">
        <f t="shared" si="17"/>
        <v>0</v>
      </c>
      <c r="DA72" s="43">
        <f t="shared" si="18"/>
        <v>0</v>
      </c>
      <c r="DB72" s="43" t="str">
        <f t="shared" si="19"/>
        <v/>
      </c>
      <c r="DC72" s="50" t="str">
        <f t="shared" si="20"/>
        <v/>
      </c>
      <c r="DD72" s="50" t="str">
        <f t="shared" si="21"/>
        <v/>
      </c>
    </row>
    <row r="73" spans="1:109" ht="37.5" customHeight="1">
      <c r="A73" s="82" t="str">
        <f t="shared" si="22"/>
        <v>月日()</v>
      </c>
      <c r="B73" s="83" t="str">
        <f t="shared" si="23"/>
        <v>時</v>
      </c>
      <c r="C73" s="84" t="str">
        <f t="shared" si="24"/>
        <v>分</v>
      </c>
      <c r="D73" s="83" t="str">
        <f t="shared" si="25"/>
        <v>時</v>
      </c>
      <c r="E73" s="84" t="str">
        <f t="shared" si="26"/>
        <v>分</v>
      </c>
      <c r="F73" s="85" t="str">
        <f t="shared" si="27"/>
        <v xml:space="preserve">
</v>
      </c>
      <c r="L73" s="13"/>
      <c r="M73" s="109"/>
      <c r="N73" s="109"/>
      <c r="O73" s="109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89"/>
      <c r="AI73" s="89"/>
      <c r="AJ73" s="63"/>
      <c r="AK73" s="89"/>
      <c r="AL73" s="89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"/>
      <c r="AZ73" s="8"/>
      <c r="BA73" s="8"/>
      <c r="BB73" s="8"/>
      <c r="BC73" s="8"/>
      <c r="BD73" s="4"/>
      <c r="BE73" s="4"/>
      <c r="BF73" s="4"/>
      <c r="BG73" s="42"/>
      <c r="BH73" s="42"/>
      <c r="CW73" s="1">
        <f t="shared" si="14"/>
        <v>0</v>
      </c>
      <c r="CX73" s="1">
        <f t="shared" si="15"/>
        <v>0</v>
      </c>
      <c r="CY73" s="43">
        <f t="shared" si="16"/>
        <v>0</v>
      </c>
      <c r="CZ73" s="43">
        <f t="shared" si="17"/>
        <v>0</v>
      </c>
      <c r="DA73" s="43">
        <f t="shared" si="18"/>
        <v>0</v>
      </c>
      <c r="DB73" s="43" t="str">
        <f t="shared" si="19"/>
        <v/>
      </c>
      <c r="DC73" s="50" t="str">
        <f t="shared" si="20"/>
        <v/>
      </c>
      <c r="DD73" s="50" t="str">
        <f t="shared" si="21"/>
        <v/>
      </c>
    </row>
    <row r="74" spans="1:109" ht="37.5" customHeight="1">
      <c r="A74" s="82" t="str">
        <f t="shared" si="22"/>
        <v>月日()</v>
      </c>
      <c r="B74" s="83" t="str">
        <f t="shared" si="23"/>
        <v>時</v>
      </c>
      <c r="C74" s="84" t="str">
        <f t="shared" si="24"/>
        <v>分</v>
      </c>
      <c r="D74" s="83" t="str">
        <f t="shared" si="25"/>
        <v>時</v>
      </c>
      <c r="E74" s="84" t="str">
        <f t="shared" si="26"/>
        <v>分</v>
      </c>
      <c r="F74" s="85" t="str">
        <f t="shared" si="27"/>
        <v xml:space="preserve">
</v>
      </c>
      <c r="L74" s="65"/>
      <c r="M74" s="88"/>
      <c r="N74" s="88"/>
      <c r="O74" s="88"/>
      <c r="P74" s="88"/>
      <c r="Q74" s="88"/>
      <c r="R74" s="88"/>
      <c r="S74" s="88"/>
      <c r="T74" s="88"/>
      <c r="U74" s="88"/>
      <c r="V74" s="8"/>
      <c r="W74" s="89"/>
      <c r="X74" s="89"/>
      <c r="Y74" s="89"/>
      <c r="Z74" s="89"/>
      <c r="AA74" s="89"/>
      <c r="AB74" s="92"/>
      <c r="AC74" s="92"/>
      <c r="AD74" s="89"/>
      <c r="AE74" s="92"/>
      <c r="AF74" s="92"/>
      <c r="AG74" s="89"/>
      <c r="AH74" s="89"/>
      <c r="AI74" s="89"/>
      <c r="AJ74" s="57"/>
      <c r="AK74" s="88"/>
      <c r="AL74" s="91"/>
      <c r="AM74" s="91"/>
      <c r="AN74" s="91"/>
      <c r="AO74" s="91"/>
      <c r="AP74" s="91"/>
      <c r="AQ74" s="91"/>
      <c r="AR74" s="91"/>
      <c r="AS74" s="91"/>
      <c r="AT74" s="91"/>
      <c r="AU74" s="91"/>
      <c r="AV74" s="8"/>
      <c r="AW74" s="89"/>
      <c r="AX74" s="89"/>
      <c r="AY74" s="89"/>
      <c r="AZ74" s="89"/>
      <c r="BA74" s="92"/>
      <c r="BB74" s="92"/>
      <c r="BC74" s="89"/>
      <c r="BD74" s="4"/>
      <c r="BE74" s="4"/>
      <c r="BF74" s="4"/>
      <c r="BG74" s="42"/>
      <c r="BH74" s="42"/>
      <c r="CW74" s="1">
        <f t="shared" si="14"/>
        <v>0</v>
      </c>
      <c r="CX74" s="1">
        <f t="shared" si="15"/>
        <v>0</v>
      </c>
      <c r="CY74" s="43">
        <f t="shared" si="16"/>
        <v>0</v>
      </c>
      <c r="CZ74" s="43">
        <f t="shared" si="17"/>
        <v>0</v>
      </c>
      <c r="DA74" s="43">
        <f t="shared" si="18"/>
        <v>0</v>
      </c>
      <c r="DB74" s="43" t="str">
        <f t="shared" si="19"/>
        <v/>
      </c>
      <c r="DC74" s="50" t="str">
        <f t="shared" si="20"/>
        <v/>
      </c>
      <c r="DD74" s="50" t="str">
        <f t="shared" si="21"/>
        <v/>
      </c>
    </row>
    <row r="75" spans="1:109" ht="37.5" customHeight="1">
      <c r="A75" s="82" t="str">
        <f t="shared" si="22"/>
        <v>月日()</v>
      </c>
      <c r="B75" s="83" t="str">
        <f t="shared" si="23"/>
        <v>時</v>
      </c>
      <c r="C75" s="84" t="str">
        <f t="shared" si="24"/>
        <v>分</v>
      </c>
      <c r="D75" s="83" t="str">
        <f t="shared" si="25"/>
        <v>時</v>
      </c>
      <c r="E75" s="84" t="str">
        <f t="shared" si="26"/>
        <v>分</v>
      </c>
      <c r="F75" s="85" t="str">
        <f t="shared" si="27"/>
        <v xml:space="preserve">
</v>
      </c>
      <c r="L75" s="13"/>
      <c r="M75" s="88"/>
      <c r="N75" s="88"/>
      <c r="O75" s="88"/>
      <c r="P75" s="88"/>
      <c r="Q75" s="88"/>
      <c r="R75" s="88"/>
      <c r="S75" s="88"/>
      <c r="T75" s="88"/>
      <c r="U75" s="88"/>
      <c r="V75" s="8"/>
      <c r="W75" s="89"/>
      <c r="X75" s="89"/>
      <c r="Y75" s="89"/>
      <c r="Z75" s="89"/>
      <c r="AA75" s="89"/>
      <c r="AB75" s="92"/>
      <c r="AC75" s="92"/>
      <c r="AD75" s="89"/>
      <c r="AE75" s="92"/>
      <c r="AF75" s="92"/>
      <c r="AG75" s="89"/>
      <c r="AH75" s="89"/>
      <c r="AI75" s="89"/>
      <c r="AJ75" s="13"/>
      <c r="AK75" s="91"/>
      <c r="AL75" s="91"/>
      <c r="AM75" s="91"/>
      <c r="AN75" s="91"/>
      <c r="AO75" s="91"/>
      <c r="AP75" s="91"/>
      <c r="AQ75" s="91"/>
      <c r="AR75" s="91"/>
      <c r="AS75" s="91"/>
      <c r="AT75" s="91"/>
      <c r="AU75" s="91"/>
      <c r="AV75" s="8"/>
      <c r="AW75" s="89"/>
      <c r="AX75" s="89"/>
      <c r="AY75" s="89"/>
      <c r="AZ75" s="89"/>
      <c r="BA75" s="92"/>
      <c r="BB75" s="92"/>
      <c r="BC75" s="89"/>
      <c r="CW75" s="1">
        <f t="shared" si="14"/>
        <v>0</v>
      </c>
      <c r="CX75" s="1">
        <f t="shared" si="15"/>
        <v>0</v>
      </c>
      <c r="CY75" s="43">
        <f t="shared" si="16"/>
        <v>0</v>
      </c>
      <c r="CZ75" s="43">
        <f t="shared" si="17"/>
        <v>0</v>
      </c>
      <c r="DA75" s="43">
        <f t="shared" si="18"/>
        <v>0</v>
      </c>
      <c r="DB75" s="43" t="str">
        <f t="shared" si="19"/>
        <v/>
      </c>
      <c r="DC75" s="50" t="str">
        <f t="shared" si="20"/>
        <v/>
      </c>
      <c r="DD75" s="50" t="str">
        <f t="shared" si="21"/>
        <v/>
      </c>
    </row>
    <row r="76" spans="1:109" ht="37.5" customHeight="1">
      <c r="A76" s="82" t="str">
        <f t="shared" si="22"/>
        <v>月日()</v>
      </c>
      <c r="B76" s="83" t="str">
        <f t="shared" si="23"/>
        <v>時</v>
      </c>
      <c r="C76" s="84" t="str">
        <f t="shared" si="24"/>
        <v>分</v>
      </c>
      <c r="D76" s="83" t="str">
        <f t="shared" si="25"/>
        <v>時</v>
      </c>
      <c r="E76" s="84" t="str">
        <f t="shared" si="26"/>
        <v>分</v>
      </c>
      <c r="F76" s="85" t="str">
        <f t="shared" si="27"/>
        <v xml:space="preserve">
</v>
      </c>
      <c r="L76" s="13"/>
      <c r="M76" s="91"/>
      <c r="N76" s="91"/>
      <c r="O76" s="91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  <c r="AA76" s="92"/>
      <c r="AB76" s="92"/>
      <c r="AC76" s="92"/>
      <c r="AD76" s="92"/>
      <c r="AE76" s="92"/>
      <c r="AF76" s="92"/>
      <c r="AG76" s="92"/>
      <c r="AH76" s="92"/>
      <c r="AI76" s="92"/>
      <c r="AJ76" s="13"/>
      <c r="AK76" s="109"/>
      <c r="AL76" s="109"/>
      <c r="AM76" s="109"/>
      <c r="AN76" s="109"/>
      <c r="AO76" s="109"/>
      <c r="AP76" s="66"/>
      <c r="AQ76" s="66"/>
      <c r="AR76" s="66"/>
      <c r="AS76" s="66"/>
      <c r="AT76" s="66"/>
      <c r="AU76" s="66"/>
      <c r="AV76" s="66"/>
      <c r="AW76" s="66"/>
      <c r="AX76" s="66"/>
      <c r="AY76" s="66"/>
      <c r="AZ76" s="66"/>
      <c r="BA76" s="66"/>
      <c r="BB76" s="89"/>
      <c r="BC76" s="89"/>
      <c r="CW76" s="1">
        <f t="shared" si="14"/>
        <v>0</v>
      </c>
      <c r="CX76" s="1">
        <f t="shared" si="15"/>
        <v>0</v>
      </c>
      <c r="CY76" s="43">
        <f t="shared" si="16"/>
        <v>0</v>
      </c>
      <c r="CZ76" s="43">
        <f t="shared" si="17"/>
        <v>0</v>
      </c>
      <c r="DA76" s="43">
        <f t="shared" si="18"/>
        <v>0</v>
      </c>
      <c r="DB76" s="43" t="str">
        <f t="shared" si="19"/>
        <v/>
      </c>
      <c r="DC76" s="50" t="str">
        <f t="shared" si="20"/>
        <v/>
      </c>
      <c r="DD76" s="50" t="str">
        <f t="shared" si="21"/>
        <v/>
      </c>
    </row>
    <row r="77" spans="1:109" ht="37.5" customHeight="1">
      <c r="A77" s="82" t="str">
        <f t="shared" si="22"/>
        <v>月日()</v>
      </c>
      <c r="B77" s="83" t="str">
        <f t="shared" si="23"/>
        <v>時</v>
      </c>
      <c r="C77" s="84" t="str">
        <f t="shared" si="24"/>
        <v>分</v>
      </c>
      <c r="D77" s="83" t="str">
        <f t="shared" si="25"/>
        <v>時</v>
      </c>
      <c r="E77" s="84" t="str">
        <f t="shared" si="26"/>
        <v>分</v>
      </c>
      <c r="F77" s="85" t="str">
        <f t="shared" si="27"/>
        <v xml:space="preserve">
</v>
      </c>
      <c r="L77" s="13"/>
      <c r="M77" s="91"/>
      <c r="N77" s="91"/>
      <c r="O77" s="91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  <c r="AA77" s="92"/>
      <c r="AB77" s="92"/>
      <c r="AC77" s="92"/>
      <c r="AD77" s="92"/>
      <c r="AE77" s="92"/>
      <c r="AF77" s="92"/>
      <c r="AG77" s="92"/>
      <c r="AH77" s="92"/>
      <c r="AI77" s="92"/>
      <c r="AJ77" s="13"/>
      <c r="AK77" s="109"/>
      <c r="AL77" s="109"/>
      <c r="AM77" s="109"/>
      <c r="AN77" s="109"/>
      <c r="AO77" s="109"/>
      <c r="AP77" s="66"/>
      <c r="AQ77" s="66"/>
      <c r="AR77" s="66"/>
      <c r="AS77" s="66"/>
      <c r="AT77" s="66"/>
      <c r="AU77" s="66"/>
      <c r="AV77" s="66"/>
      <c r="AW77" s="66"/>
      <c r="AX77" s="66"/>
      <c r="AY77" s="66"/>
      <c r="AZ77" s="66"/>
      <c r="BA77" s="66"/>
      <c r="BB77" s="89"/>
      <c r="BC77" s="89"/>
      <c r="CW77" s="1">
        <f t="shared" si="14"/>
        <v>0</v>
      </c>
      <c r="CX77" s="1">
        <f t="shared" si="15"/>
        <v>0</v>
      </c>
      <c r="CY77" s="43">
        <f t="shared" si="16"/>
        <v>0</v>
      </c>
      <c r="CZ77" s="43">
        <f t="shared" si="17"/>
        <v>0</v>
      </c>
      <c r="DA77" s="43">
        <f t="shared" si="18"/>
        <v>0</v>
      </c>
      <c r="DB77" s="43" t="str">
        <f t="shared" si="19"/>
        <v/>
      </c>
      <c r="DC77" s="50" t="str">
        <f t="shared" si="20"/>
        <v/>
      </c>
      <c r="DD77" s="50" t="str">
        <f t="shared" si="21"/>
        <v/>
      </c>
    </row>
    <row r="78" spans="1:109" ht="37.5" customHeight="1">
      <c r="A78" s="82" t="str">
        <f t="shared" si="22"/>
        <v>月日()</v>
      </c>
      <c r="B78" s="83" t="str">
        <f t="shared" si="23"/>
        <v>時</v>
      </c>
      <c r="C78" s="84" t="str">
        <f t="shared" si="24"/>
        <v>分</v>
      </c>
      <c r="D78" s="83" t="str">
        <f t="shared" si="25"/>
        <v>時</v>
      </c>
      <c r="E78" s="84" t="str">
        <f t="shared" si="26"/>
        <v>分</v>
      </c>
      <c r="F78" s="85" t="str">
        <f t="shared" si="27"/>
        <v xml:space="preserve">
</v>
      </c>
      <c r="L78" s="13"/>
      <c r="M78" s="88"/>
      <c r="N78" s="88"/>
      <c r="O78" s="88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  <c r="AA78" s="92"/>
      <c r="AB78" s="92"/>
      <c r="AC78" s="92"/>
      <c r="AD78" s="92"/>
      <c r="AE78" s="92"/>
      <c r="AF78" s="89"/>
      <c r="AG78" s="89"/>
      <c r="AH78" s="8"/>
      <c r="AI78" s="8"/>
      <c r="AJ78" s="13"/>
      <c r="AK78" s="109"/>
      <c r="AL78" s="109"/>
      <c r="AM78" s="109"/>
      <c r="AN78" s="109"/>
      <c r="AO78" s="109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89"/>
      <c r="BC78" s="89"/>
      <c r="CW78" s="1">
        <f t="shared" si="14"/>
        <v>0</v>
      </c>
      <c r="CX78" s="1">
        <f t="shared" si="15"/>
        <v>0</v>
      </c>
      <c r="CY78" s="43">
        <f t="shared" si="16"/>
        <v>0</v>
      </c>
      <c r="CZ78" s="43">
        <f t="shared" si="17"/>
        <v>0</v>
      </c>
      <c r="DA78" s="43">
        <f t="shared" si="18"/>
        <v>0</v>
      </c>
      <c r="DB78" s="43" t="str">
        <f t="shared" si="19"/>
        <v/>
      </c>
      <c r="DC78" s="50" t="str">
        <f t="shared" si="20"/>
        <v/>
      </c>
      <c r="DD78" s="50" t="str">
        <f t="shared" si="21"/>
        <v/>
      </c>
    </row>
    <row r="79" spans="1:109" s="3" customFormat="1" ht="37.5" customHeight="1">
      <c r="A79" s="82" t="str">
        <f t="shared" si="22"/>
        <v>月日()</v>
      </c>
      <c r="B79" s="83" t="str">
        <f t="shared" si="23"/>
        <v>時</v>
      </c>
      <c r="C79" s="84" t="str">
        <f t="shared" si="24"/>
        <v>分</v>
      </c>
      <c r="D79" s="83" t="str">
        <f t="shared" si="25"/>
        <v>時</v>
      </c>
      <c r="E79" s="84" t="str">
        <f t="shared" si="26"/>
        <v>分</v>
      </c>
      <c r="F79" s="85" t="str">
        <f t="shared" si="27"/>
        <v xml:space="preserve">
</v>
      </c>
      <c r="L79" s="13"/>
      <c r="M79" s="88"/>
      <c r="N79" s="88"/>
      <c r="O79" s="88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  <c r="AA79" s="92"/>
      <c r="AB79" s="92"/>
      <c r="AC79" s="92"/>
      <c r="AD79" s="92"/>
      <c r="AE79" s="92"/>
      <c r="AF79" s="89"/>
      <c r="AG79" s="89"/>
      <c r="AH79" s="8"/>
      <c r="AI79" s="13"/>
      <c r="AJ79" s="13"/>
      <c r="AK79" s="109"/>
      <c r="AL79" s="109"/>
      <c r="AM79" s="109"/>
      <c r="AN79" s="109"/>
      <c r="AO79" s="109"/>
      <c r="AP79" s="66"/>
      <c r="AQ79" s="66"/>
      <c r="AR79" s="66"/>
      <c r="AS79" s="66"/>
      <c r="AT79" s="66"/>
      <c r="AU79" s="66"/>
      <c r="AV79" s="66"/>
      <c r="AW79" s="66"/>
      <c r="AX79" s="66"/>
      <c r="AY79" s="66"/>
      <c r="AZ79" s="66"/>
      <c r="BA79" s="66"/>
      <c r="BB79" s="89"/>
      <c r="BC79" s="89"/>
      <c r="CU79" s="1"/>
      <c r="CV79" s="1"/>
      <c r="CW79" s="1">
        <f t="shared" si="14"/>
        <v>0</v>
      </c>
      <c r="CX79" s="1">
        <f t="shared" si="15"/>
        <v>0</v>
      </c>
      <c r="CY79" s="43">
        <f t="shared" si="16"/>
        <v>0</v>
      </c>
      <c r="CZ79" s="43">
        <f t="shared" si="17"/>
        <v>0</v>
      </c>
      <c r="DA79" s="43">
        <f t="shared" si="18"/>
        <v>0</v>
      </c>
      <c r="DB79" s="43" t="str">
        <f t="shared" si="19"/>
        <v/>
      </c>
      <c r="DC79" s="50" t="str">
        <f t="shared" si="20"/>
        <v/>
      </c>
      <c r="DD79" s="50" t="str">
        <f t="shared" si="21"/>
        <v/>
      </c>
      <c r="DE79" s="43"/>
    </row>
    <row r="80" spans="1:109" s="3" customFormat="1" ht="37.5" customHeight="1">
      <c r="A80" s="82" t="str">
        <f t="shared" si="22"/>
        <v>月日()</v>
      </c>
      <c r="B80" s="83" t="str">
        <f t="shared" si="23"/>
        <v>時</v>
      </c>
      <c r="C80" s="84" t="str">
        <f t="shared" si="24"/>
        <v>分</v>
      </c>
      <c r="D80" s="83" t="str">
        <f t="shared" si="25"/>
        <v>時</v>
      </c>
      <c r="E80" s="84" t="str">
        <f t="shared" si="26"/>
        <v>分</v>
      </c>
      <c r="F80" s="85" t="str">
        <f t="shared" si="27"/>
        <v xml:space="preserve">
</v>
      </c>
      <c r="L80" s="13"/>
      <c r="M80" s="44"/>
      <c r="N80" s="44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CW80" s="1">
        <f t="shared" ref="CW80:CW87" si="28">CO80-CV80</f>
        <v>0</v>
      </c>
      <c r="CX80" s="1">
        <f t="shared" ref="CX80:CX87" si="29">CQ80-CV80</f>
        <v>0</v>
      </c>
      <c r="CY80" s="43">
        <f t="shared" si="16"/>
        <v>0</v>
      </c>
      <c r="CZ80" s="43">
        <f t="shared" si="17"/>
        <v>0</v>
      </c>
      <c r="DA80" s="43">
        <f t="shared" si="18"/>
        <v>0</v>
      </c>
      <c r="DB80" s="43" t="str">
        <f t="shared" si="19"/>
        <v/>
      </c>
      <c r="DC80" s="50" t="str">
        <f t="shared" si="20"/>
        <v/>
      </c>
      <c r="DD80" s="50" t="str">
        <f t="shared" si="21"/>
        <v/>
      </c>
      <c r="DE80" s="44"/>
    </row>
    <row r="81" spans="1:109" s="3" customFormat="1" ht="37.5" customHeight="1">
      <c r="A81" s="82" t="str">
        <f t="shared" si="22"/>
        <v>月日()</v>
      </c>
      <c r="B81" s="83" t="str">
        <f t="shared" si="23"/>
        <v>時</v>
      </c>
      <c r="C81" s="84" t="str">
        <f t="shared" si="24"/>
        <v>分</v>
      </c>
      <c r="D81" s="83" t="str">
        <f t="shared" si="25"/>
        <v>時</v>
      </c>
      <c r="E81" s="84" t="str">
        <f t="shared" si="26"/>
        <v>分</v>
      </c>
      <c r="F81" s="85" t="str">
        <f t="shared" si="27"/>
        <v xml:space="preserve">
</v>
      </c>
      <c r="L81" s="13"/>
      <c r="M81" s="44"/>
      <c r="N81" s="44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CW81" s="1">
        <f t="shared" si="28"/>
        <v>0</v>
      </c>
      <c r="CX81" s="1">
        <f t="shared" si="29"/>
        <v>0</v>
      </c>
      <c r="CY81" s="43">
        <f t="shared" si="16"/>
        <v>0</v>
      </c>
      <c r="CZ81" s="43">
        <f t="shared" si="17"/>
        <v>0</v>
      </c>
      <c r="DA81" s="43">
        <f t="shared" si="18"/>
        <v>0</v>
      </c>
      <c r="DB81" s="43" t="str">
        <f t="shared" si="19"/>
        <v/>
      </c>
      <c r="DC81" s="50" t="str">
        <f t="shared" si="20"/>
        <v/>
      </c>
      <c r="DD81" s="50" t="str">
        <f t="shared" si="21"/>
        <v/>
      </c>
      <c r="DE81" s="44"/>
    </row>
    <row r="82" spans="1:109" s="3" customFormat="1" ht="37.5" customHeight="1">
      <c r="A82" s="82" t="str">
        <f t="shared" si="22"/>
        <v>月日()</v>
      </c>
      <c r="B82" s="83" t="str">
        <f t="shared" si="23"/>
        <v>時</v>
      </c>
      <c r="C82" s="84" t="str">
        <f t="shared" si="24"/>
        <v>分</v>
      </c>
      <c r="D82" s="83" t="str">
        <f t="shared" si="25"/>
        <v>時</v>
      </c>
      <c r="E82" s="84" t="str">
        <f t="shared" si="26"/>
        <v>分</v>
      </c>
      <c r="F82" s="85" t="str">
        <f t="shared" si="27"/>
        <v xml:space="preserve">
</v>
      </c>
      <c r="L82" s="56"/>
      <c r="M82" s="44"/>
      <c r="N82" s="44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  <c r="CW82" s="1">
        <f t="shared" si="28"/>
        <v>0</v>
      </c>
      <c r="CX82" s="1">
        <f t="shared" si="29"/>
        <v>0</v>
      </c>
      <c r="CY82" s="43">
        <f t="shared" si="16"/>
        <v>0</v>
      </c>
      <c r="CZ82" s="43">
        <f t="shared" si="17"/>
        <v>0</v>
      </c>
      <c r="DA82" s="43">
        <f t="shared" si="18"/>
        <v>0</v>
      </c>
      <c r="DB82" s="43" t="str">
        <f t="shared" si="19"/>
        <v/>
      </c>
      <c r="DC82" s="50" t="str">
        <f t="shared" si="20"/>
        <v/>
      </c>
      <c r="DD82" s="50" t="str">
        <f t="shared" si="21"/>
        <v/>
      </c>
      <c r="DE82" s="44"/>
    </row>
    <row r="83" spans="1:109" s="3" customFormat="1" ht="37.5" customHeight="1">
      <c r="A83" s="82" t="str">
        <f t="shared" si="22"/>
        <v>月日()</v>
      </c>
      <c r="B83" s="83" t="str">
        <f t="shared" si="23"/>
        <v>時</v>
      </c>
      <c r="C83" s="84" t="str">
        <f t="shared" si="24"/>
        <v>分</v>
      </c>
      <c r="D83" s="83" t="str">
        <f t="shared" si="25"/>
        <v>時</v>
      </c>
      <c r="E83" s="84" t="str">
        <f t="shared" si="26"/>
        <v>分</v>
      </c>
      <c r="F83" s="85" t="str">
        <f t="shared" si="27"/>
        <v xml:space="preserve">
</v>
      </c>
      <c r="L83" s="56"/>
      <c r="M83" s="44"/>
      <c r="N83" s="44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  <c r="CW83" s="1">
        <f t="shared" si="28"/>
        <v>0</v>
      </c>
      <c r="CX83" s="1">
        <f t="shared" si="29"/>
        <v>0</v>
      </c>
      <c r="CY83" s="43">
        <f t="shared" si="16"/>
        <v>0</v>
      </c>
      <c r="CZ83" s="43">
        <f t="shared" si="17"/>
        <v>0</v>
      </c>
      <c r="DA83" s="43">
        <f t="shared" si="18"/>
        <v>0</v>
      </c>
      <c r="DB83" s="43" t="str">
        <f t="shared" si="19"/>
        <v/>
      </c>
      <c r="DC83" s="50" t="str">
        <f t="shared" si="20"/>
        <v/>
      </c>
      <c r="DD83" s="50" t="str">
        <f t="shared" si="21"/>
        <v/>
      </c>
      <c r="DE83" s="44"/>
    </row>
    <row r="84" spans="1:109" s="3" customFormat="1" ht="37.5" customHeight="1">
      <c r="A84" s="82" t="str">
        <f t="shared" si="22"/>
        <v>月日()</v>
      </c>
      <c r="B84" s="83" t="str">
        <f t="shared" si="23"/>
        <v>時</v>
      </c>
      <c r="C84" s="84" t="str">
        <f t="shared" si="24"/>
        <v>分</v>
      </c>
      <c r="D84" s="83" t="str">
        <f t="shared" si="25"/>
        <v>時</v>
      </c>
      <c r="E84" s="84" t="str">
        <f t="shared" si="26"/>
        <v>分</v>
      </c>
      <c r="F84" s="85" t="str">
        <f t="shared" si="27"/>
        <v xml:space="preserve">
</v>
      </c>
      <c r="L84" s="67"/>
      <c r="M84" s="44"/>
      <c r="N84" s="133"/>
      <c r="O84" s="133"/>
      <c r="P84" s="133"/>
      <c r="Q84" s="133"/>
      <c r="R84" s="133"/>
      <c r="S84" s="133"/>
      <c r="T84" s="133"/>
      <c r="U84" s="133"/>
      <c r="V84" s="133"/>
      <c r="W84" s="133"/>
      <c r="X84" s="133"/>
      <c r="Y84" s="133"/>
      <c r="Z84" s="133"/>
      <c r="AA84" s="133"/>
      <c r="AB84" s="133"/>
      <c r="AC84" s="133"/>
      <c r="AD84" s="133"/>
      <c r="AE84" s="133"/>
      <c r="AF84" s="133"/>
      <c r="AG84" s="133"/>
      <c r="AH84" s="133"/>
      <c r="AI84" s="133"/>
      <c r="AJ84" s="133"/>
      <c r="AK84" s="133"/>
      <c r="AL84" s="133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CW84" s="1">
        <f t="shared" si="28"/>
        <v>0</v>
      </c>
      <c r="CX84" s="1">
        <f t="shared" si="29"/>
        <v>0</v>
      </c>
      <c r="CY84" s="43">
        <f t="shared" si="16"/>
        <v>0</v>
      </c>
      <c r="CZ84" s="43">
        <f t="shared" si="17"/>
        <v>0</v>
      </c>
      <c r="DA84" s="43">
        <f t="shared" si="18"/>
        <v>0</v>
      </c>
      <c r="DB84" s="43" t="str">
        <f t="shared" si="19"/>
        <v/>
      </c>
      <c r="DC84" s="50" t="str">
        <f t="shared" si="20"/>
        <v/>
      </c>
      <c r="DD84" s="50" t="str">
        <f t="shared" si="21"/>
        <v/>
      </c>
      <c r="DE84" s="44"/>
    </row>
    <row r="85" spans="1:109" s="3" customFormat="1" ht="37.5" customHeight="1">
      <c r="A85" s="82" t="str">
        <f t="shared" si="22"/>
        <v>月日()</v>
      </c>
      <c r="B85" s="83" t="str">
        <f t="shared" si="23"/>
        <v>時</v>
      </c>
      <c r="C85" s="84" t="str">
        <f t="shared" si="24"/>
        <v>分</v>
      </c>
      <c r="D85" s="83" t="str">
        <f t="shared" si="25"/>
        <v>時</v>
      </c>
      <c r="E85" s="84" t="str">
        <f t="shared" si="26"/>
        <v>分</v>
      </c>
      <c r="F85" s="85" t="str">
        <f t="shared" si="27"/>
        <v xml:space="preserve">
</v>
      </c>
      <c r="L85" s="67"/>
      <c r="M85" s="44"/>
      <c r="N85" s="132"/>
      <c r="O85" s="132"/>
      <c r="P85" s="132"/>
      <c r="Q85" s="132"/>
      <c r="R85" s="132"/>
      <c r="S85" s="132"/>
      <c r="T85" s="132"/>
      <c r="U85" s="132"/>
      <c r="V85" s="132"/>
      <c r="W85" s="132"/>
      <c r="X85" s="132"/>
      <c r="Y85" s="132"/>
      <c r="Z85" s="132"/>
      <c r="AA85" s="132"/>
      <c r="AB85" s="132"/>
      <c r="AC85" s="132"/>
      <c r="AD85" s="132"/>
      <c r="AE85" s="132"/>
      <c r="AF85" s="132"/>
      <c r="AG85" s="132"/>
      <c r="AH85" s="132"/>
      <c r="AI85" s="132"/>
      <c r="AJ85" s="132"/>
      <c r="AK85" s="132"/>
      <c r="AL85" s="132"/>
      <c r="AM85" s="132"/>
      <c r="AN85" s="132"/>
      <c r="AO85" s="132"/>
      <c r="AP85" s="132"/>
      <c r="AQ85" s="132"/>
      <c r="AR85" s="132"/>
      <c r="AS85" s="132"/>
      <c r="AT85" s="132"/>
      <c r="AU85" s="132"/>
      <c r="AV85" s="132"/>
      <c r="AW85" s="132"/>
      <c r="AX85" s="132"/>
      <c r="AY85" s="132"/>
      <c r="AZ85" s="132"/>
      <c r="BA85" s="132"/>
      <c r="BB85" s="132"/>
      <c r="BC85" s="132"/>
      <c r="CW85" s="1">
        <f t="shared" si="28"/>
        <v>0</v>
      </c>
      <c r="CX85" s="1">
        <f t="shared" si="29"/>
        <v>0</v>
      </c>
      <c r="CY85" s="43">
        <f t="shared" si="16"/>
        <v>0</v>
      </c>
      <c r="CZ85" s="43">
        <f t="shared" si="17"/>
        <v>0</v>
      </c>
      <c r="DA85" s="43">
        <f t="shared" si="18"/>
        <v>0</v>
      </c>
      <c r="DB85" s="43" t="str">
        <f t="shared" si="19"/>
        <v/>
      </c>
      <c r="DC85" s="50" t="str">
        <f t="shared" si="20"/>
        <v/>
      </c>
      <c r="DD85" s="50" t="str">
        <f t="shared" si="21"/>
        <v/>
      </c>
      <c r="DE85" s="44"/>
    </row>
    <row r="86" spans="1:109" s="2" customFormat="1" ht="37.5" customHeight="1">
      <c r="A86" s="82" t="str">
        <f t="shared" si="22"/>
        <v>月日()</v>
      </c>
      <c r="B86" s="83" t="str">
        <f t="shared" si="23"/>
        <v>時</v>
      </c>
      <c r="C86" s="84" t="str">
        <f t="shared" si="24"/>
        <v>分</v>
      </c>
      <c r="D86" s="83" t="str">
        <f t="shared" si="25"/>
        <v>時</v>
      </c>
      <c r="E86" s="84" t="str">
        <f t="shared" si="26"/>
        <v>分</v>
      </c>
      <c r="F86" s="85" t="str">
        <f t="shared" si="27"/>
        <v xml:space="preserve">
</v>
      </c>
      <c r="L86" s="67"/>
      <c r="M86" s="45"/>
      <c r="N86" s="127"/>
      <c r="O86" s="127"/>
      <c r="P86" s="127"/>
      <c r="Q86" s="127"/>
      <c r="R86" s="127"/>
      <c r="S86" s="127"/>
      <c r="T86" s="127"/>
      <c r="U86" s="127"/>
      <c r="V86" s="127"/>
      <c r="W86" s="127"/>
      <c r="X86" s="127"/>
      <c r="Y86" s="127"/>
      <c r="Z86" s="127"/>
      <c r="AA86" s="127"/>
      <c r="AB86" s="127"/>
      <c r="AC86" s="127"/>
      <c r="AD86" s="127"/>
      <c r="AE86" s="127"/>
      <c r="AF86" s="127"/>
      <c r="AG86" s="127"/>
      <c r="AH86" s="127"/>
      <c r="AI86" s="127"/>
      <c r="AJ86" s="127"/>
      <c r="AK86" s="127"/>
      <c r="AL86" s="127"/>
      <c r="AM86" s="127"/>
      <c r="AN86" s="127"/>
      <c r="AO86" s="127"/>
      <c r="AP86" s="127"/>
      <c r="AQ86" s="127"/>
      <c r="AR86" s="127"/>
      <c r="AS86" s="127"/>
      <c r="AT86" s="127"/>
      <c r="AU86" s="127"/>
      <c r="AV86" s="127"/>
      <c r="AW86" s="127"/>
      <c r="AX86" s="127"/>
      <c r="AY86" s="127"/>
      <c r="AZ86" s="127"/>
      <c r="BA86" s="127"/>
      <c r="BB86" s="127"/>
      <c r="BC86" s="127"/>
      <c r="CW86" s="1">
        <f t="shared" si="28"/>
        <v>0</v>
      </c>
      <c r="CX86" s="1">
        <f t="shared" si="29"/>
        <v>0</v>
      </c>
      <c r="CY86" s="43">
        <f t="shared" si="16"/>
        <v>0</v>
      </c>
      <c r="CZ86" s="43">
        <f t="shared" si="17"/>
        <v>0</v>
      </c>
      <c r="DA86" s="43">
        <f t="shared" si="18"/>
        <v>0</v>
      </c>
      <c r="DB86" s="43" t="str">
        <f t="shared" si="19"/>
        <v/>
      </c>
      <c r="DC86" s="50" t="str">
        <f t="shared" si="20"/>
        <v/>
      </c>
      <c r="DD86" s="50" t="str">
        <f t="shared" si="21"/>
        <v/>
      </c>
      <c r="DE86" s="45"/>
    </row>
    <row r="87" spans="1:109" s="3" customFormat="1" ht="37.5" customHeight="1">
      <c r="A87" s="82" t="str">
        <f t="shared" si="22"/>
        <v>月日()</v>
      </c>
      <c r="B87" s="83" t="str">
        <f t="shared" si="23"/>
        <v>時</v>
      </c>
      <c r="C87" s="84" t="str">
        <f t="shared" si="24"/>
        <v>分</v>
      </c>
      <c r="D87" s="83" t="str">
        <f t="shared" si="25"/>
        <v>時</v>
      </c>
      <c r="E87" s="84" t="str">
        <f t="shared" si="26"/>
        <v>分</v>
      </c>
      <c r="F87" s="85" t="str">
        <f t="shared" si="27"/>
        <v xml:space="preserve">
</v>
      </c>
      <c r="L87" s="67"/>
      <c r="M87" s="44"/>
      <c r="N87" s="127"/>
      <c r="O87" s="127"/>
      <c r="P87" s="127"/>
      <c r="Q87" s="127"/>
      <c r="R87" s="127"/>
      <c r="S87" s="127"/>
      <c r="T87" s="127"/>
      <c r="U87" s="127"/>
      <c r="V87" s="127"/>
      <c r="W87" s="127"/>
      <c r="X87" s="127"/>
      <c r="Y87" s="127"/>
      <c r="Z87" s="127"/>
      <c r="AA87" s="127"/>
      <c r="AB87" s="127"/>
      <c r="AC87" s="127"/>
      <c r="AD87" s="127"/>
      <c r="AE87" s="127"/>
      <c r="AF87" s="127"/>
      <c r="AG87" s="127"/>
      <c r="AH87" s="127"/>
      <c r="AI87" s="127"/>
      <c r="AJ87" s="127"/>
      <c r="AK87" s="127"/>
      <c r="AL87" s="127"/>
      <c r="AM87" s="127"/>
      <c r="AN87" s="127"/>
      <c r="AO87" s="127"/>
      <c r="AP87" s="127"/>
      <c r="AQ87" s="127"/>
      <c r="AR87" s="127"/>
      <c r="AS87" s="127"/>
      <c r="AT87" s="127"/>
      <c r="AU87" s="127"/>
      <c r="AV87" s="127"/>
      <c r="AW87" s="127"/>
      <c r="AX87" s="127"/>
      <c r="AY87" s="127"/>
      <c r="AZ87" s="127"/>
      <c r="BA87" s="127"/>
      <c r="BB87" s="127"/>
      <c r="BC87" s="127"/>
      <c r="CW87" s="1">
        <f t="shared" si="28"/>
        <v>0</v>
      </c>
      <c r="CX87" s="1">
        <f t="shared" si="29"/>
        <v>0</v>
      </c>
      <c r="CY87" s="43">
        <f t="shared" si="16"/>
        <v>0</v>
      </c>
      <c r="CZ87" s="43">
        <f t="shared" si="17"/>
        <v>0</v>
      </c>
      <c r="DA87" s="43">
        <f t="shared" si="18"/>
        <v>0</v>
      </c>
      <c r="DB87" s="43" t="str">
        <f t="shared" si="19"/>
        <v/>
      </c>
      <c r="DC87" s="50" t="str">
        <f t="shared" si="20"/>
        <v/>
      </c>
      <c r="DD87" s="50" t="str">
        <f t="shared" si="21"/>
        <v/>
      </c>
      <c r="DE87" s="44"/>
    </row>
    <row r="88" spans="1:109" s="3" customFormat="1" ht="37.5" customHeight="1">
      <c r="A88" s="82" t="str">
        <f t="shared" si="22"/>
        <v>月日()</v>
      </c>
      <c r="B88" s="83" t="str">
        <f t="shared" si="23"/>
        <v>時</v>
      </c>
      <c r="C88" s="84" t="str">
        <f t="shared" si="24"/>
        <v>分</v>
      </c>
      <c r="D88" s="83" t="str">
        <f t="shared" si="25"/>
        <v>時</v>
      </c>
      <c r="E88" s="84" t="str">
        <f t="shared" si="26"/>
        <v>分</v>
      </c>
      <c r="F88" s="85" t="str">
        <f t="shared" si="27"/>
        <v xml:space="preserve">
</v>
      </c>
      <c r="L88" s="67"/>
      <c r="M88" s="44"/>
      <c r="N88" s="127"/>
      <c r="O88" s="127"/>
      <c r="P88" s="127"/>
      <c r="Q88" s="127"/>
      <c r="R88" s="127"/>
      <c r="S88" s="127"/>
      <c r="T88" s="127"/>
      <c r="U88" s="127"/>
      <c r="V88" s="127"/>
      <c r="W88" s="127"/>
      <c r="X88" s="127"/>
      <c r="Y88" s="127"/>
      <c r="Z88" s="127"/>
      <c r="AA88" s="127"/>
      <c r="AB88" s="127"/>
      <c r="AC88" s="127"/>
      <c r="AD88" s="127"/>
      <c r="AE88" s="127"/>
      <c r="AF88" s="127"/>
      <c r="AG88" s="127"/>
      <c r="AH88" s="127"/>
      <c r="AI88" s="127"/>
      <c r="AJ88" s="127"/>
      <c r="AK88" s="127"/>
      <c r="AL88" s="127"/>
      <c r="AM88" s="127"/>
      <c r="AN88" s="127"/>
      <c r="AO88" s="127"/>
      <c r="AP88" s="127"/>
      <c r="AQ88" s="127"/>
      <c r="AR88" s="127"/>
      <c r="AS88" s="127"/>
      <c r="AT88" s="127"/>
      <c r="AU88" s="127"/>
      <c r="AV88" s="127"/>
      <c r="AW88" s="127"/>
      <c r="AX88" s="127"/>
      <c r="AY88" s="127"/>
      <c r="AZ88" s="127"/>
      <c r="BA88" s="127"/>
      <c r="BB88" s="127"/>
      <c r="BC88" s="127"/>
      <c r="CW88" s="1">
        <f t="shared" ref="CW88:CW93" si="30">CO88-CV88</f>
        <v>0</v>
      </c>
      <c r="CX88" s="1">
        <f t="shared" ref="CX88:CX93" si="31">CQ88-CV88</f>
        <v>0</v>
      </c>
      <c r="CY88" s="43">
        <f t="shared" si="16"/>
        <v>0</v>
      </c>
      <c r="CZ88" s="43">
        <f t="shared" si="17"/>
        <v>0</v>
      </c>
      <c r="DA88" s="43">
        <f t="shared" si="18"/>
        <v>0</v>
      </c>
      <c r="DB88" s="43" t="str">
        <f t="shared" si="19"/>
        <v/>
      </c>
      <c r="DC88" s="50" t="str">
        <f t="shared" si="20"/>
        <v/>
      </c>
      <c r="DD88" s="50" t="str">
        <f t="shared" si="21"/>
        <v/>
      </c>
      <c r="DE88" s="44"/>
    </row>
    <row r="89" spans="1:109" s="3" customFormat="1" ht="37.5" customHeight="1">
      <c r="A89" s="82" t="str">
        <f t="shared" si="22"/>
        <v>月日()</v>
      </c>
      <c r="B89" s="83" t="str">
        <f t="shared" si="23"/>
        <v>時</v>
      </c>
      <c r="C89" s="84" t="str">
        <f t="shared" si="24"/>
        <v>分</v>
      </c>
      <c r="D89" s="83" t="str">
        <f t="shared" si="25"/>
        <v>時</v>
      </c>
      <c r="E89" s="84" t="str">
        <f t="shared" si="26"/>
        <v>分</v>
      </c>
      <c r="F89" s="85" t="str">
        <f t="shared" si="27"/>
        <v xml:space="preserve">
</v>
      </c>
      <c r="L89" s="67"/>
      <c r="M89" s="44"/>
      <c r="N89" s="127"/>
      <c r="O89" s="127"/>
      <c r="P89" s="127"/>
      <c r="Q89" s="127"/>
      <c r="R89" s="127"/>
      <c r="S89" s="127"/>
      <c r="T89" s="127"/>
      <c r="U89" s="127"/>
      <c r="V89" s="127"/>
      <c r="W89" s="127"/>
      <c r="X89" s="127"/>
      <c r="Y89" s="127"/>
      <c r="Z89" s="127"/>
      <c r="AA89" s="127"/>
      <c r="AB89" s="127"/>
      <c r="AC89" s="127"/>
      <c r="AD89" s="127"/>
      <c r="AE89" s="127"/>
      <c r="AF89" s="127"/>
      <c r="AG89" s="127"/>
      <c r="AH89" s="127"/>
      <c r="AI89" s="127"/>
      <c r="AJ89" s="127"/>
      <c r="AK89" s="127"/>
      <c r="AL89" s="127"/>
      <c r="AM89" s="127"/>
      <c r="AN89" s="127"/>
      <c r="AO89" s="127"/>
      <c r="AP89" s="127"/>
      <c r="AQ89" s="127"/>
      <c r="AR89" s="127"/>
      <c r="AS89" s="127"/>
      <c r="AT89" s="127"/>
      <c r="AU89" s="127"/>
      <c r="AV89" s="127"/>
      <c r="AW89" s="127"/>
      <c r="AX89" s="127"/>
      <c r="AY89" s="127"/>
      <c r="AZ89" s="127"/>
      <c r="BA89" s="127"/>
      <c r="BB89" s="127"/>
      <c r="BC89" s="127"/>
      <c r="CW89" s="1">
        <f t="shared" si="30"/>
        <v>0</v>
      </c>
      <c r="CX89" s="1">
        <f t="shared" si="31"/>
        <v>0</v>
      </c>
      <c r="CY89" s="43">
        <f t="shared" si="16"/>
        <v>0</v>
      </c>
      <c r="CZ89" s="43">
        <f t="shared" si="17"/>
        <v>0</v>
      </c>
      <c r="DA89" s="43">
        <f t="shared" si="18"/>
        <v>0</v>
      </c>
      <c r="DB89" s="43" t="str">
        <f t="shared" si="19"/>
        <v/>
      </c>
      <c r="DC89" s="50" t="str">
        <f t="shared" si="20"/>
        <v/>
      </c>
      <c r="DD89" s="50" t="str">
        <f t="shared" si="21"/>
        <v/>
      </c>
      <c r="DE89" s="44"/>
    </row>
    <row r="90" spans="1:109" s="3" customFormat="1" ht="37.5" customHeight="1">
      <c r="A90" s="82" t="str">
        <f t="shared" si="22"/>
        <v>月日()</v>
      </c>
      <c r="B90" s="83" t="str">
        <f t="shared" si="23"/>
        <v>時</v>
      </c>
      <c r="C90" s="84" t="str">
        <f t="shared" si="24"/>
        <v>分</v>
      </c>
      <c r="D90" s="83" t="str">
        <f t="shared" si="25"/>
        <v>時</v>
      </c>
      <c r="E90" s="84" t="str">
        <f t="shared" si="26"/>
        <v>分</v>
      </c>
      <c r="F90" s="85" t="str">
        <f t="shared" si="27"/>
        <v xml:space="preserve">
</v>
      </c>
      <c r="L90" s="67"/>
      <c r="M90" s="44"/>
      <c r="N90" s="127"/>
      <c r="O90" s="127"/>
      <c r="P90" s="127"/>
      <c r="Q90" s="127"/>
      <c r="R90" s="127"/>
      <c r="S90" s="127"/>
      <c r="T90" s="127"/>
      <c r="U90" s="127"/>
      <c r="V90" s="127"/>
      <c r="W90" s="127"/>
      <c r="X90" s="127"/>
      <c r="Y90" s="127"/>
      <c r="Z90" s="127"/>
      <c r="AA90" s="127"/>
      <c r="AB90" s="127"/>
      <c r="AC90" s="127"/>
      <c r="AD90" s="127"/>
      <c r="AE90" s="127"/>
      <c r="AF90" s="127"/>
      <c r="AG90" s="127"/>
      <c r="AH90" s="127"/>
      <c r="AI90" s="127"/>
      <c r="AJ90" s="127"/>
      <c r="AK90" s="127"/>
      <c r="AL90" s="127"/>
      <c r="AM90" s="127"/>
      <c r="AN90" s="127"/>
      <c r="AO90" s="127"/>
      <c r="AP90" s="127"/>
      <c r="AQ90" s="127"/>
      <c r="AR90" s="127"/>
      <c r="AS90" s="127"/>
      <c r="AT90" s="127"/>
      <c r="AU90" s="127"/>
      <c r="AV90" s="127"/>
      <c r="AW90" s="127"/>
      <c r="AX90" s="127"/>
      <c r="AY90" s="127"/>
      <c r="AZ90" s="127"/>
      <c r="BA90" s="127"/>
      <c r="BB90" s="127"/>
      <c r="BC90" s="127"/>
      <c r="CW90" s="1">
        <f t="shared" si="30"/>
        <v>0</v>
      </c>
      <c r="CX90" s="1">
        <f t="shared" si="31"/>
        <v>0</v>
      </c>
      <c r="CY90" s="43">
        <f t="shared" si="16"/>
        <v>0</v>
      </c>
      <c r="CZ90" s="43">
        <f t="shared" si="17"/>
        <v>0</v>
      </c>
      <c r="DA90" s="43">
        <f t="shared" si="18"/>
        <v>0</v>
      </c>
      <c r="DB90" s="43" t="str">
        <f t="shared" si="19"/>
        <v/>
      </c>
      <c r="DC90" s="50" t="str">
        <f t="shared" si="20"/>
        <v/>
      </c>
      <c r="DD90" s="50" t="str">
        <f t="shared" si="21"/>
        <v/>
      </c>
      <c r="DE90" s="44"/>
    </row>
    <row r="91" spans="1:109" s="3" customFormat="1" ht="37.5" customHeight="1">
      <c r="A91" s="82" t="str">
        <f t="shared" si="22"/>
        <v>月日()</v>
      </c>
      <c r="B91" s="83" t="str">
        <f t="shared" si="23"/>
        <v>時</v>
      </c>
      <c r="C91" s="84" t="str">
        <f t="shared" si="24"/>
        <v>分</v>
      </c>
      <c r="D91" s="83" t="str">
        <f t="shared" si="25"/>
        <v>時</v>
      </c>
      <c r="E91" s="84" t="str">
        <f t="shared" si="26"/>
        <v>分</v>
      </c>
      <c r="F91" s="85" t="str">
        <f t="shared" si="27"/>
        <v xml:space="preserve">
</v>
      </c>
      <c r="L91" s="67"/>
      <c r="M91" s="44"/>
      <c r="N91" s="44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  <c r="CW91" s="1">
        <f t="shared" si="30"/>
        <v>0</v>
      </c>
      <c r="CX91" s="1">
        <f t="shared" si="31"/>
        <v>0</v>
      </c>
      <c r="CY91" s="43">
        <f t="shared" si="16"/>
        <v>0</v>
      </c>
      <c r="CZ91" s="43">
        <f t="shared" si="17"/>
        <v>0</v>
      </c>
      <c r="DA91" s="43">
        <f t="shared" si="18"/>
        <v>0</v>
      </c>
      <c r="DB91" s="43" t="str">
        <f t="shared" si="19"/>
        <v/>
      </c>
      <c r="DC91" s="50" t="str">
        <f t="shared" si="20"/>
        <v/>
      </c>
      <c r="DD91" s="50" t="str">
        <f t="shared" si="21"/>
        <v/>
      </c>
      <c r="DE91" s="44"/>
    </row>
    <row r="92" spans="1:109" s="3" customFormat="1" ht="37.5" customHeight="1">
      <c r="A92" s="82" t="str">
        <f t="shared" si="22"/>
        <v>月日()</v>
      </c>
      <c r="B92" s="83" t="str">
        <f t="shared" si="23"/>
        <v>時</v>
      </c>
      <c r="C92" s="84" t="str">
        <f t="shared" si="24"/>
        <v>分</v>
      </c>
      <c r="D92" s="83" t="str">
        <f t="shared" si="25"/>
        <v>時</v>
      </c>
      <c r="E92" s="84" t="str">
        <f t="shared" si="26"/>
        <v>分</v>
      </c>
      <c r="F92" s="85" t="str">
        <f t="shared" si="27"/>
        <v xml:space="preserve">
</v>
      </c>
      <c r="L92" s="67"/>
      <c r="M92" s="44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CW92" s="1">
        <f t="shared" si="30"/>
        <v>0</v>
      </c>
      <c r="CX92" s="1">
        <f t="shared" si="31"/>
        <v>0</v>
      </c>
      <c r="CY92" s="43">
        <f t="shared" si="16"/>
        <v>0</v>
      </c>
      <c r="CZ92" s="43">
        <f t="shared" si="17"/>
        <v>0</v>
      </c>
      <c r="DA92" s="43">
        <f t="shared" si="18"/>
        <v>0</v>
      </c>
      <c r="DB92" s="43" t="str">
        <f t="shared" si="19"/>
        <v/>
      </c>
      <c r="DC92" s="50" t="str">
        <f t="shared" si="20"/>
        <v/>
      </c>
      <c r="DD92" s="50" t="str">
        <f t="shared" si="21"/>
        <v/>
      </c>
      <c r="DE92" s="44"/>
    </row>
    <row r="93" spans="1:109" s="3" customFormat="1" ht="37.5" customHeight="1">
      <c r="A93" s="82" t="str">
        <f t="shared" si="22"/>
        <v>月日()</v>
      </c>
      <c r="B93" s="83" t="str">
        <f t="shared" si="23"/>
        <v>時</v>
      </c>
      <c r="C93" s="84" t="str">
        <f t="shared" si="24"/>
        <v>分</v>
      </c>
      <c r="D93" s="83" t="str">
        <f t="shared" si="25"/>
        <v>時</v>
      </c>
      <c r="E93" s="84" t="str">
        <f t="shared" si="26"/>
        <v>分</v>
      </c>
      <c r="F93" s="85" t="str">
        <f t="shared" si="27"/>
        <v xml:space="preserve">
</v>
      </c>
      <c r="L93" s="67"/>
      <c r="M93" s="44"/>
      <c r="N93" s="132"/>
      <c r="O93" s="132"/>
      <c r="P93" s="132"/>
      <c r="Q93" s="132"/>
      <c r="R93" s="132"/>
      <c r="S93" s="132"/>
      <c r="T93" s="132"/>
      <c r="U93" s="132"/>
      <c r="V93" s="132"/>
      <c r="W93" s="132"/>
      <c r="X93" s="132"/>
      <c r="Y93" s="132"/>
      <c r="Z93" s="132"/>
      <c r="AA93" s="132"/>
      <c r="AB93" s="132"/>
      <c r="AC93" s="132"/>
      <c r="AD93" s="132"/>
      <c r="AE93" s="132"/>
      <c r="AF93" s="132"/>
      <c r="AG93" s="132"/>
      <c r="AH93" s="132"/>
      <c r="AI93" s="132"/>
      <c r="AJ93" s="132"/>
      <c r="AK93" s="132"/>
      <c r="AL93" s="132"/>
      <c r="AM93" s="132"/>
      <c r="AN93" s="132"/>
      <c r="AO93" s="132"/>
      <c r="AP93" s="132"/>
      <c r="AQ93" s="132"/>
      <c r="AR93" s="132"/>
      <c r="AS93" s="132"/>
      <c r="AT93" s="132"/>
      <c r="AU93" s="132"/>
      <c r="AV93" s="132"/>
      <c r="AW93" s="132"/>
      <c r="AX93" s="132"/>
      <c r="AY93" s="132"/>
      <c r="AZ93" s="132"/>
      <c r="BA93" s="132"/>
      <c r="BB93" s="132"/>
      <c r="BC93" s="132"/>
      <c r="CW93" s="1">
        <f t="shared" si="30"/>
        <v>0</v>
      </c>
      <c r="CX93" s="1">
        <f t="shared" si="31"/>
        <v>0</v>
      </c>
      <c r="CY93" s="43">
        <f t="shared" si="16"/>
        <v>0</v>
      </c>
      <c r="CZ93" s="43">
        <f t="shared" si="17"/>
        <v>0</v>
      </c>
      <c r="DA93" s="43">
        <f t="shared" si="18"/>
        <v>0</v>
      </c>
      <c r="DB93" s="43" t="str">
        <f t="shared" si="19"/>
        <v/>
      </c>
      <c r="DC93" s="50" t="str">
        <f t="shared" si="20"/>
        <v/>
      </c>
      <c r="DD93" s="50" t="str">
        <f t="shared" si="21"/>
        <v/>
      </c>
      <c r="DE93" s="44"/>
    </row>
    <row r="94" spans="1:109" s="3" customFormat="1" ht="37.5" customHeight="1">
      <c r="A94" s="82" t="str">
        <f t="shared" si="22"/>
        <v>月日()</v>
      </c>
      <c r="B94" s="83" t="str">
        <f t="shared" si="23"/>
        <v>時</v>
      </c>
      <c r="C94" s="84" t="str">
        <f t="shared" si="24"/>
        <v>分</v>
      </c>
      <c r="D94" s="83" t="str">
        <f t="shared" si="25"/>
        <v>時</v>
      </c>
      <c r="E94" s="84" t="str">
        <f t="shared" si="26"/>
        <v>分</v>
      </c>
      <c r="F94" s="85" t="str">
        <f t="shared" si="27"/>
        <v xml:space="preserve">
</v>
      </c>
      <c r="L94" s="67"/>
      <c r="M94" s="44"/>
      <c r="N94" s="44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  <c r="CW94" s="1">
        <f t="shared" ref="CW94:CW102" si="32">CO94-CV94</f>
        <v>0</v>
      </c>
      <c r="CX94" s="1">
        <f t="shared" ref="CX94:CX102" si="33">CQ94-CV94</f>
        <v>0</v>
      </c>
      <c r="CY94" s="43">
        <f t="shared" si="16"/>
        <v>0</v>
      </c>
      <c r="CZ94" s="43">
        <f t="shared" si="17"/>
        <v>0</v>
      </c>
      <c r="DA94" s="43">
        <f t="shared" si="18"/>
        <v>0</v>
      </c>
      <c r="DB94" s="43" t="str">
        <f t="shared" si="19"/>
        <v/>
      </c>
      <c r="DC94" s="50" t="str">
        <f t="shared" si="20"/>
        <v/>
      </c>
      <c r="DD94" s="50" t="str">
        <f t="shared" si="21"/>
        <v/>
      </c>
      <c r="DE94" s="44"/>
    </row>
    <row r="95" spans="1:109" s="3" customFormat="1" ht="37.5" customHeight="1">
      <c r="A95" s="82" t="str">
        <f t="shared" si="22"/>
        <v>月日()</v>
      </c>
      <c r="B95" s="83" t="str">
        <f t="shared" si="23"/>
        <v>時</v>
      </c>
      <c r="C95" s="84" t="str">
        <f t="shared" si="24"/>
        <v>分</v>
      </c>
      <c r="D95" s="83" t="str">
        <f t="shared" si="25"/>
        <v>時</v>
      </c>
      <c r="E95" s="84" t="str">
        <f t="shared" si="26"/>
        <v>分</v>
      </c>
      <c r="F95" s="85" t="str">
        <f t="shared" si="27"/>
        <v xml:space="preserve">
</v>
      </c>
      <c r="L95" s="67"/>
      <c r="M95" s="44"/>
      <c r="N95" s="127"/>
      <c r="O95" s="127"/>
      <c r="P95" s="127"/>
      <c r="Q95" s="127"/>
      <c r="R95" s="127"/>
      <c r="S95" s="127"/>
      <c r="T95" s="127"/>
      <c r="U95" s="127"/>
      <c r="V95" s="127"/>
      <c r="W95" s="127"/>
      <c r="X95" s="127"/>
      <c r="Y95" s="127"/>
      <c r="Z95" s="127"/>
      <c r="AA95" s="127"/>
      <c r="AB95" s="127"/>
      <c r="AC95" s="127"/>
      <c r="AD95" s="127"/>
      <c r="AE95" s="127"/>
      <c r="AF95" s="127"/>
      <c r="AG95" s="127"/>
      <c r="AH95" s="127"/>
      <c r="AI95" s="127"/>
      <c r="AJ95" s="127"/>
      <c r="AK95" s="127"/>
      <c r="AL95" s="127"/>
      <c r="AM95" s="127"/>
      <c r="AN95" s="127"/>
      <c r="AO95" s="127"/>
      <c r="AP95" s="127"/>
      <c r="AQ95" s="127"/>
      <c r="AR95" s="127"/>
      <c r="AS95" s="127"/>
      <c r="AT95" s="127"/>
      <c r="AU95" s="127"/>
      <c r="AV95" s="127"/>
      <c r="AW95" s="127"/>
      <c r="AX95" s="127"/>
      <c r="AY95" s="127"/>
      <c r="AZ95" s="127"/>
      <c r="BA95" s="127"/>
      <c r="BB95" s="127"/>
      <c r="BC95" s="127"/>
      <c r="CW95" s="1">
        <f t="shared" si="32"/>
        <v>0</v>
      </c>
      <c r="CX95" s="1">
        <f t="shared" si="33"/>
        <v>0</v>
      </c>
      <c r="CY95" s="43">
        <f t="shared" si="16"/>
        <v>0</v>
      </c>
      <c r="CZ95" s="43">
        <f t="shared" si="17"/>
        <v>0</v>
      </c>
      <c r="DA95" s="43">
        <f t="shared" si="18"/>
        <v>0</v>
      </c>
      <c r="DB95" s="43" t="str">
        <f t="shared" si="19"/>
        <v/>
      </c>
      <c r="DC95" s="50" t="str">
        <f t="shared" si="20"/>
        <v/>
      </c>
      <c r="DD95" s="50" t="str">
        <f t="shared" si="21"/>
        <v/>
      </c>
      <c r="DE95" s="44"/>
    </row>
    <row r="96" spans="1:109" s="3" customFormat="1" ht="37.5" customHeight="1">
      <c r="A96" s="82" t="str">
        <f t="shared" si="22"/>
        <v>月日()</v>
      </c>
      <c r="B96" s="83" t="str">
        <f t="shared" si="23"/>
        <v>時</v>
      </c>
      <c r="C96" s="84" t="str">
        <f t="shared" si="24"/>
        <v>分</v>
      </c>
      <c r="D96" s="83" t="str">
        <f t="shared" si="25"/>
        <v>時</v>
      </c>
      <c r="E96" s="84" t="str">
        <f t="shared" si="26"/>
        <v>分</v>
      </c>
      <c r="F96" s="85" t="str">
        <f t="shared" si="27"/>
        <v xml:space="preserve">
</v>
      </c>
      <c r="L96" s="67"/>
      <c r="M96" s="44"/>
      <c r="N96" s="127"/>
      <c r="O96" s="127"/>
      <c r="P96" s="127"/>
      <c r="Q96" s="127"/>
      <c r="R96" s="127"/>
      <c r="S96" s="127"/>
      <c r="T96" s="127"/>
      <c r="U96" s="127"/>
      <c r="V96" s="127"/>
      <c r="W96" s="127"/>
      <c r="X96" s="127"/>
      <c r="Y96" s="127"/>
      <c r="Z96" s="127"/>
      <c r="AA96" s="127"/>
      <c r="AB96" s="127"/>
      <c r="AC96" s="127"/>
      <c r="AD96" s="127"/>
      <c r="AE96" s="127"/>
      <c r="AF96" s="127"/>
      <c r="AG96" s="127"/>
      <c r="AH96" s="127"/>
      <c r="AI96" s="127"/>
      <c r="AJ96" s="127"/>
      <c r="AK96" s="127"/>
      <c r="AL96" s="127"/>
      <c r="AM96" s="127"/>
      <c r="AN96" s="127"/>
      <c r="AO96" s="127"/>
      <c r="AP96" s="127"/>
      <c r="AQ96" s="127"/>
      <c r="AR96" s="127"/>
      <c r="AS96" s="127"/>
      <c r="AT96" s="127"/>
      <c r="AU96" s="127"/>
      <c r="AV96" s="127"/>
      <c r="AW96" s="127"/>
      <c r="AX96" s="127"/>
      <c r="AY96" s="127"/>
      <c r="AZ96" s="127"/>
      <c r="BA96" s="127"/>
      <c r="BB96" s="127"/>
      <c r="BC96" s="127"/>
      <c r="CW96" s="1">
        <f t="shared" si="32"/>
        <v>0</v>
      </c>
      <c r="CX96" s="1">
        <f t="shared" si="33"/>
        <v>0</v>
      </c>
      <c r="CY96" s="43">
        <f t="shared" si="16"/>
        <v>0</v>
      </c>
      <c r="CZ96" s="43">
        <f t="shared" si="17"/>
        <v>0</v>
      </c>
      <c r="DA96" s="43">
        <f t="shared" si="18"/>
        <v>0</v>
      </c>
      <c r="DB96" s="43" t="str">
        <f t="shared" si="19"/>
        <v/>
      </c>
      <c r="DC96" s="50" t="str">
        <f t="shared" si="20"/>
        <v/>
      </c>
      <c r="DD96" s="50" t="str">
        <f t="shared" si="21"/>
        <v/>
      </c>
      <c r="DE96" s="44"/>
    </row>
    <row r="97" spans="1:109" s="3" customFormat="1" ht="37.5" customHeight="1">
      <c r="A97" s="82" t="str">
        <f t="shared" si="22"/>
        <v>月日()</v>
      </c>
      <c r="B97" s="83" t="str">
        <f t="shared" si="23"/>
        <v>時</v>
      </c>
      <c r="C97" s="84" t="str">
        <f t="shared" si="24"/>
        <v>分</v>
      </c>
      <c r="D97" s="83" t="str">
        <f t="shared" si="25"/>
        <v>時</v>
      </c>
      <c r="E97" s="84" t="str">
        <f t="shared" si="26"/>
        <v>分</v>
      </c>
      <c r="F97" s="85" t="str">
        <f t="shared" si="27"/>
        <v xml:space="preserve">
</v>
      </c>
      <c r="L97" s="67"/>
      <c r="M97" s="44"/>
      <c r="N97" s="128"/>
      <c r="O97" s="128"/>
      <c r="P97" s="128"/>
      <c r="Q97" s="128"/>
      <c r="R97" s="128"/>
      <c r="S97" s="128"/>
      <c r="T97" s="128"/>
      <c r="U97" s="128"/>
      <c r="V97" s="128"/>
      <c r="W97" s="128"/>
      <c r="X97" s="128"/>
      <c r="Y97" s="128"/>
      <c r="Z97" s="128"/>
      <c r="AA97" s="128"/>
      <c r="AB97" s="128"/>
      <c r="AC97" s="128"/>
      <c r="AD97" s="128"/>
      <c r="AE97" s="128"/>
      <c r="AF97" s="128"/>
      <c r="AG97" s="128"/>
      <c r="AH97" s="128"/>
      <c r="AI97" s="128"/>
      <c r="AJ97" s="128"/>
      <c r="AK97" s="128"/>
      <c r="AL97" s="128"/>
      <c r="AM97" s="128"/>
      <c r="AN97" s="128"/>
      <c r="AO97" s="128"/>
      <c r="AP97" s="128"/>
      <c r="AQ97" s="128"/>
      <c r="AR97" s="128"/>
      <c r="AS97" s="128"/>
      <c r="AT97" s="128"/>
      <c r="AU97" s="128"/>
      <c r="AV97" s="128"/>
      <c r="AW97" s="128"/>
      <c r="AX97" s="128"/>
      <c r="AY97" s="128"/>
      <c r="AZ97" s="128"/>
      <c r="BA97" s="129"/>
      <c r="BB97" s="129"/>
      <c r="BC97" s="129"/>
      <c r="CW97" s="1">
        <f t="shared" si="32"/>
        <v>0</v>
      </c>
      <c r="CX97" s="1">
        <f t="shared" si="33"/>
        <v>0</v>
      </c>
      <c r="CY97" s="43">
        <f t="shared" si="16"/>
        <v>0</v>
      </c>
      <c r="CZ97" s="43">
        <f t="shared" si="17"/>
        <v>0</v>
      </c>
      <c r="DA97" s="43">
        <f t="shared" si="18"/>
        <v>0</v>
      </c>
      <c r="DB97" s="43" t="str">
        <f t="shared" si="19"/>
        <v/>
      </c>
      <c r="DC97" s="50" t="str">
        <f t="shared" si="20"/>
        <v/>
      </c>
      <c r="DD97" s="50" t="str">
        <f t="shared" si="21"/>
        <v/>
      </c>
      <c r="DE97" s="44"/>
    </row>
    <row r="98" spans="1:109" s="3" customFormat="1" ht="37.5" customHeight="1">
      <c r="A98" s="82" t="str">
        <f t="shared" si="22"/>
        <v>月日()</v>
      </c>
      <c r="B98" s="83" t="str">
        <f t="shared" si="23"/>
        <v>時</v>
      </c>
      <c r="C98" s="84" t="str">
        <f t="shared" si="24"/>
        <v>分</v>
      </c>
      <c r="D98" s="83" t="str">
        <f t="shared" si="25"/>
        <v>時</v>
      </c>
      <c r="E98" s="84" t="str">
        <f t="shared" si="26"/>
        <v>分</v>
      </c>
      <c r="F98" s="85" t="str">
        <f t="shared" si="27"/>
        <v xml:space="preserve">
</v>
      </c>
      <c r="L98" s="67"/>
      <c r="M98" s="44"/>
      <c r="N98" s="128"/>
      <c r="O98" s="128"/>
      <c r="P98" s="128"/>
      <c r="Q98" s="128"/>
      <c r="R98" s="128"/>
      <c r="S98" s="128"/>
      <c r="T98" s="128"/>
      <c r="U98" s="128"/>
      <c r="V98" s="128"/>
      <c r="W98" s="128"/>
      <c r="X98" s="128"/>
      <c r="Y98" s="128"/>
      <c r="Z98" s="128"/>
      <c r="AA98" s="128"/>
      <c r="AB98" s="128"/>
      <c r="AC98" s="128"/>
      <c r="AD98" s="128"/>
      <c r="AE98" s="128"/>
      <c r="AF98" s="128"/>
      <c r="AG98" s="128"/>
      <c r="AH98" s="128"/>
      <c r="AI98" s="128"/>
      <c r="AJ98" s="128"/>
      <c r="AK98" s="128"/>
      <c r="AL98" s="128"/>
      <c r="AM98" s="128"/>
      <c r="AN98" s="128"/>
      <c r="AO98" s="128"/>
      <c r="AP98" s="128"/>
      <c r="AQ98" s="128"/>
      <c r="AR98" s="128"/>
      <c r="AS98" s="128"/>
      <c r="AT98" s="128"/>
      <c r="AU98" s="128"/>
      <c r="AV98" s="128"/>
      <c r="AW98" s="128"/>
      <c r="AX98" s="128"/>
      <c r="AY98" s="128"/>
      <c r="AZ98" s="128"/>
      <c r="BA98" s="68"/>
      <c r="BB98" s="68"/>
      <c r="BC98" s="68"/>
      <c r="CW98" s="1">
        <f t="shared" si="32"/>
        <v>0</v>
      </c>
      <c r="CX98" s="1">
        <f t="shared" si="33"/>
        <v>0</v>
      </c>
      <c r="CY98" s="43">
        <f t="shared" si="16"/>
        <v>0</v>
      </c>
      <c r="CZ98" s="43">
        <f t="shared" si="17"/>
        <v>0</v>
      </c>
      <c r="DA98" s="43">
        <f t="shared" si="18"/>
        <v>0</v>
      </c>
      <c r="DB98" s="43" t="str">
        <f t="shared" si="19"/>
        <v/>
      </c>
      <c r="DC98" s="50" t="str">
        <f t="shared" si="20"/>
        <v/>
      </c>
      <c r="DD98" s="50" t="str">
        <f t="shared" si="21"/>
        <v/>
      </c>
      <c r="DE98" s="44"/>
    </row>
    <row r="99" spans="1:109" s="3" customFormat="1" ht="37.5" customHeight="1">
      <c r="A99" s="82" t="str">
        <f t="shared" si="22"/>
        <v>月日()</v>
      </c>
      <c r="B99" s="83" t="str">
        <f t="shared" si="23"/>
        <v>時</v>
      </c>
      <c r="C99" s="84" t="str">
        <f t="shared" si="24"/>
        <v>分</v>
      </c>
      <c r="D99" s="83" t="str">
        <f t="shared" si="25"/>
        <v>時</v>
      </c>
      <c r="E99" s="84" t="str">
        <f t="shared" si="26"/>
        <v>分</v>
      </c>
      <c r="F99" s="85" t="str">
        <f t="shared" si="27"/>
        <v xml:space="preserve">
</v>
      </c>
      <c r="L99" s="67"/>
      <c r="M99" s="44"/>
      <c r="N99" s="128"/>
      <c r="O99" s="128"/>
      <c r="P99" s="128"/>
      <c r="Q99" s="128"/>
      <c r="R99" s="128"/>
      <c r="S99" s="128"/>
      <c r="T99" s="128"/>
      <c r="U99" s="128"/>
      <c r="V99" s="128"/>
      <c r="W99" s="128"/>
      <c r="X99" s="128"/>
      <c r="Y99" s="128"/>
      <c r="Z99" s="128"/>
      <c r="AA99" s="128"/>
      <c r="AB99" s="128"/>
      <c r="AC99" s="128"/>
      <c r="AD99" s="128"/>
      <c r="AE99" s="128"/>
      <c r="AF99" s="128"/>
      <c r="AG99" s="128"/>
      <c r="AH99" s="128"/>
      <c r="AI99" s="128"/>
      <c r="AJ99" s="128"/>
      <c r="AK99" s="128"/>
      <c r="AL99" s="128"/>
      <c r="AM99" s="128"/>
      <c r="AN99" s="128"/>
      <c r="AO99" s="128"/>
      <c r="AP99" s="128"/>
      <c r="AQ99" s="128"/>
      <c r="AR99" s="128"/>
      <c r="AS99" s="128"/>
      <c r="AT99" s="128"/>
      <c r="AU99" s="128"/>
      <c r="AV99" s="128"/>
      <c r="AW99" s="128"/>
      <c r="AX99" s="128"/>
      <c r="AY99" s="128"/>
      <c r="AZ99" s="128"/>
      <c r="BA99" s="68"/>
      <c r="BB99" s="68"/>
      <c r="BC99" s="68"/>
      <c r="CW99" s="1">
        <f t="shared" si="32"/>
        <v>0</v>
      </c>
      <c r="CX99" s="1">
        <f t="shared" si="33"/>
        <v>0</v>
      </c>
      <c r="CY99" s="43">
        <f t="shared" si="16"/>
        <v>0</v>
      </c>
      <c r="CZ99" s="43">
        <f t="shared" si="17"/>
        <v>0</v>
      </c>
      <c r="DA99" s="43">
        <f t="shared" si="18"/>
        <v>0</v>
      </c>
      <c r="DB99" s="43" t="str">
        <f t="shared" si="19"/>
        <v/>
      </c>
      <c r="DC99" s="50" t="str">
        <f t="shared" si="20"/>
        <v/>
      </c>
      <c r="DD99" s="50" t="str">
        <f t="shared" si="21"/>
        <v/>
      </c>
      <c r="DE99" s="44"/>
    </row>
    <row r="100" spans="1:109" s="3" customFormat="1" ht="37.5" customHeight="1">
      <c r="A100" s="82" t="str">
        <f t="shared" si="22"/>
        <v>月日()</v>
      </c>
      <c r="B100" s="83" t="str">
        <f t="shared" si="23"/>
        <v>時</v>
      </c>
      <c r="C100" s="84" t="str">
        <f t="shared" si="24"/>
        <v>分</v>
      </c>
      <c r="D100" s="83" t="str">
        <f t="shared" si="25"/>
        <v>時</v>
      </c>
      <c r="E100" s="84" t="str">
        <f t="shared" si="26"/>
        <v>分</v>
      </c>
      <c r="F100" s="85" t="str">
        <f t="shared" si="27"/>
        <v xml:space="preserve">
</v>
      </c>
      <c r="L100" s="67"/>
      <c r="M100" s="44"/>
      <c r="N100" s="130"/>
      <c r="O100" s="130"/>
      <c r="P100" s="130"/>
      <c r="Q100" s="130"/>
      <c r="R100" s="130"/>
      <c r="S100" s="130"/>
      <c r="T100" s="130"/>
      <c r="U100" s="130"/>
      <c r="V100" s="130"/>
      <c r="W100" s="130"/>
      <c r="X100" s="130"/>
      <c r="Y100" s="130"/>
      <c r="Z100" s="130"/>
      <c r="AA100" s="130"/>
      <c r="AB100" s="130"/>
      <c r="AC100" s="130"/>
      <c r="AD100" s="130"/>
      <c r="AE100" s="130"/>
      <c r="AF100" s="130"/>
      <c r="AG100" s="130"/>
      <c r="AH100" s="130"/>
      <c r="AI100" s="130"/>
      <c r="AJ100" s="130"/>
      <c r="AK100" s="130"/>
      <c r="AL100" s="130"/>
      <c r="AM100" s="130"/>
      <c r="AN100" s="130"/>
      <c r="AO100" s="130"/>
      <c r="AP100" s="130"/>
      <c r="AQ100" s="130"/>
      <c r="AR100" s="130"/>
      <c r="AS100" s="130"/>
      <c r="AT100" s="130"/>
      <c r="AU100" s="130"/>
      <c r="AV100" s="130"/>
      <c r="AW100" s="130"/>
      <c r="AX100" s="130"/>
      <c r="AY100" s="130"/>
      <c r="AZ100" s="130"/>
      <c r="BA100" s="130"/>
      <c r="BB100" s="130"/>
      <c r="BC100" s="68"/>
      <c r="CW100" s="1">
        <f t="shared" si="32"/>
        <v>0</v>
      </c>
      <c r="CX100" s="1">
        <f t="shared" si="33"/>
        <v>0</v>
      </c>
      <c r="CY100" s="43">
        <f t="shared" si="16"/>
        <v>0</v>
      </c>
      <c r="CZ100" s="43">
        <f t="shared" si="17"/>
        <v>0</v>
      </c>
      <c r="DA100" s="43">
        <f t="shared" si="18"/>
        <v>0</v>
      </c>
      <c r="DB100" s="43" t="str">
        <f t="shared" si="19"/>
        <v/>
      </c>
      <c r="DC100" s="50" t="str">
        <f t="shared" si="20"/>
        <v/>
      </c>
      <c r="DD100" s="50" t="str">
        <f t="shared" si="21"/>
        <v/>
      </c>
      <c r="DE100" s="44"/>
    </row>
    <row r="101" spans="1:109" s="3" customFormat="1" ht="37.5" customHeight="1">
      <c r="A101" s="82" t="str">
        <f t="shared" si="22"/>
        <v>月日()</v>
      </c>
      <c r="B101" s="83" t="str">
        <f t="shared" si="23"/>
        <v>時</v>
      </c>
      <c r="C101" s="84" t="str">
        <f t="shared" si="24"/>
        <v>分</v>
      </c>
      <c r="D101" s="83" t="str">
        <f t="shared" si="25"/>
        <v>時</v>
      </c>
      <c r="E101" s="84" t="str">
        <f t="shared" si="26"/>
        <v>分</v>
      </c>
      <c r="F101" s="85" t="str">
        <f t="shared" si="27"/>
        <v xml:space="preserve">
</v>
      </c>
      <c r="L101" s="67"/>
      <c r="M101" s="44"/>
      <c r="N101" s="127"/>
      <c r="O101" s="127"/>
      <c r="P101" s="127"/>
      <c r="Q101" s="127"/>
      <c r="R101" s="127"/>
      <c r="S101" s="127"/>
      <c r="T101" s="127"/>
      <c r="U101" s="127"/>
      <c r="V101" s="127"/>
      <c r="W101" s="127"/>
      <c r="X101" s="127"/>
      <c r="Y101" s="127"/>
      <c r="Z101" s="127"/>
      <c r="AA101" s="127"/>
      <c r="AB101" s="127"/>
      <c r="AC101" s="127"/>
      <c r="AD101" s="127"/>
      <c r="AE101" s="127"/>
      <c r="AF101" s="127"/>
      <c r="AG101" s="127"/>
      <c r="AH101" s="127"/>
      <c r="AI101" s="127"/>
      <c r="AJ101" s="127"/>
      <c r="AK101" s="127"/>
      <c r="AL101" s="127"/>
      <c r="AM101" s="127"/>
      <c r="AN101" s="127"/>
      <c r="AO101" s="127"/>
      <c r="AP101" s="127"/>
      <c r="AQ101" s="127"/>
      <c r="AR101" s="127"/>
      <c r="AS101" s="127"/>
      <c r="AT101" s="127"/>
      <c r="AU101" s="127"/>
      <c r="AV101" s="127"/>
      <c r="AW101" s="127"/>
      <c r="AX101" s="127"/>
      <c r="AY101" s="127"/>
      <c r="AZ101" s="127"/>
      <c r="BA101" s="127"/>
      <c r="BB101" s="127"/>
      <c r="BC101" s="127"/>
      <c r="CW101" s="1">
        <f t="shared" si="32"/>
        <v>0</v>
      </c>
      <c r="CX101" s="1">
        <f t="shared" si="33"/>
        <v>0</v>
      </c>
      <c r="CY101" s="43">
        <f t="shared" si="16"/>
        <v>0</v>
      </c>
      <c r="CZ101" s="43">
        <f t="shared" si="17"/>
        <v>0</v>
      </c>
      <c r="DA101" s="43">
        <f t="shared" si="18"/>
        <v>0</v>
      </c>
      <c r="DB101" s="43" t="str">
        <f t="shared" si="19"/>
        <v/>
      </c>
      <c r="DC101" s="50" t="str">
        <f t="shared" si="20"/>
        <v/>
      </c>
      <c r="DD101" s="50" t="str">
        <f t="shared" si="21"/>
        <v/>
      </c>
      <c r="DE101" s="44"/>
    </row>
    <row r="102" spans="1:109" ht="37.5" customHeight="1">
      <c r="A102" s="82" t="str">
        <f t="shared" si="22"/>
        <v>月日()</v>
      </c>
      <c r="B102" s="83" t="str">
        <f t="shared" si="23"/>
        <v>時</v>
      </c>
      <c r="C102" s="84" t="str">
        <f t="shared" si="24"/>
        <v>分</v>
      </c>
      <c r="D102" s="83" t="str">
        <f t="shared" si="25"/>
        <v>時</v>
      </c>
      <c r="E102" s="84" t="str">
        <f t="shared" si="26"/>
        <v>分</v>
      </c>
      <c r="F102" s="85" t="str">
        <f t="shared" si="27"/>
        <v xml:space="preserve">
</v>
      </c>
      <c r="L102" s="67"/>
      <c r="N102" s="128"/>
      <c r="O102" s="128"/>
      <c r="P102" s="128"/>
      <c r="Q102" s="128"/>
      <c r="R102" s="128"/>
      <c r="S102" s="128"/>
      <c r="T102" s="128"/>
      <c r="U102" s="128"/>
      <c r="V102" s="128"/>
      <c r="W102" s="128"/>
      <c r="X102" s="128"/>
      <c r="Y102" s="128"/>
      <c r="Z102" s="128"/>
      <c r="AA102" s="128"/>
      <c r="AB102" s="128"/>
      <c r="AC102" s="128"/>
      <c r="AD102" s="128"/>
      <c r="AE102" s="128"/>
      <c r="AF102" s="128"/>
      <c r="AG102" s="128"/>
      <c r="AH102" s="128"/>
      <c r="AI102" s="128"/>
      <c r="AJ102" s="128"/>
      <c r="AK102" s="128"/>
      <c r="AL102" s="128"/>
      <c r="AM102" s="128"/>
      <c r="AN102" s="128"/>
      <c r="AO102" s="128"/>
      <c r="AP102" s="128"/>
      <c r="AQ102" s="128"/>
      <c r="AR102" s="128"/>
      <c r="AS102" s="128"/>
      <c r="AT102" s="128"/>
      <c r="AU102" s="128"/>
      <c r="AV102" s="128"/>
      <c r="AW102" s="128"/>
      <c r="AX102" s="128"/>
      <c r="AY102" s="128"/>
      <c r="AZ102" s="128"/>
      <c r="BA102" s="129"/>
      <c r="BB102" s="129"/>
      <c r="BC102" s="129"/>
      <c r="CW102" s="1">
        <f t="shared" si="32"/>
        <v>0</v>
      </c>
      <c r="CX102" s="1">
        <f t="shared" si="33"/>
        <v>0</v>
      </c>
      <c r="CY102" s="43">
        <f t="shared" si="16"/>
        <v>0</v>
      </c>
      <c r="CZ102" s="43">
        <f t="shared" si="17"/>
        <v>0</v>
      </c>
      <c r="DA102" s="43">
        <f t="shared" si="18"/>
        <v>0</v>
      </c>
      <c r="DB102" s="43" t="str">
        <f t="shared" si="19"/>
        <v/>
      </c>
      <c r="DC102" s="50" t="str">
        <f t="shared" si="20"/>
        <v/>
      </c>
      <c r="DD102" s="50" t="str">
        <f t="shared" si="21"/>
        <v/>
      </c>
    </row>
    <row r="103" spans="1:109" ht="37.5" customHeight="1">
      <c r="A103" s="82" t="str">
        <f t="shared" si="22"/>
        <v>月日()</v>
      </c>
      <c r="B103" s="83" t="str">
        <f t="shared" si="23"/>
        <v>時</v>
      </c>
      <c r="C103" s="84" t="str">
        <f t="shared" si="24"/>
        <v>分</v>
      </c>
      <c r="D103" s="83" t="str">
        <f t="shared" si="25"/>
        <v>時</v>
      </c>
      <c r="E103" s="84" t="str">
        <f t="shared" si="26"/>
        <v>分</v>
      </c>
      <c r="F103" s="85" t="str">
        <f t="shared" si="27"/>
        <v xml:space="preserve">
</v>
      </c>
      <c r="L103" s="5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  <c r="AX103" s="17"/>
      <c r="AY103" s="17"/>
      <c r="AZ103" s="17"/>
      <c r="BA103" s="75"/>
      <c r="BB103" s="17"/>
      <c r="BC103" s="17"/>
      <c r="CU103" s="2"/>
      <c r="CV103" s="2"/>
      <c r="CW103" s="1">
        <f t="shared" si="14"/>
        <v>0</v>
      </c>
      <c r="CX103" s="1">
        <f t="shared" si="15"/>
        <v>0</v>
      </c>
      <c r="CY103" s="43">
        <f t="shared" si="16"/>
        <v>0</v>
      </c>
      <c r="CZ103" s="43">
        <f t="shared" si="17"/>
        <v>0</v>
      </c>
      <c r="DA103" s="43">
        <f t="shared" si="18"/>
        <v>0</v>
      </c>
      <c r="DB103" s="43" t="str">
        <f t="shared" si="19"/>
        <v/>
      </c>
      <c r="DC103" s="50" t="str">
        <f t="shared" si="20"/>
        <v/>
      </c>
      <c r="DD103" s="50" t="str">
        <f t="shared" si="21"/>
        <v/>
      </c>
      <c r="DE103" s="45"/>
    </row>
    <row r="104" spans="1:109" ht="37.5" customHeight="1">
      <c r="A104" s="82" t="str">
        <f t="shared" si="22"/>
        <v>月日()</v>
      </c>
      <c r="B104" s="83" t="str">
        <f t="shared" si="23"/>
        <v>時</v>
      </c>
      <c r="C104" s="84" t="str">
        <f t="shared" si="24"/>
        <v>分</v>
      </c>
      <c r="D104" s="83" t="str">
        <f t="shared" si="25"/>
        <v>時</v>
      </c>
      <c r="E104" s="84" t="str">
        <f t="shared" si="26"/>
        <v>分</v>
      </c>
      <c r="F104" s="85" t="str">
        <f t="shared" si="27"/>
        <v xml:space="preserve">
</v>
      </c>
      <c r="L104" s="91"/>
      <c r="M104" s="91"/>
      <c r="N104" s="91"/>
      <c r="O104" s="91"/>
      <c r="P104" s="91"/>
      <c r="Q104" s="91"/>
      <c r="R104" s="91"/>
      <c r="S104" s="91"/>
      <c r="T104" s="91"/>
      <c r="U104" s="91"/>
      <c r="V104" s="91"/>
      <c r="W104" s="91"/>
      <c r="X104" s="91"/>
      <c r="Y104" s="91"/>
      <c r="Z104" s="91"/>
      <c r="AA104" s="91"/>
      <c r="AB104" s="91"/>
      <c r="AC104" s="91"/>
      <c r="AD104" s="91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8"/>
      <c r="BC104" s="18"/>
      <c r="CU104" s="2"/>
      <c r="CV104" s="2"/>
      <c r="CW104" s="1">
        <f t="shared" si="14"/>
        <v>0</v>
      </c>
      <c r="CX104" s="1">
        <f t="shared" si="15"/>
        <v>0</v>
      </c>
      <c r="CY104" s="43">
        <f t="shared" si="16"/>
        <v>0</v>
      </c>
      <c r="CZ104" s="43">
        <f t="shared" si="17"/>
        <v>0</v>
      </c>
      <c r="DA104" s="43">
        <f t="shared" si="18"/>
        <v>0</v>
      </c>
      <c r="DB104" s="43" t="str">
        <f t="shared" si="19"/>
        <v/>
      </c>
      <c r="DC104" s="50" t="str">
        <f t="shared" si="20"/>
        <v/>
      </c>
      <c r="DD104" s="50" t="str">
        <f t="shared" si="21"/>
        <v/>
      </c>
      <c r="DE104" s="45"/>
    </row>
    <row r="105" spans="1:109" ht="37.5" customHeight="1">
      <c r="A105" s="82" t="str">
        <f t="shared" si="22"/>
        <v>月日()</v>
      </c>
      <c r="B105" s="83" t="str">
        <f t="shared" si="23"/>
        <v>時</v>
      </c>
      <c r="C105" s="84" t="str">
        <f t="shared" si="24"/>
        <v>分</v>
      </c>
      <c r="D105" s="83" t="str">
        <f t="shared" si="25"/>
        <v>時</v>
      </c>
      <c r="E105" s="84" t="str">
        <f t="shared" si="26"/>
        <v>分</v>
      </c>
      <c r="F105" s="85" t="str">
        <f t="shared" si="27"/>
        <v xml:space="preserve">
</v>
      </c>
      <c r="L105" s="51"/>
      <c r="M105" s="91"/>
      <c r="N105" s="94"/>
      <c r="O105" s="94"/>
      <c r="P105" s="94"/>
      <c r="Q105" s="91"/>
      <c r="R105" s="117"/>
      <c r="S105" s="117"/>
      <c r="T105" s="117"/>
      <c r="U105" s="117"/>
      <c r="V105" s="117"/>
      <c r="W105" s="117"/>
      <c r="X105" s="117"/>
      <c r="Y105" s="117"/>
      <c r="Z105" s="117"/>
      <c r="AA105" s="117"/>
      <c r="AB105" s="117"/>
      <c r="AC105" s="117"/>
      <c r="AD105" s="117"/>
      <c r="AE105" s="117"/>
      <c r="AF105" s="117"/>
      <c r="AG105" s="117"/>
      <c r="AH105" s="117"/>
      <c r="AI105" s="117"/>
      <c r="AJ105" s="51"/>
      <c r="AK105" s="91"/>
      <c r="AL105" s="94"/>
      <c r="AM105" s="94"/>
      <c r="AN105" s="94"/>
      <c r="AO105" s="94"/>
      <c r="AP105" s="94"/>
      <c r="AQ105" s="91"/>
      <c r="AR105" s="94"/>
      <c r="AS105" s="94"/>
      <c r="AT105" s="94"/>
      <c r="AU105" s="94"/>
      <c r="AV105" s="94"/>
      <c r="AW105" s="94"/>
      <c r="AX105" s="94"/>
      <c r="AY105" s="94"/>
      <c r="AZ105" s="94"/>
      <c r="BA105" s="94"/>
      <c r="BB105" s="94"/>
      <c r="BC105" s="94"/>
      <c r="CU105" s="2"/>
      <c r="CV105" s="2"/>
      <c r="CW105" s="1">
        <f t="shared" si="14"/>
        <v>0</v>
      </c>
      <c r="CX105" s="1">
        <f t="shared" si="15"/>
        <v>0</v>
      </c>
      <c r="CY105" s="43">
        <f t="shared" si="16"/>
        <v>0</v>
      </c>
      <c r="CZ105" s="43">
        <f t="shared" si="17"/>
        <v>0</v>
      </c>
      <c r="DA105" s="43">
        <f t="shared" si="18"/>
        <v>0</v>
      </c>
      <c r="DB105" s="43" t="str">
        <f t="shared" si="19"/>
        <v/>
      </c>
      <c r="DC105" s="50" t="str">
        <f t="shared" si="20"/>
        <v/>
      </c>
      <c r="DD105" s="50" t="str">
        <f t="shared" si="21"/>
        <v/>
      </c>
      <c r="DE105" s="45"/>
    </row>
    <row r="106" spans="1:109" ht="37.5" customHeight="1">
      <c r="A106" s="82" t="str">
        <f t="shared" si="22"/>
        <v>月日()</v>
      </c>
      <c r="B106" s="83" t="str">
        <f t="shared" si="23"/>
        <v>時</v>
      </c>
      <c r="C106" s="84" t="str">
        <f t="shared" si="24"/>
        <v>分</v>
      </c>
      <c r="D106" s="83" t="str">
        <f t="shared" si="25"/>
        <v>時</v>
      </c>
      <c r="E106" s="84" t="str">
        <f t="shared" si="26"/>
        <v>分</v>
      </c>
      <c r="F106" s="85" t="str">
        <f t="shared" si="27"/>
        <v xml:space="preserve">
</v>
      </c>
      <c r="L106" s="41"/>
      <c r="M106" s="94"/>
      <c r="N106" s="94"/>
      <c r="O106" s="94"/>
      <c r="P106" s="94"/>
      <c r="Q106" s="117"/>
      <c r="R106" s="117"/>
      <c r="S106" s="117"/>
      <c r="T106" s="117"/>
      <c r="U106" s="117"/>
      <c r="V106" s="117"/>
      <c r="W106" s="117"/>
      <c r="X106" s="117"/>
      <c r="Y106" s="117"/>
      <c r="Z106" s="117"/>
      <c r="AA106" s="117"/>
      <c r="AB106" s="117"/>
      <c r="AC106" s="117"/>
      <c r="AD106" s="117"/>
      <c r="AE106" s="117"/>
      <c r="AF106" s="117"/>
      <c r="AG106" s="117"/>
      <c r="AH106" s="117"/>
      <c r="AI106" s="117"/>
      <c r="AJ106" s="41"/>
      <c r="AK106" s="94"/>
      <c r="AL106" s="94"/>
      <c r="AM106" s="94"/>
      <c r="AN106" s="94"/>
      <c r="AO106" s="94"/>
      <c r="AP106" s="94"/>
      <c r="AQ106" s="94"/>
      <c r="AR106" s="94"/>
      <c r="AS106" s="94"/>
      <c r="AT106" s="94"/>
      <c r="AU106" s="94"/>
      <c r="AV106" s="94"/>
      <c r="AW106" s="94"/>
      <c r="AX106" s="94"/>
      <c r="AY106" s="94"/>
      <c r="AZ106" s="94"/>
      <c r="BA106" s="94"/>
      <c r="BB106" s="94"/>
      <c r="BC106" s="94"/>
      <c r="CW106" s="1">
        <f t="shared" si="14"/>
        <v>0</v>
      </c>
      <c r="CX106" s="1">
        <f t="shared" si="15"/>
        <v>0</v>
      </c>
      <c r="CY106" s="43">
        <f t="shared" si="16"/>
        <v>0</v>
      </c>
      <c r="CZ106" s="43">
        <f t="shared" si="17"/>
        <v>0</v>
      </c>
      <c r="DA106" s="43">
        <f t="shared" si="18"/>
        <v>0</v>
      </c>
      <c r="DB106" s="43" t="str">
        <f t="shared" si="19"/>
        <v/>
      </c>
      <c r="DC106" s="50" t="str">
        <f t="shared" si="20"/>
        <v/>
      </c>
      <c r="DD106" s="50" t="str">
        <f t="shared" si="21"/>
        <v/>
      </c>
    </row>
    <row r="107" spans="1:109" ht="37.5" customHeight="1">
      <c r="A107" s="82" t="str">
        <f t="shared" si="22"/>
        <v>月日()</v>
      </c>
      <c r="B107" s="83" t="str">
        <f t="shared" si="23"/>
        <v>時</v>
      </c>
      <c r="C107" s="84" t="str">
        <f t="shared" si="24"/>
        <v>分</v>
      </c>
      <c r="D107" s="83" t="str">
        <f t="shared" si="25"/>
        <v>時</v>
      </c>
      <c r="E107" s="84" t="str">
        <f t="shared" si="26"/>
        <v>分</v>
      </c>
      <c r="F107" s="85" t="str">
        <f t="shared" si="27"/>
        <v xml:space="preserve">
</v>
      </c>
      <c r="L107" s="52"/>
      <c r="M107" s="96"/>
      <c r="N107" s="96"/>
      <c r="O107" s="96"/>
      <c r="P107" s="96"/>
      <c r="Q107" s="60"/>
      <c r="R107" s="96"/>
      <c r="S107" s="96"/>
      <c r="T107" s="96"/>
      <c r="U107" s="96"/>
      <c r="V107" s="96"/>
      <c r="W107" s="96"/>
      <c r="X107" s="96"/>
      <c r="Y107" s="96"/>
      <c r="Z107" s="96"/>
      <c r="AA107" s="96"/>
      <c r="AB107" s="96"/>
      <c r="AC107" s="96"/>
      <c r="AD107" s="96"/>
      <c r="AE107" s="96"/>
      <c r="AF107" s="96"/>
      <c r="AG107" s="96"/>
      <c r="AH107" s="96"/>
      <c r="AI107" s="96"/>
      <c r="AJ107" s="96"/>
      <c r="AK107" s="96"/>
      <c r="AL107" s="96"/>
      <c r="AM107" s="96"/>
      <c r="AN107" s="96"/>
      <c r="AO107" s="96"/>
      <c r="AP107" s="96"/>
      <c r="AQ107" s="96"/>
      <c r="AR107" s="96"/>
      <c r="AS107" s="96"/>
      <c r="AT107" s="96"/>
      <c r="AU107" s="96"/>
      <c r="AV107" s="96"/>
      <c r="AW107" s="96"/>
      <c r="AX107" s="96"/>
      <c r="AY107" s="96"/>
      <c r="AZ107" s="96"/>
      <c r="BA107" s="96"/>
      <c r="BB107" s="96"/>
      <c r="BC107" s="96"/>
      <c r="BD107" s="20"/>
      <c r="BE107" s="20"/>
      <c r="BF107" s="20"/>
      <c r="BG107" s="20"/>
      <c r="BH107" s="20"/>
      <c r="CW107" s="1">
        <f t="shared" si="14"/>
        <v>0</v>
      </c>
      <c r="CX107" s="1">
        <f t="shared" si="15"/>
        <v>0</v>
      </c>
      <c r="CY107" s="43">
        <f t="shared" si="16"/>
        <v>0</v>
      </c>
      <c r="CZ107" s="43">
        <f t="shared" si="17"/>
        <v>0</v>
      </c>
      <c r="DA107" s="43">
        <f t="shared" si="18"/>
        <v>0</v>
      </c>
      <c r="DB107" s="43" t="str">
        <f t="shared" si="19"/>
        <v/>
      </c>
      <c r="DC107" s="50" t="str">
        <f t="shared" si="20"/>
        <v/>
      </c>
      <c r="DD107" s="50" t="str">
        <f t="shared" si="21"/>
        <v/>
      </c>
    </row>
    <row r="108" spans="1:109" ht="37.5" customHeight="1">
      <c r="A108" s="82" t="str">
        <f t="shared" si="22"/>
        <v>月日()</v>
      </c>
      <c r="B108" s="83" t="str">
        <f t="shared" si="23"/>
        <v>時</v>
      </c>
      <c r="C108" s="84" t="str">
        <f t="shared" si="24"/>
        <v>分</v>
      </c>
      <c r="D108" s="83" t="str">
        <f t="shared" si="25"/>
        <v>時</v>
      </c>
      <c r="E108" s="84" t="str">
        <f t="shared" si="26"/>
        <v>分</v>
      </c>
      <c r="F108" s="85" t="str">
        <f t="shared" si="27"/>
        <v xml:space="preserve">
</v>
      </c>
      <c r="L108" s="54"/>
      <c r="M108" s="96"/>
      <c r="N108" s="96"/>
      <c r="O108" s="96"/>
      <c r="P108" s="96"/>
      <c r="Q108" s="61"/>
      <c r="R108" s="96"/>
      <c r="S108" s="96"/>
      <c r="T108" s="96"/>
      <c r="U108" s="96"/>
      <c r="V108" s="96"/>
      <c r="W108" s="96"/>
      <c r="X108" s="96"/>
      <c r="Y108" s="96"/>
      <c r="Z108" s="96"/>
      <c r="AA108" s="96"/>
      <c r="AB108" s="96"/>
      <c r="AC108" s="96"/>
      <c r="AD108" s="96"/>
      <c r="AE108" s="96"/>
      <c r="AF108" s="96"/>
      <c r="AG108" s="96"/>
      <c r="AH108" s="96"/>
      <c r="AI108" s="96"/>
      <c r="AJ108" s="96"/>
      <c r="AK108" s="96"/>
      <c r="AL108" s="96"/>
      <c r="AM108" s="96"/>
      <c r="AN108" s="96"/>
      <c r="AO108" s="96"/>
      <c r="AP108" s="96"/>
      <c r="AQ108" s="96"/>
      <c r="AR108" s="96"/>
      <c r="AS108" s="96"/>
      <c r="AT108" s="96"/>
      <c r="AU108" s="96"/>
      <c r="AV108" s="96"/>
      <c r="AW108" s="96"/>
      <c r="AX108" s="96"/>
      <c r="AY108" s="96"/>
      <c r="AZ108" s="96"/>
      <c r="BA108" s="96"/>
      <c r="BB108" s="96"/>
      <c r="BC108" s="96"/>
      <c r="BD108" s="20"/>
      <c r="BE108" s="20"/>
      <c r="BF108" s="20"/>
      <c r="BG108" s="20"/>
      <c r="BH108" s="20"/>
      <c r="CW108" s="1">
        <f t="shared" si="14"/>
        <v>0</v>
      </c>
      <c r="CX108" s="1">
        <f t="shared" si="15"/>
        <v>0</v>
      </c>
      <c r="CY108" s="43">
        <f t="shared" si="16"/>
        <v>0</v>
      </c>
      <c r="CZ108" s="43">
        <f t="shared" si="17"/>
        <v>0</v>
      </c>
      <c r="DA108" s="43">
        <f t="shared" si="18"/>
        <v>0</v>
      </c>
      <c r="DB108" s="43" t="str">
        <f t="shared" si="19"/>
        <v/>
      </c>
      <c r="DC108" s="50" t="str">
        <f t="shared" si="20"/>
        <v/>
      </c>
      <c r="DD108" s="50" t="str">
        <f t="shared" si="21"/>
        <v/>
      </c>
    </row>
    <row r="109" spans="1:109" ht="15" customHeight="1">
      <c r="L109" s="99"/>
      <c r="M109" s="99"/>
      <c r="N109" s="99"/>
      <c r="O109" s="99"/>
      <c r="P109" s="100"/>
      <c r="Q109" s="101"/>
      <c r="R109" s="101"/>
      <c r="S109" s="101"/>
      <c r="T109" s="101"/>
      <c r="U109" s="99"/>
      <c r="V109" s="99"/>
      <c r="W109" s="100"/>
      <c r="X109" s="100"/>
      <c r="Y109" s="99"/>
      <c r="Z109" s="99"/>
      <c r="AA109" s="100"/>
      <c r="AB109" s="100"/>
      <c r="AC109" s="100"/>
      <c r="AD109" s="100"/>
      <c r="AE109" s="99"/>
      <c r="AF109" s="99"/>
      <c r="AG109" s="100"/>
      <c r="AH109" s="100"/>
      <c r="AI109" s="99"/>
      <c r="AJ109" s="99"/>
      <c r="AK109" s="100"/>
      <c r="AL109" s="100"/>
      <c r="AM109" s="101"/>
      <c r="AN109" s="101"/>
      <c r="AO109" s="101"/>
      <c r="AP109" s="101"/>
      <c r="AQ109" s="19"/>
      <c r="AR109" s="19"/>
      <c r="AS109" s="19"/>
      <c r="AT109" s="99"/>
      <c r="AU109" s="99"/>
      <c r="AV109" s="99"/>
      <c r="AW109" s="99"/>
      <c r="AX109" s="100"/>
      <c r="AY109" s="100"/>
      <c r="AZ109" s="100"/>
      <c r="BA109" s="100"/>
      <c r="BB109" s="100"/>
      <c r="BC109" s="100"/>
      <c r="CW109" s="1">
        <f t="shared" si="14"/>
        <v>0</v>
      </c>
      <c r="CX109" s="1">
        <f t="shared" si="15"/>
        <v>0</v>
      </c>
      <c r="CY109" s="43">
        <f t="shared" si="16"/>
        <v>0</v>
      </c>
      <c r="CZ109" s="43">
        <f t="shared" si="17"/>
        <v>0</v>
      </c>
      <c r="DA109" s="43">
        <f t="shared" si="18"/>
        <v>0</v>
      </c>
      <c r="DB109" s="43" t="str">
        <f t="shared" si="19"/>
        <v/>
      </c>
      <c r="DC109" s="50" t="str">
        <f t="shared" si="20"/>
        <v/>
      </c>
      <c r="DD109" s="50" t="str">
        <f t="shared" si="21"/>
        <v/>
      </c>
    </row>
    <row r="110" spans="1:109" ht="14.25" customHeight="1">
      <c r="L110" s="99"/>
      <c r="M110" s="99"/>
      <c r="N110" s="99"/>
      <c r="O110" s="99"/>
      <c r="P110" s="100"/>
      <c r="Q110" s="101"/>
      <c r="R110" s="101"/>
      <c r="S110" s="101"/>
      <c r="T110" s="101"/>
      <c r="U110" s="99"/>
      <c r="V110" s="99"/>
      <c r="W110" s="100"/>
      <c r="X110" s="100"/>
      <c r="Y110" s="99"/>
      <c r="Z110" s="99"/>
      <c r="AA110" s="100"/>
      <c r="AB110" s="100"/>
      <c r="AC110" s="100"/>
      <c r="AD110" s="100"/>
      <c r="AE110" s="99"/>
      <c r="AF110" s="99"/>
      <c r="AG110" s="100"/>
      <c r="AH110" s="100"/>
      <c r="AI110" s="99"/>
      <c r="AJ110" s="99"/>
      <c r="AK110" s="100"/>
      <c r="AL110" s="100"/>
      <c r="AM110" s="101"/>
      <c r="AN110" s="101"/>
      <c r="AO110" s="101"/>
      <c r="AP110" s="101"/>
      <c r="AQ110" s="19"/>
      <c r="AR110" s="19"/>
      <c r="AS110" s="19"/>
      <c r="AT110" s="99"/>
      <c r="AU110" s="99"/>
      <c r="AV110" s="99"/>
      <c r="AW110" s="99"/>
      <c r="AX110" s="100"/>
      <c r="AY110" s="100"/>
      <c r="AZ110" s="100"/>
      <c r="BA110" s="100"/>
      <c r="BB110" s="100"/>
      <c r="BC110" s="100"/>
      <c r="CW110" s="1">
        <f t="shared" si="14"/>
        <v>0</v>
      </c>
      <c r="CX110" s="1">
        <f t="shared" si="15"/>
        <v>0</v>
      </c>
      <c r="CY110" s="43">
        <f t="shared" si="16"/>
        <v>0</v>
      </c>
      <c r="CZ110" s="43">
        <f t="shared" si="17"/>
        <v>0</v>
      </c>
      <c r="DA110" s="43">
        <f t="shared" si="18"/>
        <v>0</v>
      </c>
      <c r="DB110" s="43" t="str">
        <f t="shared" si="19"/>
        <v/>
      </c>
      <c r="DC110" s="50" t="str">
        <f t="shared" si="20"/>
        <v/>
      </c>
      <c r="DD110" s="50" t="str">
        <f t="shared" si="21"/>
        <v/>
      </c>
    </row>
    <row r="111" spans="1:109" ht="14.25" customHeight="1">
      <c r="L111" s="99"/>
      <c r="M111" s="99"/>
      <c r="N111" s="99"/>
      <c r="O111" s="99"/>
      <c r="P111" s="100"/>
      <c r="Q111" s="101"/>
      <c r="R111" s="101"/>
      <c r="S111" s="101"/>
      <c r="T111" s="101"/>
      <c r="U111" s="99"/>
      <c r="V111" s="99"/>
      <c r="W111" s="100"/>
      <c r="X111" s="100"/>
      <c r="Y111" s="99"/>
      <c r="Z111" s="99"/>
      <c r="AA111" s="100"/>
      <c r="AB111" s="100"/>
      <c r="AC111" s="100"/>
      <c r="AD111" s="100"/>
      <c r="AE111" s="99"/>
      <c r="AF111" s="99"/>
      <c r="AG111" s="100"/>
      <c r="AH111" s="100"/>
      <c r="AI111" s="99"/>
      <c r="AJ111" s="99"/>
      <c r="AK111" s="100"/>
      <c r="AL111" s="100"/>
      <c r="AM111" s="101"/>
      <c r="AN111" s="101"/>
      <c r="AO111" s="101"/>
      <c r="AP111" s="101"/>
      <c r="AQ111" s="19"/>
      <c r="AR111" s="19"/>
      <c r="AS111" s="19"/>
      <c r="AT111" s="99"/>
      <c r="AU111" s="99"/>
      <c r="AV111" s="99"/>
      <c r="AW111" s="99"/>
      <c r="AX111" s="100"/>
      <c r="AY111" s="100"/>
      <c r="AZ111" s="100"/>
      <c r="BA111" s="100"/>
      <c r="BB111" s="100"/>
      <c r="BC111" s="100"/>
      <c r="CW111" s="1">
        <f t="shared" si="14"/>
        <v>0</v>
      </c>
      <c r="CX111" s="1">
        <f t="shared" si="15"/>
        <v>0</v>
      </c>
      <c r="CY111" s="43">
        <f t="shared" si="16"/>
        <v>0</v>
      </c>
      <c r="CZ111" s="43">
        <f t="shared" si="17"/>
        <v>0</v>
      </c>
      <c r="DA111" s="43">
        <f t="shared" si="18"/>
        <v>0</v>
      </c>
      <c r="DB111" s="43" t="str">
        <f t="shared" si="19"/>
        <v/>
      </c>
      <c r="DC111" s="50" t="str">
        <f t="shared" si="20"/>
        <v/>
      </c>
      <c r="DD111" s="50" t="str">
        <f t="shared" si="21"/>
        <v/>
      </c>
    </row>
    <row r="112" spans="1:109" ht="14.25" customHeight="1">
      <c r="L112" s="99"/>
      <c r="M112" s="99"/>
      <c r="N112" s="99"/>
      <c r="O112" s="99"/>
      <c r="P112" s="100"/>
      <c r="Q112" s="101"/>
      <c r="R112" s="101"/>
      <c r="S112" s="101"/>
      <c r="T112" s="101"/>
      <c r="U112" s="47"/>
      <c r="V112" s="47"/>
      <c r="W112" s="47"/>
      <c r="X112" s="99"/>
      <c r="Y112" s="99"/>
      <c r="Z112" s="99"/>
      <c r="AA112" s="99"/>
      <c r="AB112" s="100"/>
      <c r="AC112" s="100"/>
      <c r="AD112" s="100"/>
      <c r="AE112" s="99"/>
      <c r="AF112" s="99"/>
      <c r="AG112" s="99"/>
      <c r="AH112" s="99"/>
      <c r="AI112" s="100"/>
      <c r="AJ112" s="100"/>
      <c r="AK112" s="100"/>
      <c r="AL112" s="47"/>
      <c r="AM112" s="101"/>
      <c r="AN112" s="101"/>
      <c r="AO112" s="101"/>
      <c r="AP112" s="101"/>
      <c r="AQ112" s="19"/>
      <c r="AR112" s="19"/>
      <c r="AS112" s="19"/>
      <c r="AT112" s="99"/>
      <c r="AU112" s="99"/>
      <c r="AV112" s="99"/>
      <c r="AW112" s="99"/>
      <c r="AX112" s="100"/>
      <c r="AY112" s="100"/>
      <c r="AZ112" s="100"/>
      <c r="BA112" s="100"/>
      <c r="BB112" s="100"/>
      <c r="BC112" s="100"/>
      <c r="CW112" s="1">
        <f t="shared" si="14"/>
        <v>0</v>
      </c>
      <c r="CX112" s="1">
        <f t="shared" si="15"/>
        <v>0</v>
      </c>
      <c r="CY112" s="43">
        <f t="shared" si="16"/>
        <v>0</v>
      </c>
      <c r="CZ112" s="43">
        <f t="shared" si="17"/>
        <v>0</v>
      </c>
      <c r="DA112" s="43">
        <f t="shared" si="18"/>
        <v>0</v>
      </c>
      <c r="DB112" s="43" t="str">
        <f t="shared" si="19"/>
        <v/>
      </c>
      <c r="DC112" s="50" t="str">
        <f t="shared" si="20"/>
        <v/>
      </c>
      <c r="DD112" s="50" t="str">
        <f t="shared" si="21"/>
        <v/>
      </c>
    </row>
    <row r="113" spans="12:108" ht="14.25" customHeight="1">
      <c r="L113" s="99"/>
      <c r="M113" s="99"/>
      <c r="N113" s="99"/>
      <c r="O113" s="99"/>
      <c r="P113" s="100"/>
      <c r="Q113" s="101"/>
      <c r="R113" s="101"/>
      <c r="S113" s="101"/>
      <c r="T113" s="101"/>
      <c r="U113" s="19"/>
      <c r="V113" s="19"/>
      <c r="W113" s="19"/>
      <c r="X113" s="99"/>
      <c r="Y113" s="99"/>
      <c r="Z113" s="99"/>
      <c r="AA113" s="99"/>
      <c r="AB113" s="100"/>
      <c r="AC113" s="100"/>
      <c r="AD113" s="100"/>
      <c r="AE113" s="99"/>
      <c r="AF113" s="99"/>
      <c r="AG113" s="99"/>
      <c r="AH113" s="99"/>
      <c r="AI113" s="100"/>
      <c r="AJ113" s="100"/>
      <c r="AK113" s="100"/>
      <c r="AL113" s="19"/>
      <c r="AM113" s="101"/>
      <c r="AN113" s="101"/>
      <c r="AO113" s="101"/>
      <c r="AP113" s="101"/>
      <c r="AQ113" s="19"/>
      <c r="AR113" s="19"/>
      <c r="AS113" s="19"/>
      <c r="AT113" s="99"/>
      <c r="AU113" s="99"/>
      <c r="AV113" s="99"/>
      <c r="AW113" s="99"/>
      <c r="AX113" s="100"/>
      <c r="AY113" s="100"/>
      <c r="AZ113" s="100"/>
      <c r="BA113" s="100"/>
      <c r="BB113" s="100"/>
      <c r="BC113" s="100"/>
      <c r="CW113" s="1">
        <f t="shared" si="14"/>
        <v>0</v>
      </c>
      <c r="CX113" s="1">
        <f t="shared" si="15"/>
        <v>0</v>
      </c>
      <c r="CY113" s="43">
        <f t="shared" si="16"/>
        <v>0</v>
      </c>
      <c r="CZ113" s="43">
        <f t="shared" si="17"/>
        <v>0</v>
      </c>
      <c r="DA113" s="43">
        <f t="shared" si="18"/>
        <v>0</v>
      </c>
      <c r="DB113" s="43" t="str">
        <f t="shared" si="19"/>
        <v/>
      </c>
      <c r="DC113" s="50" t="str">
        <f t="shared" si="20"/>
        <v/>
      </c>
      <c r="DD113" s="50" t="str">
        <f t="shared" si="21"/>
        <v/>
      </c>
    </row>
    <row r="114" spans="12:108" ht="14.25" customHeight="1">
      <c r="L114" s="99"/>
      <c r="M114" s="99"/>
      <c r="N114" s="99"/>
      <c r="O114" s="99"/>
      <c r="P114" s="100"/>
      <c r="Q114" s="101"/>
      <c r="R114" s="101"/>
      <c r="S114" s="101"/>
      <c r="T114" s="101"/>
      <c r="U114" s="19"/>
      <c r="V114" s="19"/>
      <c r="W114" s="19"/>
      <c r="X114" s="99"/>
      <c r="Y114" s="99"/>
      <c r="Z114" s="99"/>
      <c r="AA114" s="99"/>
      <c r="AB114" s="100"/>
      <c r="AC114" s="100"/>
      <c r="AD114" s="100"/>
      <c r="AE114" s="99"/>
      <c r="AF114" s="99"/>
      <c r="AG114" s="99"/>
      <c r="AH114" s="99"/>
      <c r="AI114" s="100"/>
      <c r="AJ114" s="100"/>
      <c r="AK114" s="100"/>
      <c r="AL114" s="19"/>
      <c r="AM114" s="101"/>
      <c r="AN114" s="101"/>
      <c r="AO114" s="101"/>
      <c r="AP114" s="101"/>
      <c r="AQ114" s="19"/>
      <c r="AR114" s="19"/>
      <c r="AS114" s="19"/>
      <c r="AT114" s="99"/>
      <c r="AU114" s="99"/>
      <c r="AV114" s="99"/>
      <c r="AW114" s="99"/>
      <c r="AX114" s="100"/>
      <c r="AY114" s="100"/>
      <c r="AZ114" s="100"/>
      <c r="BA114" s="100"/>
      <c r="BB114" s="100"/>
      <c r="BC114" s="100"/>
      <c r="CW114" s="1">
        <f t="shared" si="14"/>
        <v>0</v>
      </c>
      <c r="CX114" s="1">
        <f t="shared" si="15"/>
        <v>0</v>
      </c>
      <c r="CY114" s="43">
        <f t="shared" si="16"/>
        <v>0</v>
      </c>
      <c r="CZ114" s="43">
        <f t="shared" si="17"/>
        <v>0</v>
      </c>
      <c r="DA114" s="43">
        <f t="shared" si="18"/>
        <v>0</v>
      </c>
      <c r="DB114" s="43" t="str">
        <f t="shared" si="19"/>
        <v/>
      </c>
      <c r="DC114" s="50" t="str">
        <f t="shared" si="20"/>
        <v/>
      </c>
      <c r="DD114" s="50" t="str">
        <f t="shared" si="21"/>
        <v/>
      </c>
    </row>
    <row r="115" spans="12:108" ht="30.9" customHeight="1">
      <c r="L115" s="120"/>
      <c r="M115" s="120"/>
      <c r="N115" s="120"/>
      <c r="O115" s="121"/>
      <c r="P115" s="121"/>
      <c r="Q115" s="100"/>
      <c r="R115" s="100"/>
      <c r="S115" s="100"/>
      <c r="T115" s="100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  <c r="AH115" s="122"/>
      <c r="AI115" s="122"/>
      <c r="AJ115" s="122"/>
      <c r="AK115" s="122"/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CW115" s="1">
        <f t="shared" si="14"/>
        <v>0</v>
      </c>
      <c r="CX115" s="1">
        <f t="shared" si="15"/>
        <v>0</v>
      </c>
      <c r="CY115" s="43">
        <f t="shared" si="16"/>
        <v>0</v>
      </c>
      <c r="CZ115" s="43">
        <f t="shared" si="17"/>
        <v>0</v>
      </c>
      <c r="DA115" s="43">
        <f t="shared" si="18"/>
        <v>0</v>
      </c>
      <c r="DB115" s="43" t="str">
        <f t="shared" si="19"/>
        <v/>
      </c>
      <c r="DC115" s="50" t="str">
        <f t="shared" si="20"/>
        <v/>
      </c>
      <c r="DD115" s="50" t="str">
        <f t="shared" si="21"/>
        <v/>
      </c>
    </row>
    <row r="116" spans="12:108" ht="30.9" customHeight="1">
      <c r="L116" s="123"/>
      <c r="M116" s="123"/>
      <c r="O116" s="124"/>
      <c r="P116" s="124"/>
      <c r="Q116" s="100"/>
      <c r="R116" s="100"/>
      <c r="S116" s="100"/>
      <c r="T116" s="100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  <c r="AH116" s="122"/>
      <c r="AI116" s="122"/>
      <c r="AJ116" s="122"/>
      <c r="AK116" s="122"/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CW116" s="1">
        <f t="shared" si="14"/>
        <v>0</v>
      </c>
      <c r="CX116" s="1">
        <f t="shared" si="15"/>
        <v>0</v>
      </c>
      <c r="CY116" s="43">
        <f t="shared" si="16"/>
        <v>0</v>
      </c>
      <c r="CZ116" s="43">
        <f t="shared" si="17"/>
        <v>0</v>
      </c>
      <c r="DA116" s="43">
        <f t="shared" si="18"/>
        <v>0</v>
      </c>
      <c r="DB116" s="43" t="str">
        <f t="shared" si="19"/>
        <v/>
      </c>
      <c r="DC116" s="50" t="str">
        <f t="shared" si="20"/>
        <v/>
      </c>
      <c r="DD116" s="50" t="str">
        <f t="shared" si="21"/>
        <v/>
      </c>
    </row>
    <row r="117" spans="12:108" ht="15" customHeight="1">
      <c r="L117" s="99"/>
      <c r="M117" s="99"/>
      <c r="N117" s="99"/>
      <c r="O117" s="99"/>
      <c r="P117" s="100"/>
      <c r="Q117" s="101"/>
      <c r="R117" s="101"/>
      <c r="S117" s="101"/>
      <c r="T117" s="101"/>
      <c r="U117" s="99"/>
      <c r="V117" s="99"/>
      <c r="W117" s="100"/>
      <c r="X117" s="100"/>
      <c r="Y117" s="99"/>
      <c r="Z117" s="99"/>
      <c r="AA117" s="100"/>
      <c r="AB117" s="100"/>
      <c r="AC117" s="100"/>
      <c r="AD117" s="100"/>
      <c r="AE117" s="99"/>
      <c r="AF117" s="99"/>
      <c r="AG117" s="100"/>
      <c r="AH117" s="100"/>
      <c r="AI117" s="99"/>
      <c r="AJ117" s="99"/>
      <c r="AK117" s="100"/>
      <c r="AL117" s="100"/>
      <c r="AM117" s="101"/>
      <c r="AN117" s="101"/>
      <c r="AO117" s="101"/>
      <c r="AP117" s="101"/>
      <c r="AQ117" s="19"/>
      <c r="AR117" s="19"/>
      <c r="AS117" s="19"/>
      <c r="AT117" s="99"/>
      <c r="AU117" s="99"/>
      <c r="AV117" s="99"/>
      <c r="AW117" s="99"/>
      <c r="AX117" s="100"/>
      <c r="AY117" s="100"/>
      <c r="AZ117" s="100"/>
      <c r="BA117" s="100"/>
      <c r="BB117" s="100"/>
      <c r="BC117" s="100"/>
      <c r="CW117" s="1">
        <f t="shared" ref="CW117:CW124" si="34">CO117-CV117</f>
        <v>0</v>
      </c>
      <c r="CX117" s="1">
        <f t="shared" ref="CX117:CX124" si="35">CQ117-CV117</f>
        <v>0</v>
      </c>
      <c r="CY117" s="43">
        <f t="shared" si="16"/>
        <v>0</v>
      </c>
      <c r="CZ117" s="43">
        <f t="shared" si="17"/>
        <v>0</v>
      </c>
      <c r="DA117" s="43">
        <f t="shared" si="18"/>
        <v>0</v>
      </c>
      <c r="DB117" s="43" t="str">
        <f t="shared" si="19"/>
        <v/>
      </c>
      <c r="DC117" s="50" t="str">
        <f t="shared" si="20"/>
        <v/>
      </c>
      <c r="DD117" s="50" t="str">
        <f t="shared" si="21"/>
        <v/>
      </c>
    </row>
    <row r="118" spans="12:108" ht="14.25" customHeight="1">
      <c r="L118" s="99"/>
      <c r="M118" s="99"/>
      <c r="N118" s="99"/>
      <c r="O118" s="99"/>
      <c r="P118" s="100"/>
      <c r="Q118" s="101"/>
      <c r="R118" s="101"/>
      <c r="S118" s="101"/>
      <c r="T118" s="101"/>
      <c r="U118" s="99"/>
      <c r="V118" s="99"/>
      <c r="W118" s="100"/>
      <c r="X118" s="100"/>
      <c r="Y118" s="99"/>
      <c r="Z118" s="99"/>
      <c r="AA118" s="100"/>
      <c r="AB118" s="100"/>
      <c r="AC118" s="100"/>
      <c r="AD118" s="100"/>
      <c r="AE118" s="99"/>
      <c r="AF118" s="99"/>
      <c r="AG118" s="100"/>
      <c r="AH118" s="100"/>
      <c r="AI118" s="99"/>
      <c r="AJ118" s="99"/>
      <c r="AK118" s="100"/>
      <c r="AL118" s="100"/>
      <c r="AM118" s="101"/>
      <c r="AN118" s="101"/>
      <c r="AO118" s="101"/>
      <c r="AP118" s="101"/>
      <c r="AQ118" s="19"/>
      <c r="AR118" s="19"/>
      <c r="AS118" s="19"/>
      <c r="AT118" s="99"/>
      <c r="AU118" s="99"/>
      <c r="AV118" s="99"/>
      <c r="AW118" s="99"/>
      <c r="AX118" s="100"/>
      <c r="AY118" s="100"/>
      <c r="AZ118" s="100"/>
      <c r="BA118" s="100"/>
      <c r="BB118" s="100"/>
      <c r="BC118" s="100"/>
      <c r="CW118" s="1">
        <f t="shared" si="34"/>
        <v>0</v>
      </c>
      <c r="CX118" s="1">
        <f t="shared" si="35"/>
        <v>0</v>
      </c>
      <c r="CY118" s="43">
        <f t="shared" si="16"/>
        <v>0</v>
      </c>
      <c r="CZ118" s="43">
        <f t="shared" si="17"/>
        <v>0</v>
      </c>
      <c r="DA118" s="43">
        <f t="shared" si="18"/>
        <v>0</v>
      </c>
      <c r="DB118" s="43" t="str">
        <f t="shared" si="19"/>
        <v/>
      </c>
      <c r="DC118" s="50" t="str">
        <f t="shared" si="20"/>
        <v/>
      </c>
      <c r="DD118" s="50" t="str">
        <f t="shared" si="21"/>
        <v/>
      </c>
    </row>
    <row r="119" spans="12:108" ht="14.25" customHeight="1">
      <c r="L119" s="99"/>
      <c r="M119" s="99"/>
      <c r="N119" s="99"/>
      <c r="O119" s="99"/>
      <c r="P119" s="100"/>
      <c r="Q119" s="101"/>
      <c r="R119" s="101"/>
      <c r="S119" s="101"/>
      <c r="T119" s="101"/>
      <c r="U119" s="99"/>
      <c r="V119" s="99"/>
      <c r="W119" s="100"/>
      <c r="X119" s="100"/>
      <c r="Y119" s="99"/>
      <c r="Z119" s="99"/>
      <c r="AA119" s="100"/>
      <c r="AB119" s="100"/>
      <c r="AC119" s="100"/>
      <c r="AD119" s="100"/>
      <c r="AE119" s="99"/>
      <c r="AF119" s="99"/>
      <c r="AG119" s="100"/>
      <c r="AH119" s="100"/>
      <c r="AI119" s="99"/>
      <c r="AJ119" s="99"/>
      <c r="AK119" s="100"/>
      <c r="AL119" s="100"/>
      <c r="AM119" s="101"/>
      <c r="AN119" s="101"/>
      <c r="AO119" s="101"/>
      <c r="AP119" s="101"/>
      <c r="AQ119" s="19"/>
      <c r="AR119" s="19"/>
      <c r="AS119" s="19"/>
      <c r="AT119" s="99"/>
      <c r="AU119" s="99"/>
      <c r="AV119" s="99"/>
      <c r="AW119" s="99"/>
      <c r="AX119" s="100"/>
      <c r="AY119" s="100"/>
      <c r="AZ119" s="100"/>
      <c r="BA119" s="100"/>
      <c r="BB119" s="100"/>
      <c r="BC119" s="100"/>
      <c r="CW119" s="1">
        <f t="shared" si="34"/>
        <v>0</v>
      </c>
      <c r="CX119" s="1">
        <f t="shared" si="35"/>
        <v>0</v>
      </c>
      <c r="CY119" s="43">
        <f t="shared" si="16"/>
        <v>0</v>
      </c>
      <c r="CZ119" s="43">
        <f t="shared" si="17"/>
        <v>0</v>
      </c>
      <c r="DA119" s="43">
        <f t="shared" si="18"/>
        <v>0</v>
      </c>
      <c r="DB119" s="43" t="str">
        <f t="shared" si="19"/>
        <v/>
      </c>
      <c r="DC119" s="50" t="str">
        <f t="shared" si="20"/>
        <v/>
      </c>
      <c r="DD119" s="50" t="str">
        <f t="shared" si="21"/>
        <v/>
      </c>
    </row>
    <row r="120" spans="12:108" ht="14.25" customHeight="1">
      <c r="L120" s="99"/>
      <c r="M120" s="99"/>
      <c r="N120" s="99"/>
      <c r="O120" s="99"/>
      <c r="P120" s="100"/>
      <c r="Q120" s="101"/>
      <c r="R120" s="101"/>
      <c r="S120" s="101"/>
      <c r="T120" s="101"/>
      <c r="U120" s="47"/>
      <c r="V120" s="47"/>
      <c r="W120" s="47"/>
      <c r="X120" s="99"/>
      <c r="Y120" s="99"/>
      <c r="Z120" s="99"/>
      <c r="AA120" s="99"/>
      <c r="AB120" s="100"/>
      <c r="AC120" s="100"/>
      <c r="AD120" s="100"/>
      <c r="AE120" s="99"/>
      <c r="AF120" s="99"/>
      <c r="AG120" s="99"/>
      <c r="AH120" s="99"/>
      <c r="AI120" s="100"/>
      <c r="AJ120" s="100"/>
      <c r="AK120" s="100"/>
      <c r="AL120" s="47"/>
      <c r="AM120" s="101"/>
      <c r="AN120" s="101"/>
      <c r="AO120" s="101"/>
      <c r="AP120" s="101"/>
      <c r="AQ120" s="19"/>
      <c r="AR120" s="19"/>
      <c r="AS120" s="19"/>
      <c r="AT120" s="99"/>
      <c r="AU120" s="99"/>
      <c r="AV120" s="99"/>
      <c r="AW120" s="99"/>
      <c r="AX120" s="100"/>
      <c r="AY120" s="100"/>
      <c r="AZ120" s="100"/>
      <c r="BA120" s="100"/>
      <c r="BB120" s="100"/>
      <c r="BC120" s="100"/>
      <c r="CW120" s="1">
        <f t="shared" si="34"/>
        <v>0</v>
      </c>
      <c r="CX120" s="1">
        <f t="shared" si="35"/>
        <v>0</v>
      </c>
      <c r="CY120" s="43">
        <f t="shared" si="16"/>
        <v>0</v>
      </c>
      <c r="CZ120" s="43">
        <f t="shared" si="17"/>
        <v>0</v>
      </c>
      <c r="DA120" s="43">
        <f t="shared" si="18"/>
        <v>0</v>
      </c>
      <c r="DB120" s="43" t="str">
        <f t="shared" si="19"/>
        <v/>
      </c>
      <c r="DC120" s="50" t="str">
        <f t="shared" si="20"/>
        <v/>
      </c>
      <c r="DD120" s="50" t="str">
        <f t="shared" si="21"/>
        <v/>
      </c>
    </row>
    <row r="121" spans="12:108" ht="14.25" customHeight="1">
      <c r="L121" s="99"/>
      <c r="M121" s="99"/>
      <c r="N121" s="99"/>
      <c r="O121" s="99"/>
      <c r="P121" s="100"/>
      <c r="Q121" s="101"/>
      <c r="R121" s="101"/>
      <c r="S121" s="101"/>
      <c r="T121" s="101"/>
      <c r="U121" s="19"/>
      <c r="V121" s="19"/>
      <c r="W121" s="19"/>
      <c r="X121" s="99"/>
      <c r="Y121" s="99"/>
      <c r="Z121" s="99"/>
      <c r="AA121" s="99"/>
      <c r="AB121" s="100"/>
      <c r="AC121" s="100"/>
      <c r="AD121" s="100"/>
      <c r="AE121" s="99"/>
      <c r="AF121" s="99"/>
      <c r="AG121" s="99"/>
      <c r="AH121" s="99"/>
      <c r="AI121" s="100"/>
      <c r="AJ121" s="100"/>
      <c r="AK121" s="100"/>
      <c r="AL121" s="19"/>
      <c r="AM121" s="101"/>
      <c r="AN121" s="101"/>
      <c r="AO121" s="101"/>
      <c r="AP121" s="101"/>
      <c r="AQ121" s="19"/>
      <c r="AR121" s="19"/>
      <c r="AS121" s="19"/>
      <c r="AT121" s="99"/>
      <c r="AU121" s="99"/>
      <c r="AV121" s="99"/>
      <c r="AW121" s="99"/>
      <c r="AX121" s="100"/>
      <c r="AY121" s="100"/>
      <c r="AZ121" s="100"/>
      <c r="BA121" s="100"/>
      <c r="BB121" s="100"/>
      <c r="BC121" s="100"/>
      <c r="CW121" s="1">
        <f t="shared" si="34"/>
        <v>0</v>
      </c>
      <c r="CX121" s="1">
        <f t="shared" si="35"/>
        <v>0</v>
      </c>
      <c r="CY121" s="43">
        <f t="shared" si="16"/>
        <v>0</v>
      </c>
      <c r="CZ121" s="43">
        <f t="shared" si="17"/>
        <v>0</v>
      </c>
      <c r="DA121" s="43">
        <f t="shared" si="18"/>
        <v>0</v>
      </c>
      <c r="DB121" s="43" t="str">
        <f t="shared" si="19"/>
        <v/>
      </c>
      <c r="DC121" s="50" t="str">
        <f t="shared" si="20"/>
        <v/>
      </c>
      <c r="DD121" s="50" t="str">
        <f t="shared" si="21"/>
        <v/>
      </c>
    </row>
    <row r="122" spans="12:108" ht="14.25" customHeight="1">
      <c r="L122" s="99"/>
      <c r="M122" s="99"/>
      <c r="N122" s="99"/>
      <c r="O122" s="99"/>
      <c r="P122" s="100"/>
      <c r="Q122" s="101"/>
      <c r="R122" s="101"/>
      <c r="S122" s="101"/>
      <c r="T122" s="101"/>
      <c r="U122" s="19"/>
      <c r="V122" s="19"/>
      <c r="W122" s="19"/>
      <c r="X122" s="99"/>
      <c r="Y122" s="99"/>
      <c r="Z122" s="99"/>
      <c r="AA122" s="99"/>
      <c r="AB122" s="100"/>
      <c r="AC122" s="100"/>
      <c r="AD122" s="100"/>
      <c r="AE122" s="99"/>
      <c r="AF122" s="99"/>
      <c r="AG122" s="99"/>
      <c r="AH122" s="99"/>
      <c r="AI122" s="100"/>
      <c r="AJ122" s="100"/>
      <c r="AK122" s="100"/>
      <c r="AL122" s="19"/>
      <c r="AM122" s="101"/>
      <c r="AN122" s="101"/>
      <c r="AO122" s="101"/>
      <c r="AP122" s="101"/>
      <c r="AQ122" s="19"/>
      <c r="AR122" s="19"/>
      <c r="AS122" s="19"/>
      <c r="AT122" s="99"/>
      <c r="AU122" s="99"/>
      <c r="AV122" s="99"/>
      <c r="AW122" s="99"/>
      <c r="AX122" s="100"/>
      <c r="AY122" s="100"/>
      <c r="AZ122" s="100"/>
      <c r="BA122" s="100"/>
      <c r="BB122" s="100"/>
      <c r="BC122" s="100"/>
      <c r="CW122" s="1">
        <f t="shared" si="34"/>
        <v>0</v>
      </c>
      <c r="CX122" s="1">
        <f t="shared" si="35"/>
        <v>0</v>
      </c>
      <c r="CY122" s="43">
        <f t="shared" si="16"/>
        <v>0</v>
      </c>
      <c r="CZ122" s="43">
        <f t="shared" si="17"/>
        <v>0</v>
      </c>
      <c r="DA122" s="43">
        <f t="shared" si="18"/>
        <v>0</v>
      </c>
      <c r="DB122" s="43" t="str">
        <f t="shared" si="19"/>
        <v/>
      </c>
      <c r="DC122" s="50" t="str">
        <f t="shared" si="20"/>
        <v/>
      </c>
      <c r="DD122" s="50" t="str">
        <f t="shared" si="21"/>
        <v/>
      </c>
    </row>
    <row r="123" spans="12:108" ht="30.9" customHeight="1">
      <c r="L123" s="120"/>
      <c r="M123" s="120"/>
      <c r="N123" s="120"/>
      <c r="O123" s="121"/>
      <c r="P123" s="121"/>
      <c r="Q123" s="100"/>
      <c r="R123" s="100"/>
      <c r="S123" s="100"/>
      <c r="T123" s="100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  <c r="AH123" s="122"/>
      <c r="AI123" s="122"/>
      <c r="AJ123" s="122"/>
      <c r="AK123" s="122"/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CW123" s="1">
        <f t="shared" si="34"/>
        <v>0</v>
      </c>
      <c r="CX123" s="1">
        <f t="shared" si="35"/>
        <v>0</v>
      </c>
      <c r="CY123" s="43">
        <f t="shared" si="16"/>
        <v>0</v>
      </c>
      <c r="CZ123" s="43">
        <f t="shared" si="17"/>
        <v>0</v>
      </c>
      <c r="DA123" s="43">
        <f t="shared" si="18"/>
        <v>0</v>
      </c>
      <c r="DB123" s="43" t="str">
        <f t="shared" si="19"/>
        <v/>
      </c>
      <c r="DC123" s="50" t="str">
        <f t="shared" si="20"/>
        <v/>
      </c>
      <c r="DD123" s="50" t="str">
        <f t="shared" si="21"/>
        <v/>
      </c>
    </row>
    <row r="124" spans="12:108" ht="30.9" customHeight="1">
      <c r="L124" s="123"/>
      <c r="M124" s="123"/>
      <c r="O124" s="124"/>
      <c r="P124" s="124"/>
      <c r="Q124" s="100"/>
      <c r="R124" s="100"/>
      <c r="S124" s="100"/>
      <c r="T124" s="100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  <c r="AH124" s="122"/>
      <c r="AI124" s="122"/>
      <c r="AJ124" s="122"/>
      <c r="AK124" s="122"/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CW124" s="1">
        <f t="shared" si="34"/>
        <v>0</v>
      </c>
      <c r="CX124" s="1">
        <f t="shared" si="35"/>
        <v>0</v>
      </c>
      <c r="CY124" s="43">
        <f t="shared" si="16"/>
        <v>0</v>
      </c>
      <c r="CZ124" s="43">
        <f t="shared" si="17"/>
        <v>0</v>
      </c>
      <c r="DA124" s="43">
        <f t="shared" si="18"/>
        <v>0</v>
      </c>
      <c r="DB124" s="43" t="str">
        <f t="shared" si="19"/>
        <v/>
      </c>
      <c r="DC124" s="50" t="str">
        <f t="shared" si="20"/>
        <v/>
      </c>
      <c r="DD124" s="50" t="str">
        <f t="shared" si="21"/>
        <v/>
      </c>
    </row>
    <row r="125" spans="12:108" ht="14.25" customHeight="1">
      <c r="L125" s="99"/>
      <c r="M125" s="99"/>
      <c r="N125" s="99"/>
      <c r="O125" s="99"/>
      <c r="P125" s="100"/>
      <c r="Q125" s="101"/>
      <c r="R125" s="101"/>
      <c r="S125" s="101"/>
      <c r="T125" s="101"/>
      <c r="U125" s="99"/>
      <c r="V125" s="99"/>
      <c r="W125" s="100"/>
      <c r="X125" s="100"/>
      <c r="Y125" s="99"/>
      <c r="Z125" s="99"/>
      <c r="AA125" s="100"/>
      <c r="AB125" s="100"/>
      <c r="AC125" s="100"/>
      <c r="AD125" s="100"/>
      <c r="AE125" s="99"/>
      <c r="AF125" s="99"/>
      <c r="AG125" s="100"/>
      <c r="AH125" s="100"/>
      <c r="AI125" s="99"/>
      <c r="AJ125" s="99"/>
      <c r="AK125" s="100"/>
      <c r="AL125" s="100"/>
      <c r="AM125" s="101"/>
      <c r="AN125" s="101"/>
      <c r="AO125" s="101"/>
      <c r="AP125" s="101"/>
      <c r="AQ125" s="19"/>
      <c r="AR125" s="19"/>
      <c r="AS125" s="19"/>
      <c r="AT125" s="99"/>
      <c r="AU125" s="99"/>
      <c r="AV125" s="99"/>
      <c r="AW125" s="99"/>
      <c r="AX125" s="100"/>
      <c r="AY125" s="100"/>
      <c r="AZ125" s="100"/>
      <c r="BA125" s="100"/>
      <c r="BB125" s="100"/>
      <c r="BC125" s="100"/>
      <c r="CW125" s="1">
        <f t="shared" si="14"/>
        <v>0</v>
      </c>
      <c r="CX125" s="1">
        <f t="shared" si="15"/>
        <v>0</v>
      </c>
      <c r="CY125" s="43">
        <f t="shared" si="16"/>
        <v>0</v>
      </c>
      <c r="CZ125" s="43">
        <f t="shared" si="17"/>
        <v>0</v>
      </c>
      <c r="DA125" s="43">
        <f t="shared" si="18"/>
        <v>0</v>
      </c>
      <c r="DB125" s="43" t="str">
        <f t="shared" si="19"/>
        <v/>
      </c>
      <c r="DC125" s="50" t="str">
        <f t="shared" si="20"/>
        <v/>
      </c>
      <c r="DD125" s="50" t="str">
        <f t="shared" si="21"/>
        <v/>
      </c>
    </row>
    <row r="126" spans="12:108" ht="14.25" customHeight="1">
      <c r="L126" s="99"/>
      <c r="M126" s="99"/>
      <c r="N126" s="99"/>
      <c r="O126" s="99"/>
      <c r="P126" s="100"/>
      <c r="Q126" s="101"/>
      <c r="R126" s="101"/>
      <c r="S126" s="101"/>
      <c r="T126" s="101"/>
      <c r="U126" s="99"/>
      <c r="V126" s="99"/>
      <c r="W126" s="100"/>
      <c r="X126" s="100"/>
      <c r="Y126" s="99"/>
      <c r="Z126" s="99"/>
      <c r="AA126" s="100"/>
      <c r="AB126" s="100"/>
      <c r="AC126" s="100"/>
      <c r="AD126" s="100"/>
      <c r="AE126" s="99"/>
      <c r="AF126" s="99"/>
      <c r="AG126" s="100"/>
      <c r="AH126" s="100"/>
      <c r="AI126" s="99"/>
      <c r="AJ126" s="99"/>
      <c r="AK126" s="100"/>
      <c r="AL126" s="100"/>
      <c r="AM126" s="101"/>
      <c r="AN126" s="101"/>
      <c r="AO126" s="101"/>
      <c r="AP126" s="101"/>
      <c r="AQ126" s="19"/>
      <c r="AR126" s="19"/>
      <c r="AS126" s="19"/>
      <c r="AT126" s="99"/>
      <c r="AU126" s="99"/>
      <c r="AV126" s="99"/>
      <c r="AW126" s="99"/>
      <c r="AX126" s="100"/>
      <c r="AY126" s="100"/>
      <c r="AZ126" s="100"/>
      <c r="BA126" s="100"/>
      <c r="BB126" s="100"/>
      <c r="BC126" s="100"/>
      <c r="CW126" s="1">
        <f t="shared" si="14"/>
        <v>0</v>
      </c>
      <c r="CX126" s="1">
        <f t="shared" si="15"/>
        <v>0</v>
      </c>
      <c r="CY126" s="43">
        <f t="shared" si="16"/>
        <v>0</v>
      </c>
      <c r="CZ126" s="43">
        <f t="shared" si="17"/>
        <v>0</v>
      </c>
      <c r="DA126" s="43">
        <f t="shared" si="18"/>
        <v>0</v>
      </c>
      <c r="DB126" s="43" t="str">
        <f t="shared" si="19"/>
        <v/>
      </c>
      <c r="DC126" s="50" t="str">
        <f t="shared" si="20"/>
        <v/>
      </c>
      <c r="DD126" s="50" t="str">
        <f t="shared" si="21"/>
        <v/>
      </c>
    </row>
    <row r="127" spans="12:108" ht="14.25" customHeight="1">
      <c r="L127" s="99"/>
      <c r="M127" s="99"/>
      <c r="N127" s="99"/>
      <c r="O127" s="99"/>
      <c r="P127" s="100"/>
      <c r="Q127" s="101"/>
      <c r="R127" s="101"/>
      <c r="S127" s="101"/>
      <c r="T127" s="101"/>
      <c r="U127" s="99"/>
      <c r="V127" s="99"/>
      <c r="W127" s="100"/>
      <c r="X127" s="100"/>
      <c r="Y127" s="99"/>
      <c r="Z127" s="99"/>
      <c r="AA127" s="100"/>
      <c r="AB127" s="100"/>
      <c r="AC127" s="100"/>
      <c r="AD127" s="100"/>
      <c r="AE127" s="99"/>
      <c r="AF127" s="99"/>
      <c r="AG127" s="100"/>
      <c r="AH127" s="100"/>
      <c r="AI127" s="99"/>
      <c r="AJ127" s="99"/>
      <c r="AK127" s="100"/>
      <c r="AL127" s="100"/>
      <c r="AM127" s="101"/>
      <c r="AN127" s="101"/>
      <c r="AO127" s="101"/>
      <c r="AP127" s="101"/>
      <c r="AQ127" s="19"/>
      <c r="AR127" s="19"/>
      <c r="AS127" s="19"/>
      <c r="AT127" s="99"/>
      <c r="AU127" s="99"/>
      <c r="AV127" s="99"/>
      <c r="AW127" s="99"/>
      <c r="AX127" s="100"/>
      <c r="AY127" s="100"/>
      <c r="AZ127" s="100"/>
      <c r="BA127" s="100"/>
      <c r="BB127" s="100"/>
      <c r="BC127" s="100"/>
      <c r="CW127" s="1">
        <f t="shared" si="14"/>
        <v>0</v>
      </c>
      <c r="CX127" s="1">
        <f t="shared" si="15"/>
        <v>0</v>
      </c>
      <c r="CY127" s="43">
        <f t="shared" si="16"/>
        <v>0</v>
      </c>
      <c r="CZ127" s="43">
        <f t="shared" si="17"/>
        <v>0</v>
      </c>
      <c r="DA127" s="43">
        <f t="shared" si="18"/>
        <v>0</v>
      </c>
      <c r="DB127" s="43" t="str">
        <f t="shared" si="19"/>
        <v/>
      </c>
      <c r="DC127" s="50" t="str">
        <f t="shared" si="20"/>
        <v/>
      </c>
      <c r="DD127" s="50" t="str">
        <f t="shared" si="21"/>
        <v/>
      </c>
    </row>
    <row r="128" spans="12:108" ht="14.25" customHeight="1">
      <c r="L128" s="99"/>
      <c r="M128" s="99"/>
      <c r="N128" s="99"/>
      <c r="O128" s="99"/>
      <c r="P128" s="100"/>
      <c r="Q128" s="101"/>
      <c r="R128" s="101"/>
      <c r="S128" s="101"/>
      <c r="T128" s="101"/>
      <c r="U128" s="47"/>
      <c r="V128" s="47"/>
      <c r="W128" s="47"/>
      <c r="X128" s="99"/>
      <c r="Y128" s="99"/>
      <c r="Z128" s="99"/>
      <c r="AA128" s="99"/>
      <c r="AB128" s="100"/>
      <c r="AC128" s="100"/>
      <c r="AD128" s="100"/>
      <c r="AE128" s="99"/>
      <c r="AF128" s="99"/>
      <c r="AG128" s="99"/>
      <c r="AH128" s="99"/>
      <c r="AI128" s="100"/>
      <c r="AJ128" s="100"/>
      <c r="AK128" s="100"/>
      <c r="AL128" s="47"/>
      <c r="AM128" s="101"/>
      <c r="AN128" s="101"/>
      <c r="AO128" s="101"/>
      <c r="AP128" s="101"/>
      <c r="AQ128" s="19"/>
      <c r="AR128" s="19"/>
      <c r="AS128" s="19"/>
      <c r="AT128" s="99"/>
      <c r="AU128" s="99"/>
      <c r="AV128" s="99"/>
      <c r="AW128" s="99"/>
      <c r="AX128" s="100"/>
      <c r="AY128" s="100"/>
      <c r="AZ128" s="100"/>
      <c r="BA128" s="100"/>
      <c r="BB128" s="100"/>
      <c r="BC128" s="100"/>
      <c r="CW128" s="1">
        <f t="shared" si="14"/>
        <v>0</v>
      </c>
      <c r="CX128" s="1">
        <f t="shared" si="15"/>
        <v>0</v>
      </c>
      <c r="CY128" s="43">
        <f t="shared" si="16"/>
        <v>0</v>
      </c>
      <c r="CZ128" s="43">
        <f t="shared" si="17"/>
        <v>0</v>
      </c>
      <c r="DA128" s="43">
        <f t="shared" si="18"/>
        <v>0</v>
      </c>
      <c r="DB128" s="43" t="str">
        <f t="shared" si="19"/>
        <v/>
      </c>
      <c r="DC128" s="50" t="str">
        <f t="shared" si="20"/>
        <v/>
      </c>
      <c r="DD128" s="50" t="str">
        <f t="shared" si="21"/>
        <v/>
      </c>
    </row>
    <row r="129" spans="12:108" ht="14.25" customHeight="1">
      <c r="L129" s="99"/>
      <c r="M129" s="99"/>
      <c r="N129" s="99"/>
      <c r="O129" s="99"/>
      <c r="P129" s="100"/>
      <c r="Q129" s="101"/>
      <c r="R129" s="101"/>
      <c r="S129" s="101"/>
      <c r="T129" s="101"/>
      <c r="U129" s="19"/>
      <c r="V129" s="19"/>
      <c r="W129" s="19"/>
      <c r="X129" s="99"/>
      <c r="Y129" s="99"/>
      <c r="Z129" s="99"/>
      <c r="AA129" s="99"/>
      <c r="AB129" s="100"/>
      <c r="AC129" s="100"/>
      <c r="AD129" s="100"/>
      <c r="AE129" s="99"/>
      <c r="AF129" s="99"/>
      <c r="AG129" s="99"/>
      <c r="AH129" s="99"/>
      <c r="AI129" s="100"/>
      <c r="AJ129" s="100"/>
      <c r="AK129" s="100"/>
      <c r="AL129" s="19"/>
      <c r="AM129" s="101"/>
      <c r="AN129" s="101"/>
      <c r="AO129" s="101"/>
      <c r="AP129" s="101"/>
      <c r="AQ129" s="19"/>
      <c r="AR129" s="19"/>
      <c r="AS129" s="19"/>
      <c r="AT129" s="99"/>
      <c r="AU129" s="99"/>
      <c r="AV129" s="99"/>
      <c r="AW129" s="99"/>
      <c r="AX129" s="100"/>
      <c r="AY129" s="100"/>
      <c r="AZ129" s="100"/>
      <c r="BA129" s="100"/>
      <c r="BB129" s="100"/>
      <c r="BC129" s="100"/>
      <c r="CW129" s="1">
        <f t="shared" si="14"/>
        <v>0</v>
      </c>
      <c r="CX129" s="1">
        <f t="shared" si="15"/>
        <v>0</v>
      </c>
      <c r="CY129" s="43">
        <f t="shared" si="16"/>
        <v>0</v>
      </c>
      <c r="CZ129" s="43">
        <f t="shared" si="17"/>
        <v>0</v>
      </c>
      <c r="DA129" s="43">
        <f t="shared" si="18"/>
        <v>0</v>
      </c>
      <c r="DB129" s="43" t="str">
        <f t="shared" si="19"/>
        <v/>
      </c>
      <c r="DC129" s="50" t="str">
        <f t="shared" si="20"/>
        <v/>
      </c>
      <c r="DD129" s="50" t="str">
        <f t="shared" si="21"/>
        <v/>
      </c>
    </row>
    <row r="130" spans="12:108" ht="14.25" customHeight="1">
      <c r="L130" s="99"/>
      <c r="M130" s="99"/>
      <c r="N130" s="99"/>
      <c r="O130" s="99"/>
      <c r="P130" s="100"/>
      <c r="Q130" s="101"/>
      <c r="R130" s="101"/>
      <c r="S130" s="101"/>
      <c r="T130" s="101"/>
      <c r="U130" s="19"/>
      <c r="V130" s="19"/>
      <c r="W130" s="19"/>
      <c r="X130" s="99"/>
      <c r="Y130" s="99"/>
      <c r="Z130" s="99"/>
      <c r="AA130" s="99"/>
      <c r="AB130" s="100"/>
      <c r="AC130" s="100"/>
      <c r="AD130" s="100"/>
      <c r="AE130" s="99"/>
      <c r="AF130" s="99"/>
      <c r="AG130" s="99"/>
      <c r="AH130" s="99"/>
      <c r="AI130" s="100"/>
      <c r="AJ130" s="100"/>
      <c r="AK130" s="100"/>
      <c r="AL130" s="19"/>
      <c r="AM130" s="101"/>
      <c r="AN130" s="101"/>
      <c r="AO130" s="101"/>
      <c r="AP130" s="101"/>
      <c r="AQ130" s="19"/>
      <c r="AR130" s="19"/>
      <c r="AS130" s="19"/>
      <c r="AT130" s="99"/>
      <c r="AU130" s="99"/>
      <c r="AV130" s="99"/>
      <c r="AW130" s="99"/>
      <c r="AX130" s="100"/>
      <c r="AY130" s="100"/>
      <c r="AZ130" s="100"/>
      <c r="BA130" s="100"/>
      <c r="BB130" s="100"/>
      <c r="BC130" s="100"/>
      <c r="CW130" s="1">
        <f t="shared" si="14"/>
        <v>0</v>
      </c>
      <c r="CX130" s="1">
        <f t="shared" si="15"/>
        <v>0</v>
      </c>
      <c r="CY130" s="43">
        <f t="shared" si="16"/>
        <v>0</v>
      </c>
      <c r="CZ130" s="43">
        <f t="shared" si="17"/>
        <v>0</v>
      </c>
      <c r="DA130" s="43">
        <f t="shared" si="18"/>
        <v>0</v>
      </c>
      <c r="DB130" s="43" t="str">
        <f t="shared" si="19"/>
        <v/>
      </c>
      <c r="DC130" s="50" t="str">
        <f t="shared" si="20"/>
        <v/>
      </c>
      <c r="DD130" s="50" t="str">
        <f t="shared" si="21"/>
        <v/>
      </c>
    </row>
    <row r="131" spans="12:108" ht="30.9" customHeight="1">
      <c r="L131" s="120"/>
      <c r="M131" s="120"/>
      <c r="N131" s="120"/>
      <c r="O131" s="121"/>
      <c r="P131" s="121"/>
      <c r="Q131" s="100"/>
      <c r="R131" s="100"/>
      <c r="S131" s="100"/>
      <c r="T131" s="100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  <c r="AH131" s="122"/>
      <c r="AI131" s="122"/>
      <c r="AJ131" s="122"/>
      <c r="AK131" s="122"/>
      <c r="AL131" s="122"/>
      <c r="AM131" s="122"/>
      <c r="AN131" s="122"/>
      <c r="AO131" s="122"/>
      <c r="AP131" s="122"/>
      <c r="AQ131" s="122"/>
      <c r="AR131" s="122"/>
      <c r="AS131" s="122"/>
      <c r="AT131" s="122"/>
      <c r="AU131" s="122"/>
      <c r="AV131" s="122"/>
      <c r="AW131" s="122"/>
      <c r="AX131" s="122"/>
      <c r="AY131" s="122"/>
      <c r="AZ131" s="122"/>
      <c r="BA131" s="122"/>
      <c r="BB131" s="122"/>
      <c r="BC131" s="122"/>
      <c r="CW131" s="1">
        <f t="shared" ref="CW131:CW194" si="36">CO131-CV131</f>
        <v>0</v>
      </c>
      <c r="CX131" s="1">
        <f t="shared" ref="CX131:CX194" si="37">CQ131-CV131</f>
        <v>0</v>
      </c>
      <c r="CY131" s="43">
        <f t="shared" ref="CY131:CY194" si="38">IF(CW131&gt;=0,(CN131-CU131),(CN131-CU131)-1)</f>
        <v>0</v>
      </c>
      <c r="CZ131" s="43">
        <f t="shared" ref="CZ131:CZ194" si="39">IF(CW131&gt;=0,CW131,(60+CW131))</f>
        <v>0</v>
      </c>
      <c r="DA131" s="43">
        <f t="shared" ref="DA131:DA194" si="40">IF(CZ131=30,(CY131+0.5),CY131)</f>
        <v>0</v>
      </c>
      <c r="DB131" s="43" t="str">
        <f t="shared" ref="DB131:DB194" si="41">IF(AND(DA131&gt;=3,DA131&lt;8),DA131,"")</f>
        <v/>
      </c>
      <c r="DC131" s="50" t="str">
        <f t="shared" ref="DC131:DC194" si="42">IF(DA131=8,1,"")</f>
        <v/>
      </c>
      <c r="DD131" s="50" t="str">
        <f t="shared" ref="DD131:DD194" si="43">IF(DB131="","",0.5)</f>
        <v/>
      </c>
    </row>
    <row r="132" spans="12:108" ht="30.9" customHeight="1">
      <c r="L132" s="123"/>
      <c r="M132" s="123"/>
      <c r="O132" s="124"/>
      <c r="P132" s="124"/>
      <c r="Q132" s="100"/>
      <c r="R132" s="100"/>
      <c r="S132" s="100"/>
      <c r="T132" s="100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  <c r="AH132" s="122"/>
      <c r="AI132" s="122"/>
      <c r="AJ132" s="122"/>
      <c r="AK132" s="122"/>
      <c r="AL132" s="122"/>
      <c r="AM132" s="122"/>
      <c r="AN132" s="122"/>
      <c r="AO132" s="122"/>
      <c r="AP132" s="122"/>
      <c r="AQ132" s="122"/>
      <c r="AR132" s="122"/>
      <c r="AS132" s="122"/>
      <c r="AT132" s="122"/>
      <c r="AU132" s="122"/>
      <c r="AV132" s="122"/>
      <c r="AW132" s="122"/>
      <c r="AX132" s="122"/>
      <c r="AY132" s="122"/>
      <c r="AZ132" s="122"/>
      <c r="BA132" s="122"/>
      <c r="BB132" s="122"/>
      <c r="BC132" s="122"/>
      <c r="CW132" s="1">
        <f t="shared" si="36"/>
        <v>0</v>
      </c>
      <c r="CX132" s="1">
        <f t="shared" si="37"/>
        <v>0</v>
      </c>
      <c r="CY132" s="43">
        <f t="shared" si="38"/>
        <v>0</v>
      </c>
      <c r="CZ132" s="43">
        <f t="shared" si="39"/>
        <v>0</v>
      </c>
      <c r="DA132" s="43">
        <f t="shared" si="40"/>
        <v>0</v>
      </c>
      <c r="DB132" s="43" t="str">
        <f t="shared" si="41"/>
        <v/>
      </c>
      <c r="DC132" s="50" t="str">
        <f t="shared" si="42"/>
        <v/>
      </c>
      <c r="DD132" s="50" t="str">
        <f t="shared" si="43"/>
        <v/>
      </c>
    </row>
    <row r="133" spans="12:108" ht="14.25" customHeight="1">
      <c r="L133" s="99"/>
      <c r="M133" s="99"/>
      <c r="N133" s="99"/>
      <c r="O133" s="99"/>
      <c r="P133" s="100"/>
      <c r="Q133" s="101"/>
      <c r="R133" s="101"/>
      <c r="S133" s="101"/>
      <c r="T133" s="101"/>
      <c r="U133" s="99"/>
      <c r="V133" s="99"/>
      <c r="W133" s="100"/>
      <c r="X133" s="100"/>
      <c r="Y133" s="99"/>
      <c r="Z133" s="99"/>
      <c r="AA133" s="100"/>
      <c r="AB133" s="100"/>
      <c r="AC133" s="100"/>
      <c r="AD133" s="100"/>
      <c r="AE133" s="99"/>
      <c r="AF133" s="99"/>
      <c r="AG133" s="100"/>
      <c r="AH133" s="100"/>
      <c r="AI133" s="99"/>
      <c r="AJ133" s="99"/>
      <c r="AK133" s="100"/>
      <c r="AL133" s="100"/>
      <c r="AM133" s="101"/>
      <c r="AN133" s="101"/>
      <c r="AO133" s="101"/>
      <c r="AP133" s="101"/>
      <c r="AQ133" s="19"/>
      <c r="AR133" s="19"/>
      <c r="AS133" s="19"/>
      <c r="AT133" s="99"/>
      <c r="AU133" s="99"/>
      <c r="AV133" s="99"/>
      <c r="AW133" s="99"/>
      <c r="AX133" s="100"/>
      <c r="AY133" s="100"/>
      <c r="AZ133" s="100"/>
      <c r="BA133" s="100"/>
      <c r="BB133" s="100"/>
      <c r="BC133" s="100"/>
      <c r="CW133" s="1">
        <f t="shared" si="36"/>
        <v>0</v>
      </c>
      <c r="CX133" s="1">
        <f t="shared" si="37"/>
        <v>0</v>
      </c>
      <c r="CY133" s="43">
        <f t="shared" si="38"/>
        <v>0</v>
      </c>
      <c r="CZ133" s="43">
        <f t="shared" si="39"/>
        <v>0</v>
      </c>
      <c r="DA133" s="43">
        <f t="shared" si="40"/>
        <v>0</v>
      </c>
      <c r="DB133" s="43" t="str">
        <f t="shared" si="41"/>
        <v/>
      </c>
      <c r="DC133" s="50" t="str">
        <f t="shared" si="42"/>
        <v/>
      </c>
      <c r="DD133" s="50" t="str">
        <f t="shared" si="43"/>
        <v/>
      </c>
    </row>
    <row r="134" spans="12:108" ht="14.25" customHeight="1">
      <c r="L134" s="99"/>
      <c r="M134" s="99"/>
      <c r="N134" s="99"/>
      <c r="O134" s="99"/>
      <c r="P134" s="100"/>
      <c r="Q134" s="101"/>
      <c r="R134" s="101"/>
      <c r="S134" s="101"/>
      <c r="T134" s="101"/>
      <c r="U134" s="99"/>
      <c r="V134" s="99"/>
      <c r="W134" s="100"/>
      <c r="X134" s="100"/>
      <c r="Y134" s="99"/>
      <c r="Z134" s="99"/>
      <c r="AA134" s="100"/>
      <c r="AB134" s="100"/>
      <c r="AC134" s="100"/>
      <c r="AD134" s="100"/>
      <c r="AE134" s="99"/>
      <c r="AF134" s="99"/>
      <c r="AG134" s="100"/>
      <c r="AH134" s="100"/>
      <c r="AI134" s="99"/>
      <c r="AJ134" s="99"/>
      <c r="AK134" s="100"/>
      <c r="AL134" s="100"/>
      <c r="AM134" s="101"/>
      <c r="AN134" s="101"/>
      <c r="AO134" s="101"/>
      <c r="AP134" s="101"/>
      <c r="AQ134" s="19"/>
      <c r="AR134" s="19"/>
      <c r="AS134" s="19"/>
      <c r="AT134" s="99"/>
      <c r="AU134" s="99"/>
      <c r="AV134" s="99"/>
      <c r="AW134" s="99"/>
      <c r="AX134" s="100"/>
      <c r="AY134" s="100"/>
      <c r="AZ134" s="100"/>
      <c r="BA134" s="100"/>
      <c r="BB134" s="100"/>
      <c r="BC134" s="100"/>
      <c r="CW134" s="1">
        <f t="shared" si="36"/>
        <v>0</v>
      </c>
      <c r="CX134" s="1">
        <f t="shared" si="37"/>
        <v>0</v>
      </c>
      <c r="CY134" s="43">
        <f t="shared" si="38"/>
        <v>0</v>
      </c>
      <c r="CZ134" s="43">
        <f t="shared" si="39"/>
        <v>0</v>
      </c>
      <c r="DA134" s="43">
        <f t="shared" si="40"/>
        <v>0</v>
      </c>
      <c r="DB134" s="43" t="str">
        <f t="shared" si="41"/>
        <v/>
      </c>
      <c r="DC134" s="50" t="str">
        <f t="shared" si="42"/>
        <v/>
      </c>
      <c r="DD134" s="50" t="str">
        <f t="shared" si="43"/>
        <v/>
      </c>
    </row>
    <row r="135" spans="12:108" ht="14.25" customHeight="1">
      <c r="L135" s="99"/>
      <c r="M135" s="99"/>
      <c r="N135" s="99"/>
      <c r="O135" s="99"/>
      <c r="P135" s="100"/>
      <c r="Q135" s="101"/>
      <c r="R135" s="101"/>
      <c r="S135" s="101"/>
      <c r="T135" s="101"/>
      <c r="U135" s="99"/>
      <c r="V135" s="99"/>
      <c r="W135" s="100"/>
      <c r="X135" s="100"/>
      <c r="Y135" s="99"/>
      <c r="Z135" s="99"/>
      <c r="AA135" s="100"/>
      <c r="AB135" s="100"/>
      <c r="AC135" s="100"/>
      <c r="AD135" s="100"/>
      <c r="AE135" s="99"/>
      <c r="AF135" s="99"/>
      <c r="AG135" s="100"/>
      <c r="AH135" s="100"/>
      <c r="AI135" s="99"/>
      <c r="AJ135" s="99"/>
      <c r="AK135" s="100"/>
      <c r="AL135" s="100"/>
      <c r="AM135" s="101"/>
      <c r="AN135" s="101"/>
      <c r="AO135" s="101"/>
      <c r="AP135" s="101"/>
      <c r="AQ135" s="19"/>
      <c r="AR135" s="19"/>
      <c r="AS135" s="19"/>
      <c r="AT135" s="99"/>
      <c r="AU135" s="99"/>
      <c r="AV135" s="99"/>
      <c r="AW135" s="99"/>
      <c r="AX135" s="100"/>
      <c r="AY135" s="100"/>
      <c r="AZ135" s="100"/>
      <c r="BA135" s="100"/>
      <c r="BB135" s="100"/>
      <c r="BC135" s="100"/>
      <c r="CW135" s="1">
        <f t="shared" si="36"/>
        <v>0</v>
      </c>
      <c r="CX135" s="1">
        <f t="shared" si="37"/>
        <v>0</v>
      </c>
      <c r="CY135" s="43">
        <f t="shared" si="38"/>
        <v>0</v>
      </c>
      <c r="CZ135" s="43">
        <f t="shared" si="39"/>
        <v>0</v>
      </c>
      <c r="DA135" s="43">
        <f t="shared" si="40"/>
        <v>0</v>
      </c>
      <c r="DB135" s="43" t="str">
        <f t="shared" si="41"/>
        <v/>
      </c>
      <c r="DC135" s="50" t="str">
        <f t="shared" si="42"/>
        <v/>
      </c>
      <c r="DD135" s="50" t="str">
        <f t="shared" si="43"/>
        <v/>
      </c>
    </row>
    <row r="136" spans="12:108" ht="14.25" customHeight="1">
      <c r="L136" s="99"/>
      <c r="M136" s="99"/>
      <c r="N136" s="99"/>
      <c r="O136" s="99"/>
      <c r="P136" s="100"/>
      <c r="Q136" s="101"/>
      <c r="R136" s="101"/>
      <c r="S136" s="101"/>
      <c r="T136" s="101"/>
      <c r="U136" s="47"/>
      <c r="V136" s="47"/>
      <c r="W136" s="47"/>
      <c r="X136" s="99"/>
      <c r="Y136" s="99"/>
      <c r="Z136" s="99"/>
      <c r="AA136" s="99"/>
      <c r="AB136" s="100"/>
      <c r="AC136" s="100"/>
      <c r="AD136" s="100"/>
      <c r="AE136" s="99"/>
      <c r="AF136" s="99"/>
      <c r="AG136" s="99"/>
      <c r="AH136" s="99"/>
      <c r="AI136" s="100"/>
      <c r="AJ136" s="100"/>
      <c r="AK136" s="100"/>
      <c r="AL136" s="47"/>
      <c r="AM136" s="101"/>
      <c r="AN136" s="101"/>
      <c r="AO136" s="101"/>
      <c r="AP136" s="101"/>
      <c r="AQ136" s="19"/>
      <c r="AR136" s="19"/>
      <c r="AS136" s="19"/>
      <c r="AT136" s="99"/>
      <c r="AU136" s="99"/>
      <c r="AV136" s="99"/>
      <c r="AW136" s="99"/>
      <c r="AX136" s="100"/>
      <c r="AY136" s="100"/>
      <c r="AZ136" s="100"/>
      <c r="BA136" s="100"/>
      <c r="BB136" s="100"/>
      <c r="BC136" s="100"/>
      <c r="CW136" s="1">
        <f t="shared" si="36"/>
        <v>0</v>
      </c>
      <c r="CX136" s="1">
        <f t="shared" si="37"/>
        <v>0</v>
      </c>
      <c r="CY136" s="43">
        <f t="shared" si="38"/>
        <v>0</v>
      </c>
      <c r="CZ136" s="43">
        <f t="shared" si="39"/>
        <v>0</v>
      </c>
      <c r="DA136" s="43">
        <f t="shared" si="40"/>
        <v>0</v>
      </c>
      <c r="DB136" s="43" t="str">
        <f t="shared" si="41"/>
        <v/>
      </c>
      <c r="DC136" s="50" t="str">
        <f t="shared" si="42"/>
        <v/>
      </c>
      <c r="DD136" s="50" t="str">
        <f t="shared" si="43"/>
        <v/>
      </c>
    </row>
    <row r="137" spans="12:108" ht="14.25" customHeight="1">
      <c r="L137" s="99"/>
      <c r="M137" s="99"/>
      <c r="N137" s="99"/>
      <c r="O137" s="99"/>
      <c r="P137" s="100"/>
      <c r="Q137" s="101"/>
      <c r="R137" s="101"/>
      <c r="S137" s="101"/>
      <c r="T137" s="101"/>
      <c r="U137" s="19"/>
      <c r="V137" s="19"/>
      <c r="W137" s="19"/>
      <c r="X137" s="99"/>
      <c r="Y137" s="99"/>
      <c r="Z137" s="99"/>
      <c r="AA137" s="99"/>
      <c r="AB137" s="100"/>
      <c r="AC137" s="100"/>
      <c r="AD137" s="100"/>
      <c r="AE137" s="99"/>
      <c r="AF137" s="99"/>
      <c r="AG137" s="99"/>
      <c r="AH137" s="99"/>
      <c r="AI137" s="100"/>
      <c r="AJ137" s="100"/>
      <c r="AK137" s="100"/>
      <c r="AL137" s="19"/>
      <c r="AM137" s="101"/>
      <c r="AN137" s="101"/>
      <c r="AO137" s="101"/>
      <c r="AP137" s="101"/>
      <c r="AQ137" s="19"/>
      <c r="AR137" s="19"/>
      <c r="AS137" s="19"/>
      <c r="AT137" s="99"/>
      <c r="AU137" s="99"/>
      <c r="AV137" s="99"/>
      <c r="AW137" s="99"/>
      <c r="AX137" s="100"/>
      <c r="AY137" s="100"/>
      <c r="AZ137" s="100"/>
      <c r="BA137" s="100"/>
      <c r="BB137" s="100"/>
      <c r="BC137" s="100"/>
      <c r="CW137" s="1">
        <f t="shared" si="36"/>
        <v>0</v>
      </c>
      <c r="CX137" s="1">
        <f t="shared" si="37"/>
        <v>0</v>
      </c>
      <c r="CY137" s="43">
        <f t="shared" si="38"/>
        <v>0</v>
      </c>
      <c r="CZ137" s="43">
        <f t="shared" si="39"/>
        <v>0</v>
      </c>
      <c r="DA137" s="43">
        <f t="shared" si="40"/>
        <v>0</v>
      </c>
      <c r="DB137" s="43" t="str">
        <f t="shared" si="41"/>
        <v/>
      </c>
      <c r="DC137" s="50" t="str">
        <f t="shared" si="42"/>
        <v/>
      </c>
      <c r="DD137" s="50" t="str">
        <f t="shared" si="43"/>
        <v/>
      </c>
    </row>
    <row r="138" spans="12:108" ht="14.25" customHeight="1">
      <c r="L138" s="99"/>
      <c r="M138" s="99"/>
      <c r="N138" s="99"/>
      <c r="O138" s="99"/>
      <c r="P138" s="100"/>
      <c r="Q138" s="101"/>
      <c r="R138" s="101"/>
      <c r="S138" s="101"/>
      <c r="T138" s="101"/>
      <c r="U138" s="19"/>
      <c r="V138" s="19"/>
      <c r="W138" s="19"/>
      <c r="X138" s="99"/>
      <c r="Y138" s="99"/>
      <c r="Z138" s="99"/>
      <c r="AA138" s="99"/>
      <c r="AB138" s="100"/>
      <c r="AC138" s="100"/>
      <c r="AD138" s="100"/>
      <c r="AE138" s="99"/>
      <c r="AF138" s="99"/>
      <c r="AG138" s="99"/>
      <c r="AH138" s="99"/>
      <c r="AI138" s="100"/>
      <c r="AJ138" s="100"/>
      <c r="AK138" s="100"/>
      <c r="AL138" s="19"/>
      <c r="AM138" s="101"/>
      <c r="AN138" s="101"/>
      <c r="AO138" s="101"/>
      <c r="AP138" s="101"/>
      <c r="AQ138" s="19"/>
      <c r="AR138" s="19"/>
      <c r="AS138" s="19"/>
      <c r="AT138" s="99"/>
      <c r="AU138" s="99"/>
      <c r="AV138" s="99"/>
      <c r="AW138" s="99"/>
      <c r="AX138" s="100"/>
      <c r="AY138" s="100"/>
      <c r="AZ138" s="100"/>
      <c r="BA138" s="100"/>
      <c r="BB138" s="100"/>
      <c r="BC138" s="100"/>
      <c r="CW138" s="1">
        <f t="shared" si="36"/>
        <v>0</v>
      </c>
      <c r="CX138" s="1">
        <f t="shared" si="37"/>
        <v>0</v>
      </c>
      <c r="CY138" s="43">
        <f t="shared" si="38"/>
        <v>0</v>
      </c>
      <c r="CZ138" s="43">
        <f t="shared" si="39"/>
        <v>0</v>
      </c>
      <c r="DA138" s="43">
        <f t="shared" si="40"/>
        <v>0</v>
      </c>
      <c r="DB138" s="43" t="str">
        <f t="shared" si="41"/>
        <v/>
      </c>
      <c r="DC138" s="50" t="str">
        <f t="shared" si="42"/>
        <v/>
      </c>
      <c r="DD138" s="50" t="str">
        <f t="shared" si="43"/>
        <v/>
      </c>
    </row>
    <row r="139" spans="12:108" ht="30.9" customHeight="1">
      <c r="L139" s="120"/>
      <c r="M139" s="120"/>
      <c r="N139" s="120"/>
      <c r="O139" s="121"/>
      <c r="P139" s="121"/>
      <c r="Q139" s="100"/>
      <c r="R139" s="100"/>
      <c r="S139" s="100"/>
      <c r="T139" s="100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  <c r="AH139" s="122"/>
      <c r="AI139" s="122"/>
      <c r="AJ139" s="122"/>
      <c r="AK139" s="122"/>
      <c r="AL139" s="122"/>
      <c r="AM139" s="122"/>
      <c r="AN139" s="122"/>
      <c r="AO139" s="122"/>
      <c r="AP139" s="122"/>
      <c r="AQ139" s="122"/>
      <c r="AR139" s="122"/>
      <c r="AS139" s="122"/>
      <c r="AT139" s="122"/>
      <c r="AU139" s="122"/>
      <c r="AV139" s="122"/>
      <c r="AW139" s="122"/>
      <c r="AX139" s="122"/>
      <c r="AY139" s="122"/>
      <c r="AZ139" s="122"/>
      <c r="BA139" s="122"/>
      <c r="BB139" s="122"/>
      <c r="BC139" s="122"/>
      <c r="CW139" s="1">
        <f t="shared" si="36"/>
        <v>0</v>
      </c>
      <c r="CX139" s="1">
        <f t="shared" si="37"/>
        <v>0</v>
      </c>
      <c r="CY139" s="43">
        <f t="shared" si="38"/>
        <v>0</v>
      </c>
      <c r="CZ139" s="43">
        <f t="shared" si="39"/>
        <v>0</v>
      </c>
      <c r="DA139" s="43">
        <f t="shared" si="40"/>
        <v>0</v>
      </c>
      <c r="DB139" s="43" t="str">
        <f t="shared" si="41"/>
        <v/>
      </c>
      <c r="DC139" s="50" t="str">
        <f t="shared" si="42"/>
        <v/>
      </c>
      <c r="DD139" s="50" t="str">
        <f t="shared" si="43"/>
        <v/>
      </c>
    </row>
    <row r="140" spans="12:108" ht="30.9" customHeight="1">
      <c r="L140" s="123"/>
      <c r="M140" s="123"/>
      <c r="O140" s="124"/>
      <c r="P140" s="124"/>
      <c r="Q140" s="100"/>
      <c r="R140" s="100"/>
      <c r="S140" s="100"/>
      <c r="T140" s="100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  <c r="AH140" s="122"/>
      <c r="AI140" s="122"/>
      <c r="AJ140" s="122"/>
      <c r="AK140" s="122"/>
      <c r="AL140" s="122"/>
      <c r="AM140" s="122"/>
      <c r="AN140" s="122"/>
      <c r="AO140" s="122"/>
      <c r="AP140" s="122"/>
      <c r="AQ140" s="122"/>
      <c r="AR140" s="122"/>
      <c r="AS140" s="122"/>
      <c r="AT140" s="122"/>
      <c r="AU140" s="122"/>
      <c r="AV140" s="122"/>
      <c r="AW140" s="122"/>
      <c r="AX140" s="122"/>
      <c r="AY140" s="122"/>
      <c r="AZ140" s="122"/>
      <c r="BA140" s="122"/>
      <c r="BB140" s="122"/>
      <c r="BC140" s="122"/>
      <c r="CW140" s="1">
        <f t="shared" si="36"/>
        <v>0</v>
      </c>
      <c r="CX140" s="1">
        <f t="shared" si="37"/>
        <v>0</v>
      </c>
      <c r="CY140" s="43">
        <f t="shared" si="38"/>
        <v>0</v>
      </c>
      <c r="CZ140" s="43">
        <f t="shared" si="39"/>
        <v>0</v>
      </c>
      <c r="DA140" s="43">
        <f t="shared" si="40"/>
        <v>0</v>
      </c>
      <c r="DB140" s="43" t="str">
        <f t="shared" si="41"/>
        <v/>
      </c>
      <c r="DC140" s="50" t="str">
        <f t="shared" si="42"/>
        <v/>
      </c>
      <c r="DD140" s="50" t="str">
        <f t="shared" si="43"/>
        <v/>
      </c>
    </row>
    <row r="141" spans="12:108" ht="14.25" customHeight="1">
      <c r="L141" s="99"/>
      <c r="M141" s="99"/>
      <c r="N141" s="99"/>
      <c r="O141" s="99"/>
      <c r="P141" s="100"/>
      <c r="Q141" s="101"/>
      <c r="R141" s="101"/>
      <c r="S141" s="101"/>
      <c r="T141" s="101"/>
      <c r="U141" s="99"/>
      <c r="V141" s="99"/>
      <c r="W141" s="100"/>
      <c r="X141" s="100"/>
      <c r="Y141" s="99"/>
      <c r="Z141" s="99"/>
      <c r="AA141" s="100"/>
      <c r="AB141" s="100"/>
      <c r="AC141" s="100"/>
      <c r="AD141" s="100"/>
      <c r="AE141" s="99"/>
      <c r="AF141" s="99"/>
      <c r="AG141" s="100"/>
      <c r="AH141" s="100"/>
      <c r="AI141" s="99"/>
      <c r="AJ141" s="99"/>
      <c r="AK141" s="100"/>
      <c r="AL141" s="100"/>
      <c r="AM141" s="101"/>
      <c r="AN141" s="101"/>
      <c r="AO141" s="101"/>
      <c r="AP141" s="101"/>
      <c r="AQ141" s="19"/>
      <c r="AR141" s="19"/>
      <c r="AS141" s="19"/>
      <c r="AT141" s="99"/>
      <c r="AU141" s="99"/>
      <c r="AV141" s="99"/>
      <c r="AW141" s="99"/>
      <c r="AX141" s="100"/>
      <c r="AY141" s="100"/>
      <c r="AZ141" s="100"/>
      <c r="BA141" s="100"/>
      <c r="BB141" s="100"/>
      <c r="BC141" s="100"/>
      <c r="CW141" s="1">
        <f t="shared" si="36"/>
        <v>0</v>
      </c>
      <c r="CX141" s="1">
        <f t="shared" si="37"/>
        <v>0</v>
      </c>
      <c r="CY141" s="43">
        <f t="shared" si="38"/>
        <v>0</v>
      </c>
      <c r="CZ141" s="43">
        <f t="shared" si="39"/>
        <v>0</v>
      </c>
      <c r="DA141" s="43">
        <f t="shared" si="40"/>
        <v>0</v>
      </c>
      <c r="DB141" s="43" t="str">
        <f t="shared" si="41"/>
        <v/>
      </c>
      <c r="DC141" s="50" t="str">
        <f t="shared" si="42"/>
        <v/>
      </c>
      <c r="DD141" s="50" t="str">
        <f t="shared" si="43"/>
        <v/>
      </c>
    </row>
    <row r="142" spans="12:108" ht="14.25" customHeight="1">
      <c r="L142" s="99"/>
      <c r="M142" s="99"/>
      <c r="N142" s="99"/>
      <c r="O142" s="99"/>
      <c r="P142" s="100"/>
      <c r="Q142" s="101"/>
      <c r="R142" s="101"/>
      <c r="S142" s="101"/>
      <c r="T142" s="101"/>
      <c r="U142" s="99"/>
      <c r="V142" s="99"/>
      <c r="W142" s="100"/>
      <c r="X142" s="100"/>
      <c r="Y142" s="99"/>
      <c r="Z142" s="99"/>
      <c r="AA142" s="100"/>
      <c r="AB142" s="100"/>
      <c r="AC142" s="100"/>
      <c r="AD142" s="100"/>
      <c r="AE142" s="99"/>
      <c r="AF142" s="99"/>
      <c r="AG142" s="100"/>
      <c r="AH142" s="100"/>
      <c r="AI142" s="99"/>
      <c r="AJ142" s="99"/>
      <c r="AK142" s="100"/>
      <c r="AL142" s="100"/>
      <c r="AM142" s="101"/>
      <c r="AN142" s="101"/>
      <c r="AO142" s="101"/>
      <c r="AP142" s="101"/>
      <c r="AQ142" s="19"/>
      <c r="AR142" s="19"/>
      <c r="AS142" s="19"/>
      <c r="AT142" s="99"/>
      <c r="AU142" s="99"/>
      <c r="AV142" s="99"/>
      <c r="AW142" s="99"/>
      <c r="AX142" s="100"/>
      <c r="AY142" s="100"/>
      <c r="AZ142" s="100"/>
      <c r="BA142" s="100"/>
      <c r="BB142" s="100"/>
      <c r="BC142" s="100"/>
      <c r="CW142" s="1">
        <f t="shared" si="36"/>
        <v>0</v>
      </c>
      <c r="CX142" s="1">
        <f t="shared" si="37"/>
        <v>0</v>
      </c>
      <c r="CY142" s="43">
        <f t="shared" si="38"/>
        <v>0</v>
      </c>
      <c r="CZ142" s="43">
        <f t="shared" si="39"/>
        <v>0</v>
      </c>
      <c r="DA142" s="43">
        <f t="shared" si="40"/>
        <v>0</v>
      </c>
      <c r="DB142" s="43" t="str">
        <f t="shared" si="41"/>
        <v/>
      </c>
      <c r="DC142" s="50" t="str">
        <f t="shared" si="42"/>
        <v/>
      </c>
      <c r="DD142" s="50" t="str">
        <f t="shared" si="43"/>
        <v/>
      </c>
    </row>
    <row r="143" spans="12:108" ht="14.25" customHeight="1">
      <c r="L143" s="99"/>
      <c r="M143" s="99"/>
      <c r="N143" s="99"/>
      <c r="O143" s="99"/>
      <c r="P143" s="100"/>
      <c r="Q143" s="101"/>
      <c r="R143" s="101"/>
      <c r="S143" s="101"/>
      <c r="T143" s="101"/>
      <c r="U143" s="99"/>
      <c r="V143" s="99"/>
      <c r="W143" s="100"/>
      <c r="X143" s="100"/>
      <c r="Y143" s="99"/>
      <c r="Z143" s="99"/>
      <c r="AA143" s="100"/>
      <c r="AB143" s="100"/>
      <c r="AC143" s="100"/>
      <c r="AD143" s="100"/>
      <c r="AE143" s="99"/>
      <c r="AF143" s="99"/>
      <c r="AG143" s="100"/>
      <c r="AH143" s="100"/>
      <c r="AI143" s="99"/>
      <c r="AJ143" s="99"/>
      <c r="AK143" s="100"/>
      <c r="AL143" s="100"/>
      <c r="AM143" s="101"/>
      <c r="AN143" s="101"/>
      <c r="AO143" s="101"/>
      <c r="AP143" s="101"/>
      <c r="AQ143" s="19"/>
      <c r="AR143" s="19"/>
      <c r="AS143" s="19"/>
      <c r="AT143" s="99"/>
      <c r="AU143" s="99"/>
      <c r="AV143" s="99"/>
      <c r="AW143" s="99"/>
      <c r="AX143" s="100"/>
      <c r="AY143" s="100"/>
      <c r="AZ143" s="100"/>
      <c r="BA143" s="100"/>
      <c r="BB143" s="100"/>
      <c r="BC143" s="100"/>
      <c r="CW143" s="1">
        <f t="shared" si="36"/>
        <v>0</v>
      </c>
      <c r="CX143" s="1">
        <f t="shared" si="37"/>
        <v>0</v>
      </c>
      <c r="CY143" s="43">
        <f t="shared" si="38"/>
        <v>0</v>
      </c>
      <c r="CZ143" s="43">
        <f t="shared" si="39"/>
        <v>0</v>
      </c>
      <c r="DA143" s="43">
        <f t="shared" si="40"/>
        <v>0</v>
      </c>
      <c r="DB143" s="43" t="str">
        <f t="shared" si="41"/>
        <v/>
      </c>
      <c r="DC143" s="50" t="str">
        <f t="shared" si="42"/>
        <v/>
      </c>
      <c r="DD143" s="50" t="str">
        <f t="shared" si="43"/>
        <v/>
      </c>
    </row>
    <row r="144" spans="12:108" ht="14.25" customHeight="1">
      <c r="L144" s="99"/>
      <c r="M144" s="99"/>
      <c r="N144" s="99"/>
      <c r="O144" s="99"/>
      <c r="P144" s="100"/>
      <c r="Q144" s="101"/>
      <c r="R144" s="101"/>
      <c r="S144" s="101"/>
      <c r="T144" s="101"/>
      <c r="U144" s="47"/>
      <c r="V144" s="47"/>
      <c r="W144" s="47"/>
      <c r="X144" s="99"/>
      <c r="Y144" s="99"/>
      <c r="Z144" s="99"/>
      <c r="AA144" s="99"/>
      <c r="AB144" s="100"/>
      <c r="AC144" s="100"/>
      <c r="AD144" s="100"/>
      <c r="AE144" s="99"/>
      <c r="AF144" s="99"/>
      <c r="AG144" s="99"/>
      <c r="AH144" s="99"/>
      <c r="AI144" s="100"/>
      <c r="AJ144" s="100"/>
      <c r="AK144" s="100"/>
      <c r="AL144" s="47"/>
      <c r="AM144" s="101"/>
      <c r="AN144" s="101"/>
      <c r="AO144" s="101"/>
      <c r="AP144" s="101"/>
      <c r="AQ144" s="19"/>
      <c r="AR144" s="19"/>
      <c r="AS144" s="19"/>
      <c r="AT144" s="99"/>
      <c r="AU144" s="99"/>
      <c r="AV144" s="99"/>
      <c r="AW144" s="99"/>
      <c r="AX144" s="100"/>
      <c r="AY144" s="100"/>
      <c r="AZ144" s="100"/>
      <c r="BA144" s="100"/>
      <c r="BB144" s="100"/>
      <c r="BC144" s="100"/>
      <c r="CW144" s="1">
        <f t="shared" si="36"/>
        <v>0</v>
      </c>
      <c r="CX144" s="1">
        <f t="shared" si="37"/>
        <v>0</v>
      </c>
      <c r="CY144" s="43">
        <f t="shared" si="38"/>
        <v>0</v>
      </c>
      <c r="CZ144" s="43">
        <f t="shared" si="39"/>
        <v>0</v>
      </c>
      <c r="DA144" s="43">
        <f t="shared" si="40"/>
        <v>0</v>
      </c>
      <c r="DB144" s="43" t="str">
        <f t="shared" si="41"/>
        <v/>
      </c>
      <c r="DC144" s="50" t="str">
        <f t="shared" si="42"/>
        <v/>
      </c>
      <c r="DD144" s="50" t="str">
        <f t="shared" si="43"/>
        <v/>
      </c>
    </row>
    <row r="145" spans="12:108" ht="14.25" customHeight="1">
      <c r="L145" s="99"/>
      <c r="M145" s="99"/>
      <c r="N145" s="99"/>
      <c r="O145" s="99"/>
      <c r="P145" s="100"/>
      <c r="Q145" s="101"/>
      <c r="R145" s="101"/>
      <c r="S145" s="101"/>
      <c r="T145" s="101"/>
      <c r="U145" s="19"/>
      <c r="V145" s="19"/>
      <c r="W145" s="19"/>
      <c r="X145" s="99"/>
      <c r="Y145" s="99"/>
      <c r="Z145" s="99"/>
      <c r="AA145" s="99"/>
      <c r="AB145" s="100"/>
      <c r="AC145" s="100"/>
      <c r="AD145" s="100"/>
      <c r="AE145" s="99"/>
      <c r="AF145" s="99"/>
      <c r="AG145" s="99"/>
      <c r="AH145" s="99"/>
      <c r="AI145" s="100"/>
      <c r="AJ145" s="100"/>
      <c r="AK145" s="100"/>
      <c r="AL145" s="19"/>
      <c r="AM145" s="101"/>
      <c r="AN145" s="101"/>
      <c r="AO145" s="101"/>
      <c r="AP145" s="101"/>
      <c r="AQ145" s="19"/>
      <c r="AR145" s="19"/>
      <c r="AS145" s="19"/>
      <c r="AT145" s="99"/>
      <c r="AU145" s="99"/>
      <c r="AV145" s="99"/>
      <c r="AW145" s="99"/>
      <c r="AX145" s="100"/>
      <c r="AY145" s="100"/>
      <c r="AZ145" s="100"/>
      <c r="BA145" s="100"/>
      <c r="BB145" s="100"/>
      <c r="BC145" s="100"/>
      <c r="CW145" s="1">
        <f t="shared" si="36"/>
        <v>0</v>
      </c>
      <c r="CX145" s="1">
        <f t="shared" si="37"/>
        <v>0</v>
      </c>
      <c r="CY145" s="43">
        <f t="shared" si="38"/>
        <v>0</v>
      </c>
      <c r="CZ145" s="43">
        <f t="shared" si="39"/>
        <v>0</v>
      </c>
      <c r="DA145" s="43">
        <f t="shared" si="40"/>
        <v>0</v>
      </c>
      <c r="DB145" s="43" t="str">
        <f t="shared" si="41"/>
        <v/>
      </c>
      <c r="DC145" s="50" t="str">
        <f t="shared" si="42"/>
        <v/>
      </c>
      <c r="DD145" s="50" t="str">
        <f t="shared" si="43"/>
        <v/>
      </c>
    </row>
    <row r="146" spans="12:108" ht="14.25" customHeight="1">
      <c r="L146" s="99"/>
      <c r="M146" s="99"/>
      <c r="N146" s="99"/>
      <c r="O146" s="99"/>
      <c r="P146" s="100"/>
      <c r="Q146" s="101"/>
      <c r="R146" s="101"/>
      <c r="S146" s="101"/>
      <c r="T146" s="101"/>
      <c r="U146" s="19"/>
      <c r="V146" s="19"/>
      <c r="W146" s="19"/>
      <c r="X146" s="99"/>
      <c r="Y146" s="99"/>
      <c r="Z146" s="99"/>
      <c r="AA146" s="99"/>
      <c r="AB146" s="100"/>
      <c r="AC146" s="100"/>
      <c r="AD146" s="100"/>
      <c r="AE146" s="99"/>
      <c r="AF146" s="99"/>
      <c r="AG146" s="99"/>
      <c r="AH146" s="99"/>
      <c r="AI146" s="100"/>
      <c r="AJ146" s="100"/>
      <c r="AK146" s="100"/>
      <c r="AL146" s="19"/>
      <c r="AM146" s="101"/>
      <c r="AN146" s="101"/>
      <c r="AO146" s="101"/>
      <c r="AP146" s="101"/>
      <c r="AQ146" s="19"/>
      <c r="AR146" s="19"/>
      <c r="AS146" s="19"/>
      <c r="AT146" s="99"/>
      <c r="AU146" s="99"/>
      <c r="AV146" s="99"/>
      <c r="AW146" s="99"/>
      <c r="AX146" s="100"/>
      <c r="AY146" s="100"/>
      <c r="AZ146" s="100"/>
      <c r="BA146" s="100"/>
      <c r="BB146" s="100"/>
      <c r="BC146" s="100"/>
      <c r="CW146" s="1">
        <f t="shared" si="36"/>
        <v>0</v>
      </c>
      <c r="CX146" s="1">
        <f t="shared" si="37"/>
        <v>0</v>
      </c>
      <c r="CY146" s="43">
        <f t="shared" si="38"/>
        <v>0</v>
      </c>
      <c r="CZ146" s="43">
        <f t="shared" si="39"/>
        <v>0</v>
      </c>
      <c r="DA146" s="43">
        <f t="shared" si="40"/>
        <v>0</v>
      </c>
      <c r="DB146" s="43" t="str">
        <f t="shared" si="41"/>
        <v/>
      </c>
      <c r="DC146" s="50" t="str">
        <f t="shared" si="42"/>
        <v/>
      </c>
      <c r="DD146" s="50" t="str">
        <f t="shared" si="43"/>
        <v/>
      </c>
    </row>
    <row r="147" spans="12:108" ht="30.9" customHeight="1">
      <c r="L147" s="120"/>
      <c r="M147" s="120"/>
      <c r="N147" s="120"/>
      <c r="O147" s="121"/>
      <c r="P147" s="121"/>
      <c r="Q147" s="100"/>
      <c r="R147" s="100"/>
      <c r="S147" s="100"/>
      <c r="T147" s="100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  <c r="AH147" s="122"/>
      <c r="AI147" s="122"/>
      <c r="AJ147" s="122"/>
      <c r="AK147" s="122"/>
      <c r="AL147" s="122"/>
      <c r="AM147" s="122"/>
      <c r="AN147" s="122"/>
      <c r="AO147" s="122"/>
      <c r="AP147" s="122"/>
      <c r="AQ147" s="122"/>
      <c r="AR147" s="122"/>
      <c r="AS147" s="122"/>
      <c r="AT147" s="122"/>
      <c r="AU147" s="122"/>
      <c r="AV147" s="122"/>
      <c r="AW147" s="122"/>
      <c r="AX147" s="122"/>
      <c r="AY147" s="122"/>
      <c r="AZ147" s="122"/>
      <c r="BA147" s="122"/>
      <c r="BB147" s="122"/>
      <c r="BC147" s="122"/>
      <c r="CW147" s="1">
        <f t="shared" si="36"/>
        <v>0</v>
      </c>
      <c r="CX147" s="1">
        <f t="shared" si="37"/>
        <v>0</v>
      </c>
      <c r="CY147" s="43">
        <f t="shared" si="38"/>
        <v>0</v>
      </c>
      <c r="CZ147" s="43">
        <f t="shared" si="39"/>
        <v>0</v>
      </c>
      <c r="DA147" s="43">
        <f t="shared" si="40"/>
        <v>0</v>
      </c>
      <c r="DB147" s="43" t="str">
        <f t="shared" si="41"/>
        <v/>
      </c>
      <c r="DC147" s="50" t="str">
        <f t="shared" si="42"/>
        <v/>
      </c>
      <c r="DD147" s="50" t="str">
        <f t="shared" si="43"/>
        <v/>
      </c>
    </row>
    <row r="148" spans="12:108" ht="30.9" customHeight="1">
      <c r="L148" s="123"/>
      <c r="M148" s="123"/>
      <c r="O148" s="124"/>
      <c r="P148" s="124"/>
      <c r="Q148" s="100"/>
      <c r="R148" s="100"/>
      <c r="S148" s="100"/>
      <c r="T148" s="100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  <c r="AH148" s="122"/>
      <c r="AI148" s="122"/>
      <c r="AJ148" s="122"/>
      <c r="AK148" s="122"/>
      <c r="AL148" s="122"/>
      <c r="AM148" s="122"/>
      <c r="AN148" s="122"/>
      <c r="AO148" s="122"/>
      <c r="AP148" s="122"/>
      <c r="AQ148" s="122"/>
      <c r="AR148" s="122"/>
      <c r="AS148" s="122"/>
      <c r="AT148" s="122"/>
      <c r="AU148" s="122"/>
      <c r="AV148" s="122"/>
      <c r="AW148" s="122"/>
      <c r="AX148" s="122"/>
      <c r="AY148" s="122"/>
      <c r="AZ148" s="122"/>
      <c r="BA148" s="122"/>
      <c r="BB148" s="122"/>
      <c r="BC148" s="122"/>
      <c r="CW148" s="1">
        <f t="shared" si="36"/>
        <v>0</v>
      </c>
      <c r="CX148" s="1">
        <f t="shared" si="37"/>
        <v>0</v>
      </c>
      <c r="CY148" s="43">
        <f t="shared" si="38"/>
        <v>0</v>
      </c>
      <c r="CZ148" s="43">
        <f t="shared" si="39"/>
        <v>0</v>
      </c>
      <c r="DA148" s="43">
        <f t="shared" si="40"/>
        <v>0</v>
      </c>
      <c r="DB148" s="43" t="str">
        <f t="shared" si="41"/>
        <v/>
      </c>
      <c r="DC148" s="50" t="str">
        <f t="shared" si="42"/>
        <v/>
      </c>
      <c r="DD148" s="50" t="str">
        <f t="shared" si="43"/>
        <v/>
      </c>
    </row>
    <row r="149" spans="12:108" ht="14.25" customHeight="1">
      <c r="L149" s="99"/>
      <c r="M149" s="99"/>
      <c r="N149" s="99"/>
      <c r="O149" s="99"/>
      <c r="P149" s="100"/>
      <c r="Q149" s="101"/>
      <c r="R149" s="101"/>
      <c r="S149" s="101"/>
      <c r="T149" s="101"/>
      <c r="U149" s="99"/>
      <c r="V149" s="99"/>
      <c r="W149" s="100"/>
      <c r="X149" s="100"/>
      <c r="Y149" s="99"/>
      <c r="Z149" s="99"/>
      <c r="AA149" s="100"/>
      <c r="AB149" s="100"/>
      <c r="AC149" s="100"/>
      <c r="AD149" s="100"/>
      <c r="AE149" s="99"/>
      <c r="AF149" s="99"/>
      <c r="AG149" s="100"/>
      <c r="AH149" s="100"/>
      <c r="AI149" s="99"/>
      <c r="AJ149" s="99"/>
      <c r="AK149" s="100"/>
      <c r="AL149" s="100"/>
      <c r="AM149" s="101"/>
      <c r="AN149" s="101"/>
      <c r="AO149" s="101"/>
      <c r="AP149" s="101"/>
      <c r="AQ149" s="19"/>
      <c r="AR149" s="19"/>
      <c r="AS149" s="19"/>
      <c r="AT149" s="99"/>
      <c r="AU149" s="99"/>
      <c r="AV149" s="99"/>
      <c r="AW149" s="99"/>
      <c r="AX149" s="100"/>
      <c r="AY149" s="100"/>
      <c r="AZ149" s="100"/>
      <c r="BA149" s="100"/>
      <c r="BB149" s="100"/>
      <c r="BC149" s="100"/>
      <c r="CW149" s="1">
        <f t="shared" si="36"/>
        <v>0</v>
      </c>
      <c r="CX149" s="1">
        <f t="shared" si="37"/>
        <v>0</v>
      </c>
      <c r="CY149" s="43">
        <f t="shared" si="38"/>
        <v>0</v>
      </c>
      <c r="CZ149" s="43">
        <f t="shared" si="39"/>
        <v>0</v>
      </c>
      <c r="DA149" s="43">
        <f t="shared" si="40"/>
        <v>0</v>
      </c>
      <c r="DB149" s="43" t="str">
        <f t="shared" si="41"/>
        <v/>
      </c>
      <c r="DC149" s="50" t="str">
        <f t="shared" si="42"/>
        <v/>
      </c>
      <c r="DD149" s="50" t="str">
        <f t="shared" si="43"/>
        <v/>
      </c>
    </row>
    <row r="150" spans="12:108" ht="14.25" customHeight="1">
      <c r="L150" s="99"/>
      <c r="M150" s="99"/>
      <c r="N150" s="99"/>
      <c r="O150" s="99"/>
      <c r="P150" s="100"/>
      <c r="Q150" s="101"/>
      <c r="R150" s="101"/>
      <c r="S150" s="101"/>
      <c r="T150" s="101"/>
      <c r="U150" s="99"/>
      <c r="V150" s="99"/>
      <c r="W150" s="100"/>
      <c r="X150" s="100"/>
      <c r="Y150" s="99"/>
      <c r="Z150" s="99"/>
      <c r="AA150" s="100"/>
      <c r="AB150" s="100"/>
      <c r="AC150" s="100"/>
      <c r="AD150" s="100"/>
      <c r="AE150" s="99"/>
      <c r="AF150" s="99"/>
      <c r="AG150" s="100"/>
      <c r="AH150" s="100"/>
      <c r="AI150" s="99"/>
      <c r="AJ150" s="99"/>
      <c r="AK150" s="100"/>
      <c r="AL150" s="100"/>
      <c r="AM150" s="101"/>
      <c r="AN150" s="101"/>
      <c r="AO150" s="101"/>
      <c r="AP150" s="101"/>
      <c r="AQ150" s="19"/>
      <c r="AR150" s="19"/>
      <c r="AS150" s="19"/>
      <c r="AT150" s="99"/>
      <c r="AU150" s="99"/>
      <c r="AV150" s="99"/>
      <c r="AW150" s="99"/>
      <c r="AX150" s="100"/>
      <c r="AY150" s="100"/>
      <c r="AZ150" s="100"/>
      <c r="BA150" s="100"/>
      <c r="BB150" s="100"/>
      <c r="BC150" s="100"/>
      <c r="CW150" s="1">
        <f t="shared" si="36"/>
        <v>0</v>
      </c>
      <c r="CX150" s="1">
        <f t="shared" si="37"/>
        <v>0</v>
      </c>
      <c r="CY150" s="43">
        <f t="shared" si="38"/>
        <v>0</v>
      </c>
      <c r="CZ150" s="43">
        <f t="shared" si="39"/>
        <v>0</v>
      </c>
      <c r="DA150" s="43">
        <f t="shared" si="40"/>
        <v>0</v>
      </c>
      <c r="DB150" s="43" t="str">
        <f t="shared" si="41"/>
        <v/>
      </c>
      <c r="DC150" s="50" t="str">
        <f t="shared" si="42"/>
        <v/>
      </c>
      <c r="DD150" s="50" t="str">
        <f t="shared" si="43"/>
        <v/>
      </c>
    </row>
    <row r="151" spans="12:108" ht="14.25" customHeight="1">
      <c r="L151" s="99"/>
      <c r="M151" s="99"/>
      <c r="N151" s="99"/>
      <c r="O151" s="99"/>
      <c r="P151" s="100"/>
      <c r="Q151" s="101"/>
      <c r="R151" s="101"/>
      <c r="S151" s="101"/>
      <c r="T151" s="101"/>
      <c r="U151" s="99"/>
      <c r="V151" s="99"/>
      <c r="W151" s="100"/>
      <c r="X151" s="100"/>
      <c r="Y151" s="99"/>
      <c r="Z151" s="99"/>
      <c r="AA151" s="100"/>
      <c r="AB151" s="100"/>
      <c r="AC151" s="100"/>
      <c r="AD151" s="100"/>
      <c r="AE151" s="99"/>
      <c r="AF151" s="99"/>
      <c r="AG151" s="100"/>
      <c r="AH151" s="100"/>
      <c r="AI151" s="99"/>
      <c r="AJ151" s="99"/>
      <c r="AK151" s="100"/>
      <c r="AL151" s="100"/>
      <c r="AM151" s="101"/>
      <c r="AN151" s="101"/>
      <c r="AO151" s="101"/>
      <c r="AP151" s="101"/>
      <c r="AQ151" s="19"/>
      <c r="AR151" s="19"/>
      <c r="AS151" s="19"/>
      <c r="AT151" s="99"/>
      <c r="AU151" s="99"/>
      <c r="AV151" s="99"/>
      <c r="AW151" s="99"/>
      <c r="AX151" s="100"/>
      <c r="AY151" s="100"/>
      <c r="AZ151" s="100"/>
      <c r="BA151" s="100"/>
      <c r="BB151" s="100"/>
      <c r="BC151" s="100"/>
      <c r="CW151" s="1">
        <f t="shared" si="36"/>
        <v>0</v>
      </c>
      <c r="CX151" s="1">
        <f t="shared" si="37"/>
        <v>0</v>
      </c>
      <c r="CY151" s="43">
        <f t="shared" si="38"/>
        <v>0</v>
      </c>
      <c r="CZ151" s="43">
        <f t="shared" si="39"/>
        <v>0</v>
      </c>
      <c r="DA151" s="43">
        <f t="shared" si="40"/>
        <v>0</v>
      </c>
      <c r="DB151" s="43" t="str">
        <f t="shared" si="41"/>
        <v/>
      </c>
      <c r="DC151" s="50" t="str">
        <f t="shared" si="42"/>
        <v/>
      </c>
      <c r="DD151" s="50" t="str">
        <f t="shared" si="43"/>
        <v/>
      </c>
    </row>
    <row r="152" spans="12:108" ht="14.25" customHeight="1">
      <c r="L152" s="99"/>
      <c r="M152" s="99"/>
      <c r="N152" s="99"/>
      <c r="O152" s="99"/>
      <c r="P152" s="100"/>
      <c r="Q152" s="101"/>
      <c r="R152" s="101"/>
      <c r="S152" s="101"/>
      <c r="T152" s="101"/>
      <c r="U152" s="47"/>
      <c r="V152" s="47"/>
      <c r="W152" s="47"/>
      <c r="X152" s="99"/>
      <c r="Y152" s="99"/>
      <c r="Z152" s="99"/>
      <c r="AA152" s="99"/>
      <c r="AB152" s="100"/>
      <c r="AC152" s="100"/>
      <c r="AD152" s="100"/>
      <c r="AE152" s="99"/>
      <c r="AF152" s="99"/>
      <c r="AG152" s="99"/>
      <c r="AH152" s="99"/>
      <c r="AI152" s="100"/>
      <c r="AJ152" s="100"/>
      <c r="AK152" s="100"/>
      <c r="AL152" s="47"/>
      <c r="AM152" s="101"/>
      <c r="AN152" s="101"/>
      <c r="AO152" s="101"/>
      <c r="AP152" s="101"/>
      <c r="AQ152" s="19"/>
      <c r="AR152" s="19"/>
      <c r="AS152" s="19"/>
      <c r="AT152" s="99"/>
      <c r="AU152" s="99"/>
      <c r="AV152" s="99"/>
      <c r="AW152" s="99"/>
      <c r="AX152" s="100"/>
      <c r="AY152" s="100"/>
      <c r="AZ152" s="100"/>
      <c r="BA152" s="100"/>
      <c r="BB152" s="100"/>
      <c r="BC152" s="100"/>
      <c r="CW152" s="1">
        <f t="shared" si="36"/>
        <v>0</v>
      </c>
      <c r="CX152" s="1">
        <f t="shared" si="37"/>
        <v>0</v>
      </c>
      <c r="CY152" s="43">
        <f t="shared" si="38"/>
        <v>0</v>
      </c>
      <c r="CZ152" s="43">
        <f t="shared" si="39"/>
        <v>0</v>
      </c>
      <c r="DA152" s="43">
        <f t="shared" si="40"/>
        <v>0</v>
      </c>
      <c r="DB152" s="43" t="str">
        <f t="shared" si="41"/>
        <v/>
      </c>
      <c r="DC152" s="50" t="str">
        <f t="shared" si="42"/>
        <v/>
      </c>
      <c r="DD152" s="50" t="str">
        <f t="shared" si="43"/>
        <v/>
      </c>
    </row>
    <row r="153" spans="12:108" ht="14.25" customHeight="1">
      <c r="L153" s="99"/>
      <c r="M153" s="99"/>
      <c r="N153" s="99"/>
      <c r="O153" s="99"/>
      <c r="P153" s="100"/>
      <c r="Q153" s="101"/>
      <c r="R153" s="101"/>
      <c r="S153" s="101"/>
      <c r="T153" s="101"/>
      <c r="U153" s="19"/>
      <c r="V153" s="19"/>
      <c r="W153" s="19"/>
      <c r="X153" s="99"/>
      <c r="Y153" s="99"/>
      <c r="Z153" s="99"/>
      <c r="AA153" s="99"/>
      <c r="AB153" s="100"/>
      <c r="AC153" s="100"/>
      <c r="AD153" s="100"/>
      <c r="AE153" s="99"/>
      <c r="AF153" s="99"/>
      <c r="AG153" s="99"/>
      <c r="AH153" s="99"/>
      <c r="AI153" s="100"/>
      <c r="AJ153" s="100"/>
      <c r="AK153" s="100"/>
      <c r="AL153" s="19"/>
      <c r="AM153" s="101"/>
      <c r="AN153" s="101"/>
      <c r="AO153" s="101"/>
      <c r="AP153" s="101"/>
      <c r="AQ153" s="19"/>
      <c r="AR153" s="19"/>
      <c r="AS153" s="19"/>
      <c r="AT153" s="99"/>
      <c r="AU153" s="99"/>
      <c r="AV153" s="99"/>
      <c r="AW153" s="99"/>
      <c r="AX153" s="100"/>
      <c r="AY153" s="100"/>
      <c r="AZ153" s="100"/>
      <c r="BA153" s="100"/>
      <c r="BB153" s="100"/>
      <c r="BC153" s="100"/>
      <c r="CW153" s="1">
        <f t="shared" si="36"/>
        <v>0</v>
      </c>
      <c r="CX153" s="1">
        <f t="shared" si="37"/>
        <v>0</v>
      </c>
      <c r="CY153" s="43">
        <f t="shared" si="38"/>
        <v>0</v>
      </c>
      <c r="CZ153" s="43">
        <f t="shared" si="39"/>
        <v>0</v>
      </c>
      <c r="DA153" s="43">
        <f t="shared" si="40"/>
        <v>0</v>
      </c>
      <c r="DB153" s="43" t="str">
        <f t="shared" si="41"/>
        <v/>
      </c>
      <c r="DC153" s="50" t="str">
        <f t="shared" si="42"/>
        <v/>
      </c>
      <c r="DD153" s="50" t="str">
        <f t="shared" si="43"/>
        <v/>
      </c>
    </row>
    <row r="154" spans="12:108" ht="14.25" customHeight="1">
      <c r="L154" s="99"/>
      <c r="M154" s="99"/>
      <c r="N154" s="99"/>
      <c r="O154" s="99"/>
      <c r="P154" s="100"/>
      <c r="Q154" s="101"/>
      <c r="R154" s="101"/>
      <c r="S154" s="101"/>
      <c r="T154" s="101"/>
      <c r="U154" s="19"/>
      <c r="V154" s="19"/>
      <c r="W154" s="19"/>
      <c r="X154" s="99"/>
      <c r="Y154" s="99"/>
      <c r="Z154" s="99"/>
      <c r="AA154" s="99"/>
      <c r="AB154" s="100"/>
      <c r="AC154" s="100"/>
      <c r="AD154" s="100"/>
      <c r="AE154" s="99"/>
      <c r="AF154" s="99"/>
      <c r="AG154" s="99"/>
      <c r="AH154" s="99"/>
      <c r="AI154" s="100"/>
      <c r="AJ154" s="100"/>
      <c r="AK154" s="100"/>
      <c r="AL154" s="19"/>
      <c r="AM154" s="101"/>
      <c r="AN154" s="101"/>
      <c r="AO154" s="101"/>
      <c r="AP154" s="101"/>
      <c r="AQ154" s="19"/>
      <c r="AR154" s="19"/>
      <c r="AS154" s="19"/>
      <c r="AT154" s="99"/>
      <c r="AU154" s="99"/>
      <c r="AV154" s="99"/>
      <c r="AW154" s="99"/>
      <c r="AX154" s="100"/>
      <c r="AY154" s="100"/>
      <c r="AZ154" s="100"/>
      <c r="BA154" s="100"/>
      <c r="BB154" s="100"/>
      <c r="BC154" s="100"/>
      <c r="CW154" s="1">
        <f t="shared" si="36"/>
        <v>0</v>
      </c>
      <c r="CX154" s="1">
        <f t="shared" si="37"/>
        <v>0</v>
      </c>
      <c r="CY154" s="43">
        <f t="shared" si="38"/>
        <v>0</v>
      </c>
      <c r="CZ154" s="43">
        <f t="shared" si="39"/>
        <v>0</v>
      </c>
      <c r="DA154" s="43">
        <f t="shared" si="40"/>
        <v>0</v>
      </c>
      <c r="DB154" s="43" t="str">
        <f t="shared" si="41"/>
        <v/>
      </c>
      <c r="DC154" s="50" t="str">
        <f t="shared" si="42"/>
        <v/>
      </c>
      <c r="DD154" s="50" t="str">
        <f t="shared" si="43"/>
        <v/>
      </c>
    </row>
    <row r="155" spans="12:108" ht="30.9" customHeight="1">
      <c r="L155" s="120"/>
      <c r="M155" s="120"/>
      <c r="N155" s="120"/>
      <c r="O155" s="121"/>
      <c r="P155" s="121"/>
      <c r="Q155" s="100"/>
      <c r="R155" s="100"/>
      <c r="S155" s="100"/>
      <c r="T155" s="100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  <c r="AH155" s="122"/>
      <c r="AI155" s="122"/>
      <c r="AJ155" s="122"/>
      <c r="AK155" s="122"/>
      <c r="AL155" s="122"/>
      <c r="AM155" s="122"/>
      <c r="AN155" s="122"/>
      <c r="AO155" s="122"/>
      <c r="AP155" s="122"/>
      <c r="AQ155" s="122"/>
      <c r="AR155" s="122"/>
      <c r="AS155" s="122"/>
      <c r="AT155" s="122"/>
      <c r="AU155" s="122"/>
      <c r="AV155" s="122"/>
      <c r="AW155" s="122"/>
      <c r="AX155" s="122"/>
      <c r="AY155" s="122"/>
      <c r="AZ155" s="122"/>
      <c r="BA155" s="122"/>
      <c r="BB155" s="122"/>
      <c r="BC155" s="122"/>
      <c r="CW155" s="1">
        <f t="shared" si="36"/>
        <v>0</v>
      </c>
      <c r="CX155" s="1">
        <f t="shared" si="37"/>
        <v>0</v>
      </c>
      <c r="CY155" s="43">
        <f t="shared" si="38"/>
        <v>0</v>
      </c>
      <c r="CZ155" s="43">
        <f t="shared" si="39"/>
        <v>0</v>
      </c>
      <c r="DA155" s="43">
        <f t="shared" si="40"/>
        <v>0</v>
      </c>
      <c r="DB155" s="43" t="str">
        <f t="shared" si="41"/>
        <v/>
      </c>
      <c r="DC155" s="50" t="str">
        <f t="shared" si="42"/>
        <v/>
      </c>
      <c r="DD155" s="50" t="str">
        <f t="shared" si="43"/>
        <v/>
      </c>
    </row>
    <row r="156" spans="12:108" ht="30.9" customHeight="1">
      <c r="L156" s="123"/>
      <c r="M156" s="123"/>
      <c r="O156" s="124"/>
      <c r="P156" s="124"/>
      <c r="Q156" s="100"/>
      <c r="R156" s="100"/>
      <c r="S156" s="100"/>
      <c r="T156" s="100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  <c r="AH156" s="122"/>
      <c r="AI156" s="122"/>
      <c r="AJ156" s="122"/>
      <c r="AK156" s="122"/>
      <c r="AL156" s="122"/>
      <c r="AM156" s="122"/>
      <c r="AN156" s="122"/>
      <c r="AO156" s="122"/>
      <c r="AP156" s="122"/>
      <c r="AQ156" s="122"/>
      <c r="AR156" s="122"/>
      <c r="AS156" s="122"/>
      <c r="AT156" s="122"/>
      <c r="AU156" s="122"/>
      <c r="AV156" s="122"/>
      <c r="AW156" s="122"/>
      <c r="AX156" s="122"/>
      <c r="AY156" s="122"/>
      <c r="AZ156" s="122"/>
      <c r="BA156" s="122"/>
      <c r="BB156" s="122"/>
      <c r="BC156" s="122"/>
      <c r="CW156" s="1">
        <f t="shared" si="36"/>
        <v>0</v>
      </c>
      <c r="CX156" s="1">
        <f t="shared" si="37"/>
        <v>0</v>
      </c>
      <c r="CY156" s="43">
        <f t="shared" si="38"/>
        <v>0</v>
      </c>
      <c r="CZ156" s="43">
        <f t="shared" si="39"/>
        <v>0</v>
      </c>
      <c r="DA156" s="43">
        <f t="shared" si="40"/>
        <v>0</v>
      </c>
      <c r="DB156" s="43" t="str">
        <f t="shared" si="41"/>
        <v/>
      </c>
      <c r="DC156" s="50" t="str">
        <f t="shared" si="42"/>
        <v/>
      </c>
      <c r="DD156" s="50" t="str">
        <f t="shared" si="43"/>
        <v/>
      </c>
    </row>
    <row r="157" spans="12:108" ht="14.25" customHeight="1">
      <c r="L157" s="99"/>
      <c r="M157" s="99"/>
      <c r="N157" s="99"/>
      <c r="O157" s="99"/>
      <c r="P157" s="100"/>
      <c r="Q157" s="101"/>
      <c r="R157" s="101"/>
      <c r="S157" s="101"/>
      <c r="T157" s="101"/>
      <c r="U157" s="99"/>
      <c r="V157" s="99"/>
      <c r="W157" s="100"/>
      <c r="X157" s="100"/>
      <c r="Y157" s="99"/>
      <c r="Z157" s="99"/>
      <c r="AA157" s="100"/>
      <c r="AB157" s="100"/>
      <c r="AC157" s="100"/>
      <c r="AD157" s="100"/>
      <c r="AE157" s="99"/>
      <c r="AF157" s="99"/>
      <c r="AG157" s="100"/>
      <c r="AH157" s="100"/>
      <c r="AI157" s="99"/>
      <c r="AJ157" s="99"/>
      <c r="AK157" s="100"/>
      <c r="AL157" s="100"/>
      <c r="AM157" s="101"/>
      <c r="AN157" s="101"/>
      <c r="AO157" s="101"/>
      <c r="AP157" s="101"/>
      <c r="AQ157" s="19"/>
      <c r="AR157" s="19"/>
      <c r="AS157" s="19"/>
      <c r="AT157" s="99"/>
      <c r="AU157" s="99"/>
      <c r="AV157" s="99"/>
      <c r="AW157" s="99"/>
      <c r="AX157" s="100"/>
      <c r="AY157" s="100"/>
      <c r="AZ157" s="100"/>
      <c r="BA157" s="100"/>
      <c r="BB157" s="100"/>
      <c r="BC157" s="100"/>
      <c r="CW157" s="1">
        <f t="shared" si="36"/>
        <v>0</v>
      </c>
      <c r="CX157" s="1">
        <f t="shared" si="37"/>
        <v>0</v>
      </c>
      <c r="CY157" s="43">
        <f t="shared" si="38"/>
        <v>0</v>
      </c>
      <c r="CZ157" s="43">
        <f t="shared" si="39"/>
        <v>0</v>
      </c>
      <c r="DA157" s="43">
        <f t="shared" si="40"/>
        <v>0</v>
      </c>
      <c r="DB157" s="43" t="str">
        <f t="shared" si="41"/>
        <v/>
      </c>
      <c r="DC157" s="50" t="str">
        <f t="shared" si="42"/>
        <v/>
      </c>
      <c r="DD157" s="50" t="str">
        <f t="shared" si="43"/>
        <v/>
      </c>
    </row>
    <row r="158" spans="12:108" ht="14.25" customHeight="1">
      <c r="L158" s="99"/>
      <c r="M158" s="99"/>
      <c r="N158" s="99"/>
      <c r="O158" s="99"/>
      <c r="P158" s="100"/>
      <c r="Q158" s="101"/>
      <c r="R158" s="101"/>
      <c r="S158" s="101"/>
      <c r="T158" s="101"/>
      <c r="U158" s="99"/>
      <c r="V158" s="99"/>
      <c r="W158" s="100"/>
      <c r="X158" s="100"/>
      <c r="Y158" s="99"/>
      <c r="Z158" s="99"/>
      <c r="AA158" s="100"/>
      <c r="AB158" s="100"/>
      <c r="AC158" s="100"/>
      <c r="AD158" s="100"/>
      <c r="AE158" s="99"/>
      <c r="AF158" s="99"/>
      <c r="AG158" s="100"/>
      <c r="AH158" s="100"/>
      <c r="AI158" s="99"/>
      <c r="AJ158" s="99"/>
      <c r="AK158" s="100"/>
      <c r="AL158" s="100"/>
      <c r="AM158" s="101"/>
      <c r="AN158" s="101"/>
      <c r="AO158" s="101"/>
      <c r="AP158" s="101"/>
      <c r="AQ158" s="19"/>
      <c r="AR158" s="19"/>
      <c r="AS158" s="19"/>
      <c r="AT158" s="99"/>
      <c r="AU158" s="99"/>
      <c r="AV158" s="99"/>
      <c r="AW158" s="99"/>
      <c r="AX158" s="100"/>
      <c r="AY158" s="100"/>
      <c r="AZ158" s="100"/>
      <c r="BA158" s="100"/>
      <c r="BB158" s="100"/>
      <c r="BC158" s="100"/>
      <c r="CW158" s="1">
        <f t="shared" si="36"/>
        <v>0</v>
      </c>
      <c r="CX158" s="1">
        <f t="shared" si="37"/>
        <v>0</v>
      </c>
      <c r="CY158" s="43">
        <f t="shared" si="38"/>
        <v>0</v>
      </c>
      <c r="CZ158" s="43">
        <f t="shared" si="39"/>
        <v>0</v>
      </c>
      <c r="DA158" s="43">
        <f t="shared" si="40"/>
        <v>0</v>
      </c>
      <c r="DB158" s="43" t="str">
        <f t="shared" si="41"/>
        <v/>
      </c>
      <c r="DC158" s="50" t="str">
        <f t="shared" si="42"/>
        <v/>
      </c>
      <c r="DD158" s="50" t="str">
        <f t="shared" si="43"/>
        <v/>
      </c>
    </row>
    <row r="159" spans="12:108" ht="14.25" customHeight="1">
      <c r="L159" s="99"/>
      <c r="M159" s="99"/>
      <c r="N159" s="99"/>
      <c r="O159" s="99"/>
      <c r="P159" s="100"/>
      <c r="Q159" s="101"/>
      <c r="R159" s="101"/>
      <c r="S159" s="101"/>
      <c r="T159" s="101"/>
      <c r="U159" s="99"/>
      <c r="V159" s="99"/>
      <c r="W159" s="100"/>
      <c r="X159" s="100"/>
      <c r="Y159" s="99"/>
      <c r="Z159" s="99"/>
      <c r="AA159" s="100"/>
      <c r="AB159" s="100"/>
      <c r="AC159" s="100"/>
      <c r="AD159" s="100"/>
      <c r="AE159" s="99"/>
      <c r="AF159" s="99"/>
      <c r="AG159" s="100"/>
      <c r="AH159" s="100"/>
      <c r="AI159" s="99"/>
      <c r="AJ159" s="99"/>
      <c r="AK159" s="100"/>
      <c r="AL159" s="100"/>
      <c r="AM159" s="101"/>
      <c r="AN159" s="101"/>
      <c r="AO159" s="101"/>
      <c r="AP159" s="101"/>
      <c r="AQ159" s="19"/>
      <c r="AR159" s="19"/>
      <c r="AS159" s="19"/>
      <c r="AT159" s="99"/>
      <c r="AU159" s="99"/>
      <c r="AV159" s="99"/>
      <c r="AW159" s="99"/>
      <c r="AX159" s="100"/>
      <c r="AY159" s="100"/>
      <c r="AZ159" s="100"/>
      <c r="BA159" s="100"/>
      <c r="BB159" s="100"/>
      <c r="BC159" s="100"/>
      <c r="CW159" s="1">
        <f t="shared" si="36"/>
        <v>0</v>
      </c>
      <c r="CX159" s="1">
        <f t="shared" si="37"/>
        <v>0</v>
      </c>
      <c r="CY159" s="43">
        <f t="shared" si="38"/>
        <v>0</v>
      </c>
      <c r="CZ159" s="43">
        <f t="shared" si="39"/>
        <v>0</v>
      </c>
      <c r="DA159" s="43">
        <f t="shared" si="40"/>
        <v>0</v>
      </c>
      <c r="DB159" s="43" t="str">
        <f t="shared" si="41"/>
        <v/>
      </c>
      <c r="DC159" s="50" t="str">
        <f t="shared" si="42"/>
        <v/>
      </c>
      <c r="DD159" s="50" t="str">
        <f t="shared" si="43"/>
        <v/>
      </c>
    </row>
    <row r="160" spans="12:108" ht="14.25" customHeight="1">
      <c r="L160" s="99"/>
      <c r="M160" s="99"/>
      <c r="N160" s="99"/>
      <c r="O160" s="99"/>
      <c r="P160" s="100"/>
      <c r="Q160" s="101"/>
      <c r="R160" s="101"/>
      <c r="S160" s="101"/>
      <c r="T160" s="101"/>
      <c r="U160" s="47"/>
      <c r="V160" s="47"/>
      <c r="W160" s="47"/>
      <c r="X160" s="99"/>
      <c r="Y160" s="99"/>
      <c r="Z160" s="99"/>
      <c r="AA160" s="99"/>
      <c r="AB160" s="100"/>
      <c r="AC160" s="100"/>
      <c r="AD160" s="100"/>
      <c r="AE160" s="99"/>
      <c r="AF160" s="99"/>
      <c r="AG160" s="99"/>
      <c r="AH160" s="99"/>
      <c r="AI160" s="100"/>
      <c r="AJ160" s="100"/>
      <c r="AK160" s="100"/>
      <c r="AL160" s="47"/>
      <c r="AM160" s="101"/>
      <c r="AN160" s="101"/>
      <c r="AO160" s="101"/>
      <c r="AP160" s="101"/>
      <c r="AQ160" s="19"/>
      <c r="AR160" s="19"/>
      <c r="AS160" s="19"/>
      <c r="AT160" s="99"/>
      <c r="AU160" s="99"/>
      <c r="AV160" s="99"/>
      <c r="AW160" s="99"/>
      <c r="AX160" s="100"/>
      <c r="AY160" s="100"/>
      <c r="AZ160" s="100"/>
      <c r="BA160" s="100"/>
      <c r="BB160" s="100"/>
      <c r="BC160" s="100"/>
      <c r="CW160" s="1">
        <f t="shared" si="36"/>
        <v>0</v>
      </c>
      <c r="CX160" s="1">
        <f t="shared" si="37"/>
        <v>0</v>
      </c>
      <c r="CY160" s="43">
        <f t="shared" si="38"/>
        <v>0</v>
      </c>
      <c r="CZ160" s="43">
        <f t="shared" si="39"/>
        <v>0</v>
      </c>
      <c r="DA160" s="43">
        <f t="shared" si="40"/>
        <v>0</v>
      </c>
      <c r="DB160" s="43" t="str">
        <f t="shared" si="41"/>
        <v/>
      </c>
      <c r="DC160" s="50" t="str">
        <f t="shared" si="42"/>
        <v/>
      </c>
      <c r="DD160" s="50" t="str">
        <f t="shared" si="43"/>
        <v/>
      </c>
    </row>
    <row r="161" spans="12:108" ht="14.25" customHeight="1">
      <c r="L161" s="99"/>
      <c r="M161" s="99"/>
      <c r="N161" s="99"/>
      <c r="O161" s="99"/>
      <c r="P161" s="100"/>
      <c r="Q161" s="101"/>
      <c r="R161" s="101"/>
      <c r="S161" s="101"/>
      <c r="T161" s="101"/>
      <c r="U161" s="19"/>
      <c r="V161" s="19"/>
      <c r="W161" s="19"/>
      <c r="X161" s="99"/>
      <c r="Y161" s="99"/>
      <c r="Z161" s="99"/>
      <c r="AA161" s="99"/>
      <c r="AB161" s="100"/>
      <c r="AC161" s="100"/>
      <c r="AD161" s="100"/>
      <c r="AE161" s="99"/>
      <c r="AF161" s="99"/>
      <c r="AG161" s="99"/>
      <c r="AH161" s="99"/>
      <c r="AI161" s="100"/>
      <c r="AJ161" s="100"/>
      <c r="AK161" s="100"/>
      <c r="AL161" s="19"/>
      <c r="AM161" s="101"/>
      <c r="AN161" s="101"/>
      <c r="AO161" s="101"/>
      <c r="AP161" s="101"/>
      <c r="AQ161" s="19"/>
      <c r="AR161" s="19"/>
      <c r="AS161" s="19"/>
      <c r="AT161" s="99"/>
      <c r="AU161" s="99"/>
      <c r="AV161" s="99"/>
      <c r="AW161" s="99"/>
      <c r="AX161" s="100"/>
      <c r="AY161" s="100"/>
      <c r="AZ161" s="100"/>
      <c r="BA161" s="100"/>
      <c r="BB161" s="100"/>
      <c r="BC161" s="100"/>
      <c r="CW161" s="1">
        <f t="shared" si="36"/>
        <v>0</v>
      </c>
      <c r="CX161" s="1">
        <f t="shared" si="37"/>
        <v>0</v>
      </c>
      <c r="CY161" s="43">
        <f t="shared" si="38"/>
        <v>0</v>
      </c>
      <c r="CZ161" s="43">
        <f t="shared" si="39"/>
        <v>0</v>
      </c>
      <c r="DA161" s="43">
        <f t="shared" si="40"/>
        <v>0</v>
      </c>
      <c r="DB161" s="43" t="str">
        <f t="shared" si="41"/>
        <v/>
      </c>
      <c r="DC161" s="50" t="str">
        <f t="shared" si="42"/>
        <v/>
      </c>
      <c r="DD161" s="50" t="str">
        <f t="shared" si="43"/>
        <v/>
      </c>
    </row>
    <row r="162" spans="12:108" ht="14.25" customHeight="1">
      <c r="L162" s="99"/>
      <c r="M162" s="99"/>
      <c r="N162" s="99"/>
      <c r="O162" s="99"/>
      <c r="P162" s="100"/>
      <c r="Q162" s="101"/>
      <c r="R162" s="101"/>
      <c r="S162" s="101"/>
      <c r="T162" s="101"/>
      <c r="U162" s="19"/>
      <c r="V162" s="19"/>
      <c r="W162" s="19"/>
      <c r="X162" s="99"/>
      <c r="Y162" s="99"/>
      <c r="Z162" s="99"/>
      <c r="AA162" s="99"/>
      <c r="AB162" s="100"/>
      <c r="AC162" s="100"/>
      <c r="AD162" s="100"/>
      <c r="AE162" s="99"/>
      <c r="AF162" s="99"/>
      <c r="AG162" s="99"/>
      <c r="AH162" s="99"/>
      <c r="AI162" s="100"/>
      <c r="AJ162" s="100"/>
      <c r="AK162" s="100"/>
      <c r="AL162" s="19"/>
      <c r="AM162" s="101"/>
      <c r="AN162" s="101"/>
      <c r="AO162" s="101"/>
      <c r="AP162" s="101"/>
      <c r="AQ162" s="19"/>
      <c r="AR162" s="19"/>
      <c r="AS162" s="19"/>
      <c r="AT162" s="99"/>
      <c r="AU162" s="99"/>
      <c r="AV162" s="99"/>
      <c r="AW162" s="99"/>
      <c r="AX162" s="100"/>
      <c r="AY162" s="100"/>
      <c r="AZ162" s="100"/>
      <c r="BA162" s="100"/>
      <c r="BB162" s="100"/>
      <c r="BC162" s="100"/>
      <c r="CW162" s="1">
        <f t="shared" si="36"/>
        <v>0</v>
      </c>
      <c r="CX162" s="1">
        <f t="shared" si="37"/>
        <v>0</v>
      </c>
      <c r="CY162" s="43">
        <f t="shared" si="38"/>
        <v>0</v>
      </c>
      <c r="CZ162" s="43">
        <f t="shared" si="39"/>
        <v>0</v>
      </c>
      <c r="DA162" s="43">
        <f t="shared" si="40"/>
        <v>0</v>
      </c>
      <c r="DB162" s="43" t="str">
        <f t="shared" si="41"/>
        <v/>
      </c>
      <c r="DC162" s="50" t="str">
        <f t="shared" si="42"/>
        <v/>
      </c>
      <c r="DD162" s="50" t="str">
        <f t="shared" si="43"/>
        <v/>
      </c>
    </row>
    <row r="163" spans="12:108" ht="30.9" customHeight="1">
      <c r="L163" s="120"/>
      <c r="M163" s="120"/>
      <c r="N163" s="120"/>
      <c r="O163" s="121"/>
      <c r="P163" s="121"/>
      <c r="Q163" s="100"/>
      <c r="R163" s="100"/>
      <c r="S163" s="100"/>
      <c r="T163" s="100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  <c r="AH163" s="122"/>
      <c r="AI163" s="122"/>
      <c r="AJ163" s="122"/>
      <c r="AK163" s="122"/>
      <c r="AL163" s="122"/>
      <c r="AM163" s="122"/>
      <c r="AN163" s="122"/>
      <c r="AO163" s="122"/>
      <c r="AP163" s="122"/>
      <c r="AQ163" s="122"/>
      <c r="AR163" s="122"/>
      <c r="AS163" s="122"/>
      <c r="AT163" s="122"/>
      <c r="AU163" s="122"/>
      <c r="AV163" s="122"/>
      <c r="AW163" s="122"/>
      <c r="AX163" s="122"/>
      <c r="AY163" s="122"/>
      <c r="AZ163" s="122"/>
      <c r="BA163" s="122"/>
      <c r="BB163" s="122"/>
      <c r="BC163" s="122"/>
      <c r="CW163" s="1">
        <f t="shared" si="36"/>
        <v>0</v>
      </c>
      <c r="CX163" s="1">
        <f t="shared" si="37"/>
        <v>0</v>
      </c>
      <c r="CY163" s="43">
        <f t="shared" si="38"/>
        <v>0</v>
      </c>
      <c r="CZ163" s="43">
        <f t="shared" si="39"/>
        <v>0</v>
      </c>
      <c r="DA163" s="43">
        <f t="shared" si="40"/>
        <v>0</v>
      </c>
      <c r="DB163" s="43" t="str">
        <f t="shared" si="41"/>
        <v/>
      </c>
      <c r="DC163" s="50" t="str">
        <f t="shared" si="42"/>
        <v/>
      </c>
      <c r="DD163" s="50" t="str">
        <f t="shared" si="43"/>
        <v/>
      </c>
    </row>
    <row r="164" spans="12:108" ht="30.9" customHeight="1">
      <c r="L164" s="123"/>
      <c r="M164" s="123"/>
      <c r="O164" s="124"/>
      <c r="P164" s="124"/>
      <c r="Q164" s="100"/>
      <c r="R164" s="100"/>
      <c r="S164" s="100"/>
      <c r="T164" s="100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  <c r="AH164" s="122"/>
      <c r="AI164" s="122"/>
      <c r="AJ164" s="122"/>
      <c r="AK164" s="122"/>
      <c r="AL164" s="122"/>
      <c r="AM164" s="122"/>
      <c r="AN164" s="122"/>
      <c r="AO164" s="122"/>
      <c r="AP164" s="122"/>
      <c r="AQ164" s="122"/>
      <c r="AR164" s="122"/>
      <c r="AS164" s="122"/>
      <c r="AT164" s="122"/>
      <c r="AU164" s="122"/>
      <c r="AV164" s="122"/>
      <c r="AW164" s="122"/>
      <c r="AX164" s="122"/>
      <c r="AY164" s="122"/>
      <c r="AZ164" s="122"/>
      <c r="BA164" s="122"/>
      <c r="BB164" s="122"/>
      <c r="BC164" s="122"/>
      <c r="CW164" s="1">
        <f t="shared" si="36"/>
        <v>0</v>
      </c>
      <c r="CX164" s="1">
        <f t="shared" si="37"/>
        <v>0</v>
      </c>
      <c r="CY164" s="43">
        <f t="shared" si="38"/>
        <v>0</v>
      </c>
      <c r="CZ164" s="43">
        <f t="shared" si="39"/>
        <v>0</v>
      </c>
      <c r="DA164" s="43">
        <f t="shared" si="40"/>
        <v>0</v>
      </c>
      <c r="DB164" s="43" t="str">
        <f t="shared" si="41"/>
        <v/>
      </c>
      <c r="DC164" s="50" t="str">
        <f t="shared" si="42"/>
        <v/>
      </c>
      <c r="DD164" s="50" t="str">
        <f t="shared" si="43"/>
        <v/>
      </c>
    </row>
    <row r="165" spans="12:108" ht="14.25" customHeight="1">
      <c r="L165" s="99"/>
      <c r="M165" s="99"/>
      <c r="N165" s="99"/>
      <c r="O165" s="99"/>
      <c r="P165" s="100"/>
      <c r="Q165" s="101"/>
      <c r="R165" s="101"/>
      <c r="S165" s="101"/>
      <c r="T165" s="101"/>
      <c r="U165" s="99"/>
      <c r="V165" s="99"/>
      <c r="W165" s="100"/>
      <c r="X165" s="100"/>
      <c r="Y165" s="99"/>
      <c r="Z165" s="99"/>
      <c r="AA165" s="100"/>
      <c r="AB165" s="100"/>
      <c r="AC165" s="100"/>
      <c r="AD165" s="100"/>
      <c r="AE165" s="99"/>
      <c r="AF165" s="99"/>
      <c r="AG165" s="100"/>
      <c r="AH165" s="100"/>
      <c r="AI165" s="99"/>
      <c r="AJ165" s="99"/>
      <c r="AK165" s="100"/>
      <c r="AL165" s="100"/>
      <c r="AM165" s="101"/>
      <c r="AN165" s="101"/>
      <c r="AO165" s="101"/>
      <c r="AP165" s="101"/>
      <c r="AQ165" s="19"/>
      <c r="AR165" s="19"/>
      <c r="AS165" s="19"/>
      <c r="AT165" s="99"/>
      <c r="AU165" s="99"/>
      <c r="AV165" s="99"/>
      <c r="AW165" s="99"/>
      <c r="AX165" s="100"/>
      <c r="AY165" s="100"/>
      <c r="AZ165" s="100"/>
      <c r="BA165" s="100"/>
      <c r="BB165" s="100"/>
      <c r="BC165" s="100"/>
      <c r="CW165" s="1">
        <f t="shared" si="36"/>
        <v>0</v>
      </c>
      <c r="CX165" s="1">
        <f t="shared" si="37"/>
        <v>0</v>
      </c>
      <c r="CY165" s="43">
        <f t="shared" si="38"/>
        <v>0</v>
      </c>
      <c r="CZ165" s="43">
        <f t="shared" si="39"/>
        <v>0</v>
      </c>
      <c r="DA165" s="43">
        <f t="shared" si="40"/>
        <v>0</v>
      </c>
      <c r="DB165" s="43" t="str">
        <f t="shared" si="41"/>
        <v/>
      </c>
      <c r="DC165" s="50" t="str">
        <f t="shared" si="42"/>
        <v/>
      </c>
      <c r="DD165" s="50" t="str">
        <f t="shared" si="43"/>
        <v/>
      </c>
    </row>
    <row r="166" spans="12:108" ht="14.25" customHeight="1">
      <c r="L166" s="99"/>
      <c r="M166" s="99"/>
      <c r="N166" s="99"/>
      <c r="O166" s="99"/>
      <c r="P166" s="100"/>
      <c r="Q166" s="101"/>
      <c r="R166" s="101"/>
      <c r="S166" s="101"/>
      <c r="T166" s="101"/>
      <c r="U166" s="99"/>
      <c r="V166" s="99"/>
      <c r="W166" s="100"/>
      <c r="X166" s="100"/>
      <c r="Y166" s="99"/>
      <c r="Z166" s="99"/>
      <c r="AA166" s="100"/>
      <c r="AB166" s="100"/>
      <c r="AC166" s="100"/>
      <c r="AD166" s="100"/>
      <c r="AE166" s="99"/>
      <c r="AF166" s="99"/>
      <c r="AG166" s="100"/>
      <c r="AH166" s="100"/>
      <c r="AI166" s="99"/>
      <c r="AJ166" s="99"/>
      <c r="AK166" s="100"/>
      <c r="AL166" s="100"/>
      <c r="AM166" s="101"/>
      <c r="AN166" s="101"/>
      <c r="AO166" s="101"/>
      <c r="AP166" s="101"/>
      <c r="AQ166" s="19"/>
      <c r="AR166" s="19"/>
      <c r="AS166" s="19"/>
      <c r="AT166" s="99"/>
      <c r="AU166" s="99"/>
      <c r="AV166" s="99"/>
      <c r="AW166" s="99"/>
      <c r="AX166" s="100"/>
      <c r="AY166" s="100"/>
      <c r="AZ166" s="100"/>
      <c r="BA166" s="100"/>
      <c r="BB166" s="100"/>
      <c r="BC166" s="100"/>
      <c r="CW166" s="1">
        <f t="shared" si="36"/>
        <v>0</v>
      </c>
      <c r="CX166" s="1">
        <f t="shared" si="37"/>
        <v>0</v>
      </c>
      <c r="CY166" s="43">
        <f t="shared" si="38"/>
        <v>0</v>
      </c>
      <c r="CZ166" s="43">
        <f t="shared" si="39"/>
        <v>0</v>
      </c>
      <c r="DA166" s="43">
        <f t="shared" si="40"/>
        <v>0</v>
      </c>
      <c r="DB166" s="43" t="str">
        <f t="shared" si="41"/>
        <v/>
      </c>
      <c r="DC166" s="50" t="str">
        <f t="shared" si="42"/>
        <v/>
      </c>
      <c r="DD166" s="50" t="str">
        <f t="shared" si="43"/>
        <v/>
      </c>
    </row>
    <row r="167" spans="12:108" ht="14.25" customHeight="1">
      <c r="L167" s="99"/>
      <c r="M167" s="99"/>
      <c r="N167" s="99"/>
      <c r="O167" s="99"/>
      <c r="P167" s="100"/>
      <c r="Q167" s="101"/>
      <c r="R167" s="101"/>
      <c r="S167" s="101"/>
      <c r="T167" s="101"/>
      <c r="U167" s="99"/>
      <c r="V167" s="99"/>
      <c r="W167" s="100"/>
      <c r="X167" s="100"/>
      <c r="Y167" s="99"/>
      <c r="Z167" s="99"/>
      <c r="AA167" s="100"/>
      <c r="AB167" s="100"/>
      <c r="AC167" s="100"/>
      <c r="AD167" s="100"/>
      <c r="AE167" s="99"/>
      <c r="AF167" s="99"/>
      <c r="AG167" s="100"/>
      <c r="AH167" s="100"/>
      <c r="AI167" s="99"/>
      <c r="AJ167" s="99"/>
      <c r="AK167" s="100"/>
      <c r="AL167" s="100"/>
      <c r="AM167" s="101"/>
      <c r="AN167" s="101"/>
      <c r="AO167" s="101"/>
      <c r="AP167" s="101"/>
      <c r="AQ167" s="19"/>
      <c r="AR167" s="19"/>
      <c r="AS167" s="19"/>
      <c r="AT167" s="99"/>
      <c r="AU167" s="99"/>
      <c r="AV167" s="99"/>
      <c r="AW167" s="99"/>
      <c r="AX167" s="100"/>
      <c r="AY167" s="100"/>
      <c r="AZ167" s="100"/>
      <c r="BA167" s="100"/>
      <c r="BB167" s="100"/>
      <c r="BC167" s="100"/>
      <c r="CW167" s="1">
        <f t="shared" si="36"/>
        <v>0</v>
      </c>
      <c r="CX167" s="1">
        <f t="shared" si="37"/>
        <v>0</v>
      </c>
      <c r="CY167" s="43">
        <f t="shared" si="38"/>
        <v>0</v>
      </c>
      <c r="CZ167" s="43">
        <f t="shared" si="39"/>
        <v>0</v>
      </c>
      <c r="DA167" s="43">
        <f t="shared" si="40"/>
        <v>0</v>
      </c>
      <c r="DB167" s="43" t="str">
        <f t="shared" si="41"/>
        <v/>
      </c>
      <c r="DC167" s="50" t="str">
        <f t="shared" si="42"/>
        <v/>
      </c>
      <c r="DD167" s="50" t="str">
        <f t="shared" si="43"/>
        <v/>
      </c>
    </row>
    <row r="168" spans="12:108" ht="14.25" customHeight="1">
      <c r="L168" s="99"/>
      <c r="M168" s="99"/>
      <c r="N168" s="99"/>
      <c r="O168" s="99"/>
      <c r="P168" s="100"/>
      <c r="Q168" s="101"/>
      <c r="R168" s="101"/>
      <c r="S168" s="101"/>
      <c r="T168" s="101"/>
      <c r="U168" s="47"/>
      <c r="V168" s="47"/>
      <c r="W168" s="47"/>
      <c r="X168" s="99"/>
      <c r="Y168" s="99"/>
      <c r="Z168" s="99"/>
      <c r="AA168" s="99"/>
      <c r="AB168" s="100"/>
      <c r="AC168" s="100"/>
      <c r="AD168" s="100"/>
      <c r="AE168" s="99"/>
      <c r="AF168" s="99"/>
      <c r="AG168" s="99"/>
      <c r="AH168" s="99"/>
      <c r="AI168" s="100"/>
      <c r="AJ168" s="100"/>
      <c r="AK168" s="100"/>
      <c r="AL168" s="47"/>
      <c r="AM168" s="101"/>
      <c r="AN168" s="101"/>
      <c r="AO168" s="101"/>
      <c r="AP168" s="101"/>
      <c r="AQ168" s="19"/>
      <c r="AR168" s="19"/>
      <c r="AS168" s="19"/>
      <c r="AT168" s="99"/>
      <c r="AU168" s="99"/>
      <c r="AV168" s="99"/>
      <c r="AW168" s="99"/>
      <c r="AX168" s="100"/>
      <c r="AY168" s="100"/>
      <c r="AZ168" s="100"/>
      <c r="BA168" s="100"/>
      <c r="BB168" s="100"/>
      <c r="BC168" s="100"/>
      <c r="CW168" s="1">
        <f t="shared" si="36"/>
        <v>0</v>
      </c>
      <c r="CX168" s="1">
        <f t="shared" si="37"/>
        <v>0</v>
      </c>
      <c r="CY168" s="43">
        <f t="shared" si="38"/>
        <v>0</v>
      </c>
      <c r="CZ168" s="43">
        <f t="shared" si="39"/>
        <v>0</v>
      </c>
      <c r="DA168" s="43">
        <f t="shared" si="40"/>
        <v>0</v>
      </c>
      <c r="DB168" s="43" t="str">
        <f t="shared" si="41"/>
        <v/>
      </c>
      <c r="DC168" s="50" t="str">
        <f t="shared" si="42"/>
        <v/>
      </c>
      <c r="DD168" s="50" t="str">
        <f t="shared" si="43"/>
        <v/>
      </c>
    </row>
    <row r="169" spans="12:108" ht="14.25" customHeight="1">
      <c r="L169" s="99"/>
      <c r="M169" s="99"/>
      <c r="N169" s="99"/>
      <c r="O169" s="99"/>
      <c r="P169" s="100"/>
      <c r="Q169" s="101"/>
      <c r="R169" s="101"/>
      <c r="S169" s="101"/>
      <c r="T169" s="101"/>
      <c r="U169" s="19"/>
      <c r="V169" s="19"/>
      <c r="W169" s="19"/>
      <c r="X169" s="99"/>
      <c r="Y169" s="99"/>
      <c r="Z169" s="99"/>
      <c r="AA169" s="99"/>
      <c r="AB169" s="100"/>
      <c r="AC169" s="100"/>
      <c r="AD169" s="100"/>
      <c r="AE169" s="99"/>
      <c r="AF169" s="99"/>
      <c r="AG169" s="99"/>
      <c r="AH169" s="99"/>
      <c r="AI169" s="100"/>
      <c r="AJ169" s="100"/>
      <c r="AK169" s="100"/>
      <c r="AL169" s="19"/>
      <c r="AM169" s="101"/>
      <c r="AN169" s="101"/>
      <c r="AO169" s="101"/>
      <c r="AP169" s="101"/>
      <c r="AQ169" s="19"/>
      <c r="AR169" s="19"/>
      <c r="AS169" s="19"/>
      <c r="AT169" s="99"/>
      <c r="AU169" s="99"/>
      <c r="AV169" s="99"/>
      <c r="AW169" s="99"/>
      <c r="AX169" s="100"/>
      <c r="AY169" s="100"/>
      <c r="AZ169" s="100"/>
      <c r="BA169" s="100"/>
      <c r="BB169" s="100"/>
      <c r="BC169" s="100"/>
      <c r="CW169" s="1">
        <f t="shared" si="36"/>
        <v>0</v>
      </c>
      <c r="CX169" s="1">
        <f t="shared" si="37"/>
        <v>0</v>
      </c>
      <c r="CY169" s="43">
        <f t="shared" si="38"/>
        <v>0</v>
      </c>
      <c r="CZ169" s="43">
        <f t="shared" si="39"/>
        <v>0</v>
      </c>
      <c r="DA169" s="43">
        <f t="shared" si="40"/>
        <v>0</v>
      </c>
      <c r="DB169" s="43" t="str">
        <f t="shared" si="41"/>
        <v/>
      </c>
      <c r="DC169" s="50" t="str">
        <f t="shared" si="42"/>
        <v/>
      </c>
      <c r="DD169" s="50" t="str">
        <f t="shared" si="43"/>
        <v/>
      </c>
    </row>
    <row r="170" spans="12:108" ht="14.25" customHeight="1">
      <c r="L170" s="99"/>
      <c r="M170" s="99"/>
      <c r="N170" s="99"/>
      <c r="O170" s="99"/>
      <c r="P170" s="100"/>
      <c r="Q170" s="101"/>
      <c r="R170" s="101"/>
      <c r="S170" s="101"/>
      <c r="T170" s="101"/>
      <c r="U170" s="19"/>
      <c r="V170" s="19"/>
      <c r="W170" s="19"/>
      <c r="X170" s="99"/>
      <c r="Y170" s="99"/>
      <c r="Z170" s="99"/>
      <c r="AA170" s="99"/>
      <c r="AB170" s="100"/>
      <c r="AC170" s="100"/>
      <c r="AD170" s="100"/>
      <c r="AE170" s="99"/>
      <c r="AF170" s="99"/>
      <c r="AG170" s="99"/>
      <c r="AH170" s="99"/>
      <c r="AI170" s="100"/>
      <c r="AJ170" s="100"/>
      <c r="AK170" s="100"/>
      <c r="AL170" s="19"/>
      <c r="AM170" s="101"/>
      <c r="AN170" s="101"/>
      <c r="AO170" s="101"/>
      <c r="AP170" s="101"/>
      <c r="AQ170" s="19"/>
      <c r="AR170" s="19"/>
      <c r="AS170" s="19"/>
      <c r="AT170" s="99"/>
      <c r="AU170" s="99"/>
      <c r="AV170" s="99"/>
      <c r="AW170" s="99"/>
      <c r="AX170" s="100"/>
      <c r="AY170" s="100"/>
      <c r="AZ170" s="100"/>
      <c r="BA170" s="100"/>
      <c r="BB170" s="100"/>
      <c r="BC170" s="100"/>
      <c r="CW170" s="1">
        <f t="shared" si="36"/>
        <v>0</v>
      </c>
      <c r="CX170" s="1">
        <f t="shared" si="37"/>
        <v>0</v>
      </c>
      <c r="CY170" s="43">
        <f t="shared" si="38"/>
        <v>0</v>
      </c>
      <c r="CZ170" s="43">
        <f t="shared" si="39"/>
        <v>0</v>
      </c>
      <c r="DA170" s="43">
        <f t="shared" si="40"/>
        <v>0</v>
      </c>
      <c r="DB170" s="43" t="str">
        <f t="shared" si="41"/>
        <v/>
      </c>
      <c r="DC170" s="50" t="str">
        <f t="shared" si="42"/>
        <v/>
      </c>
      <c r="DD170" s="50" t="str">
        <f t="shared" si="43"/>
        <v/>
      </c>
    </row>
    <row r="171" spans="12:108" ht="30.9" customHeight="1">
      <c r="L171" s="120"/>
      <c r="M171" s="120"/>
      <c r="N171" s="120"/>
      <c r="O171" s="121"/>
      <c r="P171" s="121"/>
      <c r="Q171" s="100"/>
      <c r="R171" s="100"/>
      <c r="S171" s="100"/>
      <c r="T171" s="100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  <c r="AH171" s="122"/>
      <c r="AI171" s="122"/>
      <c r="AJ171" s="122"/>
      <c r="AK171" s="122"/>
      <c r="AL171" s="122"/>
      <c r="AM171" s="122"/>
      <c r="AN171" s="122"/>
      <c r="AO171" s="122"/>
      <c r="AP171" s="122"/>
      <c r="AQ171" s="122"/>
      <c r="AR171" s="122"/>
      <c r="AS171" s="122"/>
      <c r="AT171" s="122"/>
      <c r="AU171" s="122"/>
      <c r="AV171" s="122"/>
      <c r="AW171" s="122"/>
      <c r="AX171" s="122"/>
      <c r="AY171" s="122"/>
      <c r="AZ171" s="122"/>
      <c r="BA171" s="122"/>
      <c r="BB171" s="122"/>
      <c r="BC171" s="122"/>
      <c r="CW171" s="1">
        <f t="shared" si="36"/>
        <v>0</v>
      </c>
      <c r="CX171" s="1">
        <f t="shared" si="37"/>
        <v>0</v>
      </c>
      <c r="CY171" s="43">
        <f t="shared" si="38"/>
        <v>0</v>
      </c>
      <c r="CZ171" s="43">
        <f t="shared" si="39"/>
        <v>0</v>
      </c>
      <c r="DA171" s="43">
        <f t="shared" si="40"/>
        <v>0</v>
      </c>
      <c r="DB171" s="43" t="str">
        <f t="shared" si="41"/>
        <v/>
      </c>
      <c r="DC171" s="50" t="str">
        <f t="shared" si="42"/>
        <v/>
      </c>
      <c r="DD171" s="50" t="str">
        <f t="shared" si="43"/>
        <v/>
      </c>
    </row>
    <row r="172" spans="12:108" ht="30.9" customHeight="1">
      <c r="L172" s="123"/>
      <c r="M172" s="123"/>
      <c r="O172" s="124"/>
      <c r="P172" s="124"/>
      <c r="Q172" s="100"/>
      <c r="R172" s="100"/>
      <c r="S172" s="100"/>
      <c r="T172" s="100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  <c r="AH172" s="122"/>
      <c r="AI172" s="122"/>
      <c r="AJ172" s="122"/>
      <c r="AK172" s="122"/>
      <c r="AL172" s="122"/>
      <c r="AM172" s="122"/>
      <c r="AN172" s="122"/>
      <c r="AO172" s="122"/>
      <c r="AP172" s="122"/>
      <c r="AQ172" s="122"/>
      <c r="AR172" s="122"/>
      <c r="AS172" s="122"/>
      <c r="AT172" s="122"/>
      <c r="AU172" s="122"/>
      <c r="AV172" s="122"/>
      <c r="AW172" s="122"/>
      <c r="AX172" s="122"/>
      <c r="AY172" s="122"/>
      <c r="AZ172" s="122"/>
      <c r="BA172" s="122"/>
      <c r="BB172" s="122"/>
      <c r="BC172" s="122"/>
      <c r="CW172" s="1">
        <f t="shared" si="36"/>
        <v>0</v>
      </c>
      <c r="CX172" s="1">
        <f t="shared" si="37"/>
        <v>0</v>
      </c>
      <c r="CY172" s="43">
        <f t="shared" si="38"/>
        <v>0</v>
      </c>
      <c r="CZ172" s="43">
        <f t="shared" si="39"/>
        <v>0</v>
      </c>
      <c r="DA172" s="43">
        <f t="shared" si="40"/>
        <v>0</v>
      </c>
      <c r="DB172" s="43" t="str">
        <f t="shared" si="41"/>
        <v/>
      </c>
      <c r="DC172" s="50" t="str">
        <f t="shared" si="42"/>
        <v/>
      </c>
      <c r="DD172" s="50" t="str">
        <f t="shared" si="43"/>
        <v/>
      </c>
    </row>
    <row r="173" spans="12:108" ht="14.25" customHeight="1">
      <c r="L173" s="99"/>
      <c r="M173" s="99"/>
      <c r="N173" s="99"/>
      <c r="O173" s="99"/>
      <c r="P173" s="100"/>
      <c r="Q173" s="101"/>
      <c r="R173" s="101"/>
      <c r="S173" s="101"/>
      <c r="T173" s="101"/>
      <c r="U173" s="99"/>
      <c r="V173" s="99"/>
      <c r="W173" s="100"/>
      <c r="X173" s="100"/>
      <c r="Y173" s="99"/>
      <c r="Z173" s="99"/>
      <c r="AA173" s="100"/>
      <c r="AB173" s="100"/>
      <c r="AC173" s="100"/>
      <c r="AD173" s="100"/>
      <c r="AE173" s="99"/>
      <c r="AF173" s="99"/>
      <c r="AG173" s="100"/>
      <c r="AH173" s="100"/>
      <c r="AI173" s="99"/>
      <c r="AJ173" s="99"/>
      <c r="AK173" s="100"/>
      <c r="AL173" s="100"/>
      <c r="AM173" s="101"/>
      <c r="AN173" s="101"/>
      <c r="AO173" s="101"/>
      <c r="AP173" s="101"/>
      <c r="AQ173" s="19"/>
      <c r="AR173" s="19"/>
      <c r="AS173" s="19"/>
      <c r="AT173" s="99"/>
      <c r="AU173" s="99"/>
      <c r="AV173" s="99"/>
      <c r="AW173" s="99"/>
      <c r="AX173" s="100"/>
      <c r="AY173" s="100"/>
      <c r="AZ173" s="100"/>
      <c r="BA173" s="100"/>
      <c r="BB173" s="100"/>
      <c r="BC173" s="100"/>
      <c r="CW173" s="1">
        <f t="shared" si="36"/>
        <v>0</v>
      </c>
      <c r="CX173" s="1">
        <f t="shared" si="37"/>
        <v>0</v>
      </c>
      <c r="CY173" s="43">
        <f t="shared" si="38"/>
        <v>0</v>
      </c>
      <c r="CZ173" s="43">
        <f t="shared" si="39"/>
        <v>0</v>
      </c>
      <c r="DA173" s="43">
        <f t="shared" si="40"/>
        <v>0</v>
      </c>
      <c r="DB173" s="43" t="str">
        <f t="shared" si="41"/>
        <v/>
      </c>
      <c r="DC173" s="50" t="str">
        <f t="shared" si="42"/>
        <v/>
      </c>
      <c r="DD173" s="50" t="str">
        <f t="shared" si="43"/>
        <v/>
      </c>
    </row>
    <row r="174" spans="12:108" ht="14.25" customHeight="1">
      <c r="L174" s="99"/>
      <c r="M174" s="99"/>
      <c r="N174" s="99"/>
      <c r="O174" s="99"/>
      <c r="P174" s="100"/>
      <c r="Q174" s="101"/>
      <c r="R174" s="101"/>
      <c r="S174" s="101"/>
      <c r="T174" s="101"/>
      <c r="U174" s="99"/>
      <c r="V174" s="99"/>
      <c r="W174" s="100"/>
      <c r="X174" s="100"/>
      <c r="Y174" s="99"/>
      <c r="Z174" s="99"/>
      <c r="AA174" s="100"/>
      <c r="AB174" s="100"/>
      <c r="AC174" s="100"/>
      <c r="AD174" s="100"/>
      <c r="AE174" s="99"/>
      <c r="AF174" s="99"/>
      <c r="AG174" s="100"/>
      <c r="AH174" s="100"/>
      <c r="AI174" s="99"/>
      <c r="AJ174" s="99"/>
      <c r="AK174" s="100"/>
      <c r="AL174" s="100"/>
      <c r="AM174" s="101"/>
      <c r="AN174" s="101"/>
      <c r="AO174" s="101"/>
      <c r="AP174" s="101"/>
      <c r="AQ174" s="19"/>
      <c r="AR174" s="19"/>
      <c r="AS174" s="19"/>
      <c r="AT174" s="99"/>
      <c r="AU174" s="99"/>
      <c r="AV174" s="99"/>
      <c r="AW174" s="99"/>
      <c r="AX174" s="100"/>
      <c r="AY174" s="100"/>
      <c r="AZ174" s="100"/>
      <c r="BA174" s="100"/>
      <c r="BB174" s="100"/>
      <c r="BC174" s="100"/>
      <c r="CW174" s="1">
        <f t="shared" si="36"/>
        <v>0</v>
      </c>
      <c r="CX174" s="1">
        <f t="shared" si="37"/>
        <v>0</v>
      </c>
      <c r="CY174" s="43">
        <f t="shared" si="38"/>
        <v>0</v>
      </c>
      <c r="CZ174" s="43">
        <f t="shared" si="39"/>
        <v>0</v>
      </c>
      <c r="DA174" s="43">
        <f t="shared" si="40"/>
        <v>0</v>
      </c>
      <c r="DB174" s="43" t="str">
        <f t="shared" si="41"/>
        <v/>
      </c>
      <c r="DC174" s="50" t="str">
        <f t="shared" si="42"/>
        <v/>
      </c>
      <c r="DD174" s="50" t="str">
        <f t="shared" si="43"/>
        <v/>
      </c>
    </row>
    <row r="175" spans="12:108" ht="14.25" customHeight="1">
      <c r="L175" s="99"/>
      <c r="M175" s="99"/>
      <c r="N175" s="99"/>
      <c r="O175" s="99"/>
      <c r="P175" s="100"/>
      <c r="Q175" s="101"/>
      <c r="R175" s="101"/>
      <c r="S175" s="101"/>
      <c r="T175" s="101"/>
      <c r="U175" s="99"/>
      <c r="V175" s="99"/>
      <c r="W175" s="100"/>
      <c r="X175" s="100"/>
      <c r="Y175" s="99"/>
      <c r="Z175" s="99"/>
      <c r="AA175" s="100"/>
      <c r="AB175" s="100"/>
      <c r="AC175" s="100"/>
      <c r="AD175" s="100"/>
      <c r="AE175" s="99"/>
      <c r="AF175" s="99"/>
      <c r="AG175" s="100"/>
      <c r="AH175" s="100"/>
      <c r="AI175" s="99"/>
      <c r="AJ175" s="99"/>
      <c r="AK175" s="100"/>
      <c r="AL175" s="100"/>
      <c r="AM175" s="101"/>
      <c r="AN175" s="101"/>
      <c r="AO175" s="101"/>
      <c r="AP175" s="101"/>
      <c r="AQ175" s="19"/>
      <c r="AR175" s="19"/>
      <c r="AS175" s="19"/>
      <c r="AT175" s="99"/>
      <c r="AU175" s="99"/>
      <c r="AV175" s="99"/>
      <c r="AW175" s="99"/>
      <c r="AX175" s="100"/>
      <c r="AY175" s="100"/>
      <c r="AZ175" s="100"/>
      <c r="BA175" s="100"/>
      <c r="BB175" s="100"/>
      <c r="BC175" s="100"/>
      <c r="CW175" s="1">
        <f t="shared" si="36"/>
        <v>0</v>
      </c>
      <c r="CX175" s="1">
        <f t="shared" si="37"/>
        <v>0</v>
      </c>
      <c r="CY175" s="43">
        <f t="shared" si="38"/>
        <v>0</v>
      </c>
      <c r="CZ175" s="43">
        <f t="shared" si="39"/>
        <v>0</v>
      </c>
      <c r="DA175" s="43">
        <f t="shared" si="40"/>
        <v>0</v>
      </c>
      <c r="DB175" s="43" t="str">
        <f t="shared" si="41"/>
        <v/>
      </c>
      <c r="DC175" s="50" t="str">
        <f t="shared" si="42"/>
        <v/>
      </c>
      <c r="DD175" s="50" t="str">
        <f t="shared" si="43"/>
        <v/>
      </c>
    </row>
    <row r="176" spans="12:108" ht="14.25" customHeight="1">
      <c r="L176" s="99"/>
      <c r="M176" s="99"/>
      <c r="N176" s="99"/>
      <c r="O176" s="99"/>
      <c r="P176" s="100"/>
      <c r="Q176" s="101"/>
      <c r="R176" s="101"/>
      <c r="S176" s="101"/>
      <c r="T176" s="101"/>
      <c r="U176" s="47"/>
      <c r="V176" s="47"/>
      <c r="W176" s="47"/>
      <c r="X176" s="99"/>
      <c r="Y176" s="99"/>
      <c r="Z176" s="99"/>
      <c r="AA176" s="99"/>
      <c r="AB176" s="100"/>
      <c r="AC176" s="100"/>
      <c r="AD176" s="100"/>
      <c r="AE176" s="99"/>
      <c r="AF176" s="99"/>
      <c r="AG176" s="99"/>
      <c r="AH176" s="99"/>
      <c r="AI176" s="100"/>
      <c r="AJ176" s="100"/>
      <c r="AK176" s="100"/>
      <c r="AL176" s="47"/>
      <c r="AM176" s="101"/>
      <c r="AN176" s="101"/>
      <c r="AO176" s="101"/>
      <c r="AP176" s="101"/>
      <c r="AQ176" s="19"/>
      <c r="AR176" s="19"/>
      <c r="AS176" s="19"/>
      <c r="AT176" s="99"/>
      <c r="AU176" s="99"/>
      <c r="AV176" s="99"/>
      <c r="AW176" s="99"/>
      <c r="AX176" s="100"/>
      <c r="AY176" s="100"/>
      <c r="AZ176" s="100"/>
      <c r="BA176" s="100"/>
      <c r="BB176" s="100"/>
      <c r="BC176" s="100"/>
      <c r="CW176" s="1">
        <f t="shared" si="36"/>
        <v>0</v>
      </c>
      <c r="CX176" s="1">
        <f t="shared" si="37"/>
        <v>0</v>
      </c>
      <c r="CY176" s="43">
        <f t="shared" si="38"/>
        <v>0</v>
      </c>
      <c r="CZ176" s="43">
        <f t="shared" si="39"/>
        <v>0</v>
      </c>
      <c r="DA176" s="43">
        <f t="shared" si="40"/>
        <v>0</v>
      </c>
      <c r="DB176" s="43" t="str">
        <f t="shared" si="41"/>
        <v/>
      </c>
      <c r="DC176" s="50" t="str">
        <f t="shared" si="42"/>
        <v/>
      </c>
      <c r="DD176" s="50" t="str">
        <f t="shared" si="43"/>
        <v/>
      </c>
    </row>
    <row r="177" spans="1:109" ht="14.25" customHeight="1">
      <c r="L177" s="99"/>
      <c r="M177" s="99"/>
      <c r="N177" s="99"/>
      <c r="O177" s="99"/>
      <c r="P177" s="100"/>
      <c r="Q177" s="101"/>
      <c r="R177" s="101"/>
      <c r="S177" s="101"/>
      <c r="T177" s="101"/>
      <c r="U177" s="19"/>
      <c r="V177" s="19"/>
      <c r="W177" s="19"/>
      <c r="X177" s="99"/>
      <c r="Y177" s="99"/>
      <c r="Z177" s="99"/>
      <c r="AA177" s="99"/>
      <c r="AB177" s="100"/>
      <c r="AC177" s="100"/>
      <c r="AD177" s="100"/>
      <c r="AE177" s="99"/>
      <c r="AF177" s="99"/>
      <c r="AG177" s="99"/>
      <c r="AH177" s="99"/>
      <c r="AI177" s="100"/>
      <c r="AJ177" s="100"/>
      <c r="AK177" s="100"/>
      <c r="AL177" s="19"/>
      <c r="AM177" s="101"/>
      <c r="AN177" s="101"/>
      <c r="AO177" s="101"/>
      <c r="AP177" s="101"/>
      <c r="AQ177" s="19"/>
      <c r="AR177" s="19"/>
      <c r="AS177" s="19"/>
      <c r="AT177" s="99"/>
      <c r="AU177" s="99"/>
      <c r="AV177" s="99"/>
      <c r="AW177" s="99"/>
      <c r="AX177" s="100"/>
      <c r="AY177" s="100"/>
      <c r="AZ177" s="100"/>
      <c r="BA177" s="100"/>
      <c r="BB177" s="100"/>
      <c r="BC177" s="100"/>
      <c r="CW177" s="1">
        <f t="shared" si="36"/>
        <v>0</v>
      </c>
      <c r="CX177" s="1">
        <f t="shared" si="37"/>
        <v>0</v>
      </c>
      <c r="CY177" s="43">
        <f t="shared" si="38"/>
        <v>0</v>
      </c>
      <c r="CZ177" s="43">
        <f t="shared" si="39"/>
        <v>0</v>
      </c>
      <c r="DA177" s="43">
        <f t="shared" si="40"/>
        <v>0</v>
      </c>
      <c r="DB177" s="43" t="str">
        <f t="shared" si="41"/>
        <v/>
      </c>
      <c r="DC177" s="50" t="str">
        <f t="shared" si="42"/>
        <v/>
      </c>
      <c r="DD177" s="50" t="str">
        <f t="shared" si="43"/>
        <v/>
      </c>
    </row>
    <row r="178" spans="1:109" ht="14.25" customHeight="1">
      <c r="L178" s="99"/>
      <c r="M178" s="99"/>
      <c r="N178" s="99"/>
      <c r="O178" s="99"/>
      <c r="P178" s="100"/>
      <c r="Q178" s="101"/>
      <c r="R178" s="101"/>
      <c r="S178" s="101"/>
      <c r="T178" s="101"/>
      <c r="U178" s="19"/>
      <c r="V178" s="19"/>
      <c r="W178" s="19"/>
      <c r="X178" s="99"/>
      <c r="Y178" s="99"/>
      <c r="Z178" s="99"/>
      <c r="AA178" s="99"/>
      <c r="AB178" s="100"/>
      <c r="AC178" s="100"/>
      <c r="AD178" s="100"/>
      <c r="AE178" s="99"/>
      <c r="AF178" s="99"/>
      <c r="AG178" s="99"/>
      <c r="AH178" s="99"/>
      <c r="AI178" s="100"/>
      <c r="AJ178" s="100"/>
      <c r="AK178" s="100"/>
      <c r="AL178" s="19"/>
      <c r="AM178" s="101"/>
      <c r="AN178" s="101"/>
      <c r="AO178" s="101"/>
      <c r="AP178" s="101"/>
      <c r="AQ178" s="19"/>
      <c r="AR178" s="19"/>
      <c r="AS178" s="19"/>
      <c r="AT178" s="99"/>
      <c r="AU178" s="99"/>
      <c r="AV178" s="99"/>
      <c r="AW178" s="99"/>
      <c r="AX178" s="100"/>
      <c r="AY178" s="100"/>
      <c r="AZ178" s="100"/>
      <c r="BA178" s="100"/>
      <c r="BB178" s="100"/>
      <c r="BC178" s="100"/>
      <c r="CW178" s="1">
        <f t="shared" si="36"/>
        <v>0</v>
      </c>
      <c r="CX178" s="1">
        <f t="shared" si="37"/>
        <v>0</v>
      </c>
      <c r="CY178" s="43">
        <f t="shared" si="38"/>
        <v>0</v>
      </c>
      <c r="CZ178" s="43">
        <f t="shared" si="39"/>
        <v>0</v>
      </c>
      <c r="DA178" s="43">
        <f t="shared" si="40"/>
        <v>0</v>
      </c>
      <c r="DB178" s="43" t="str">
        <f t="shared" si="41"/>
        <v/>
      </c>
      <c r="DC178" s="50" t="str">
        <f t="shared" si="42"/>
        <v/>
      </c>
      <c r="DD178" s="50" t="str">
        <f t="shared" si="43"/>
        <v/>
      </c>
    </row>
    <row r="179" spans="1:109" ht="30.9" customHeight="1">
      <c r="L179" s="120"/>
      <c r="M179" s="120"/>
      <c r="N179" s="120"/>
      <c r="O179" s="121"/>
      <c r="P179" s="121"/>
      <c r="Q179" s="100"/>
      <c r="R179" s="100"/>
      <c r="S179" s="100"/>
      <c r="T179" s="100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  <c r="AH179" s="122"/>
      <c r="AI179" s="122"/>
      <c r="AJ179" s="122"/>
      <c r="AK179" s="122"/>
      <c r="AL179" s="122"/>
      <c r="AM179" s="122"/>
      <c r="AN179" s="122"/>
      <c r="AO179" s="122"/>
      <c r="AP179" s="122"/>
      <c r="AQ179" s="122"/>
      <c r="AR179" s="122"/>
      <c r="AS179" s="122"/>
      <c r="AT179" s="122"/>
      <c r="AU179" s="122"/>
      <c r="AV179" s="122"/>
      <c r="AW179" s="122"/>
      <c r="AX179" s="122"/>
      <c r="AY179" s="122"/>
      <c r="AZ179" s="122"/>
      <c r="BA179" s="122"/>
      <c r="BB179" s="122"/>
      <c r="BC179" s="122"/>
      <c r="CW179" s="1">
        <f t="shared" si="36"/>
        <v>0</v>
      </c>
      <c r="CX179" s="1">
        <f t="shared" si="37"/>
        <v>0</v>
      </c>
      <c r="CY179" s="43">
        <f t="shared" si="38"/>
        <v>0</v>
      </c>
      <c r="CZ179" s="43">
        <f t="shared" si="39"/>
        <v>0</v>
      </c>
      <c r="DA179" s="43">
        <f t="shared" si="40"/>
        <v>0</v>
      </c>
      <c r="DB179" s="43" t="str">
        <f t="shared" si="41"/>
        <v/>
      </c>
      <c r="DC179" s="50" t="str">
        <f t="shared" si="42"/>
        <v/>
      </c>
      <c r="DD179" s="50" t="str">
        <f t="shared" si="43"/>
        <v/>
      </c>
    </row>
    <row r="180" spans="1:109" ht="30.9" customHeight="1">
      <c r="L180" s="123"/>
      <c r="M180" s="123"/>
      <c r="O180" s="124"/>
      <c r="P180" s="124"/>
      <c r="Q180" s="100"/>
      <c r="R180" s="100"/>
      <c r="S180" s="100"/>
      <c r="T180" s="100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  <c r="AH180" s="122"/>
      <c r="AI180" s="122"/>
      <c r="AJ180" s="122"/>
      <c r="AK180" s="122"/>
      <c r="AL180" s="122"/>
      <c r="AM180" s="122"/>
      <c r="AN180" s="122"/>
      <c r="AO180" s="122"/>
      <c r="AP180" s="122"/>
      <c r="AQ180" s="122"/>
      <c r="AR180" s="122"/>
      <c r="AS180" s="122"/>
      <c r="AT180" s="122"/>
      <c r="AU180" s="122"/>
      <c r="AV180" s="122"/>
      <c r="AW180" s="122"/>
      <c r="AX180" s="122"/>
      <c r="AY180" s="122"/>
      <c r="AZ180" s="122"/>
      <c r="BA180" s="122"/>
      <c r="BB180" s="122"/>
      <c r="BC180" s="122"/>
      <c r="CW180" s="1">
        <f t="shared" si="36"/>
        <v>0</v>
      </c>
      <c r="CX180" s="1">
        <f t="shared" si="37"/>
        <v>0</v>
      </c>
      <c r="CY180" s="43">
        <f t="shared" si="38"/>
        <v>0</v>
      </c>
      <c r="CZ180" s="43">
        <f t="shared" si="39"/>
        <v>0</v>
      </c>
      <c r="DA180" s="43">
        <f t="shared" si="40"/>
        <v>0</v>
      </c>
      <c r="DB180" s="43" t="str">
        <f t="shared" si="41"/>
        <v/>
      </c>
      <c r="DC180" s="50" t="str">
        <f t="shared" si="42"/>
        <v/>
      </c>
      <c r="DD180" s="50" t="str">
        <f t="shared" si="43"/>
        <v/>
      </c>
    </row>
    <row r="181" spans="1:109" ht="14.25" customHeight="1">
      <c r="L181" s="99"/>
      <c r="M181" s="99"/>
      <c r="N181" s="99"/>
      <c r="O181" s="99"/>
      <c r="P181" s="100"/>
      <c r="Q181" s="101"/>
      <c r="R181" s="101"/>
      <c r="S181" s="101"/>
      <c r="T181" s="101"/>
      <c r="U181" s="99"/>
      <c r="V181" s="99"/>
      <c r="W181" s="100"/>
      <c r="X181" s="100"/>
      <c r="Y181" s="99"/>
      <c r="Z181" s="99"/>
      <c r="AA181" s="100"/>
      <c r="AB181" s="100"/>
      <c r="AC181" s="100"/>
      <c r="AD181" s="100"/>
      <c r="AE181" s="99"/>
      <c r="AF181" s="99"/>
      <c r="AG181" s="100"/>
      <c r="AH181" s="100"/>
      <c r="AI181" s="99"/>
      <c r="AJ181" s="99"/>
      <c r="AK181" s="100"/>
      <c r="AL181" s="100"/>
      <c r="AM181" s="101"/>
      <c r="AN181" s="101"/>
      <c r="AO181" s="101"/>
      <c r="AP181" s="101"/>
      <c r="AQ181" s="19"/>
      <c r="AR181" s="19"/>
      <c r="AS181" s="19"/>
      <c r="AT181" s="99"/>
      <c r="AU181" s="99"/>
      <c r="AV181" s="99"/>
      <c r="AW181" s="99"/>
      <c r="AX181" s="100"/>
      <c r="AY181" s="100"/>
      <c r="AZ181" s="100"/>
      <c r="BA181" s="100"/>
      <c r="BB181" s="100"/>
      <c r="BC181" s="100"/>
      <c r="CW181" s="1">
        <f t="shared" si="36"/>
        <v>0</v>
      </c>
      <c r="CX181" s="1">
        <f t="shared" si="37"/>
        <v>0</v>
      </c>
      <c r="CY181" s="43">
        <f t="shared" si="38"/>
        <v>0</v>
      </c>
      <c r="CZ181" s="43">
        <f t="shared" si="39"/>
        <v>0</v>
      </c>
      <c r="DA181" s="43">
        <f t="shared" si="40"/>
        <v>0</v>
      </c>
      <c r="DB181" s="43" t="str">
        <f t="shared" si="41"/>
        <v/>
      </c>
      <c r="DC181" s="50" t="str">
        <f t="shared" si="42"/>
        <v/>
      </c>
      <c r="DD181" s="50" t="str">
        <f t="shared" si="43"/>
        <v/>
      </c>
    </row>
    <row r="182" spans="1:109" ht="14.25" customHeight="1">
      <c r="L182" s="99"/>
      <c r="M182" s="99"/>
      <c r="N182" s="99"/>
      <c r="O182" s="99"/>
      <c r="P182" s="100"/>
      <c r="Q182" s="101"/>
      <c r="R182" s="101"/>
      <c r="S182" s="101"/>
      <c r="T182" s="101"/>
      <c r="U182" s="99"/>
      <c r="V182" s="99"/>
      <c r="W182" s="100"/>
      <c r="X182" s="100"/>
      <c r="Y182" s="99"/>
      <c r="Z182" s="99"/>
      <c r="AA182" s="100"/>
      <c r="AB182" s="100"/>
      <c r="AC182" s="100"/>
      <c r="AD182" s="100"/>
      <c r="AE182" s="99"/>
      <c r="AF182" s="99"/>
      <c r="AG182" s="100"/>
      <c r="AH182" s="100"/>
      <c r="AI182" s="99"/>
      <c r="AJ182" s="99"/>
      <c r="AK182" s="100"/>
      <c r="AL182" s="100"/>
      <c r="AM182" s="101"/>
      <c r="AN182" s="101"/>
      <c r="AO182" s="101"/>
      <c r="AP182" s="101"/>
      <c r="AQ182" s="19"/>
      <c r="AR182" s="19"/>
      <c r="AS182" s="19"/>
      <c r="AT182" s="99"/>
      <c r="AU182" s="99"/>
      <c r="AV182" s="99"/>
      <c r="AW182" s="99"/>
      <c r="AX182" s="100"/>
      <c r="AY182" s="100"/>
      <c r="AZ182" s="100"/>
      <c r="BA182" s="100"/>
      <c r="BB182" s="100"/>
      <c r="BC182" s="100"/>
      <c r="CW182" s="1">
        <f t="shared" si="36"/>
        <v>0</v>
      </c>
      <c r="CX182" s="1">
        <f t="shared" si="37"/>
        <v>0</v>
      </c>
      <c r="CY182" s="43">
        <f t="shared" si="38"/>
        <v>0</v>
      </c>
      <c r="CZ182" s="43">
        <f t="shared" si="39"/>
        <v>0</v>
      </c>
      <c r="DA182" s="43">
        <f t="shared" si="40"/>
        <v>0</v>
      </c>
      <c r="DB182" s="43" t="str">
        <f t="shared" si="41"/>
        <v/>
      </c>
      <c r="DC182" s="50" t="str">
        <f t="shared" si="42"/>
        <v/>
      </c>
      <c r="DD182" s="50" t="str">
        <f t="shared" si="43"/>
        <v/>
      </c>
    </row>
    <row r="183" spans="1:109" ht="14.25" customHeight="1">
      <c r="L183" s="99"/>
      <c r="M183" s="99"/>
      <c r="N183" s="99"/>
      <c r="O183" s="99"/>
      <c r="P183" s="100"/>
      <c r="Q183" s="101"/>
      <c r="R183" s="101"/>
      <c r="S183" s="101"/>
      <c r="T183" s="101"/>
      <c r="U183" s="99"/>
      <c r="V183" s="99"/>
      <c r="W183" s="100"/>
      <c r="X183" s="100"/>
      <c r="Y183" s="99"/>
      <c r="Z183" s="99"/>
      <c r="AA183" s="100"/>
      <c r="AB183" s="100"/>
      <c r="AC183" s="100"/>
      <c r="AD183" s="100"/>
      <c r="AE183" s="99"/>
      <c r="AF183" s="99"/>
      <c r="AG183" s="100"/>
      <c r="AH183" s="100"/>
      <c r="AI183" s="99"/>
      <c r="AJ183" s="99"/>
      <c r="AK183" s="100"/>
      <c r="AL183" s="100"/>
      <c r="AM183" s="101"/>
      <c r="AN183" s="101"/>
      <c r="AO183" s="101"/>
      <c r="AP183" s="101"/>
      <c r="AQ183" s="19"/>
      <c r="AR183" s="19"/>
      <c r="AS183" s="19"/>
      <c r="AT183" s="99"/>
      <c r="AU183" s="99"/>
      <c r="AV183" s="99"/>
      <c r="AW183" s="99"/>
      <c r="AX183" s="100"/>
      <c r="AY183" s="100"/>
      <c r="AZ183" s="100"/>
      <c r="BA183" s="100"/>
      <c r="BB183" s="100"/>
      <c r="BC183" s="100"/>
      <c r="CW183" s="1">
        <f t="shared" si="36"/>
        <v>0</v>
      </c>
      <c r="CX183" s="1">
        <f t="shared" si="37"/>
        <v>0</v>
      </c>
      <c r="CY183" s="43">
        <f t="shared" si="38"/>
        <v>0</v>
      </c>
      <c r="CZ183" s="43">
        <f t="shared" si="39"/>
        <v>0</v>
      </c>
      <c r="DA183" s="43">
        <f t="shared" si="40"/>
        <v>0</v>
      </c>
      <c r="DB183" s="43" t="str">
        <f t="shared" si="41"/>
        <v/>
      </c>
      <c r="DC183" s="50" t="str">
        <f t="shared" si="42"/>
        <v/>
      </c>
      <c r="DD183" s="50" t="str">
        <f t="shared" si="43"/>
        <v/>
      </c>
    </row>
    <row r="184" spans="1:109" ht="14.25" customHeight="1">
      <c r="L184" s="99"/>
      <c r="M184" s="99"/>
      <c r="N184" s="99"/>
      <c r="O184" s="99"/>
      <c r="P184" s="100"/>
      <c r="Q184" s="101"/>
      <c r="R184" s="101"/>
      <c r="S184" s="101"/>
      <c r="T184" s="101"/>
      <c r="U184" s="47"/>
      <c r="V184" s="47"/>
      <c r="W184" s="47"/>
      <c r="X184" s="99"/>
      <c r="Y184" s="99"/>
      <c r="Z184" s="99"/>
      <c r="AA184" s="99"/>
      <c r="AB184" s="100"/>
      <c r="AC184" s="100"/>
      <c r="AD184" s="100"/>
      <c r="AE184" s="99"/>
      <c r="AF184" s="99"/>
      <c r="AG184" s="99"/>
      <c r="AH184" s="99"/>
      <c r="AI184" s="100"/>
      <c r="AJ184" s="100"/>
      <c r="AK184" s="100"/>
      <c r="AL184" s="47"/>
      <c r="AM184" s="101"/>
      <c r="AN184" s="101"/>
      <c r="AO184" s="101"/>
      <c r="AP184" s="101"/>
      <c r="AQ184" s="19"/>
      <c r="AR184" s="19"/>
      <c r="AS184" s="19"/>
      <c r="AT184" s="99"/>
      <c r="AU184" s="99"/>
      <c r="AV184" s="99"/>
      <c r="AW184" s="99"/>
      <c r="AX184" s="100"/>
      <c r="AY184" s="100"/>
      <c r="AZ184" s="100"/>
      <c r="BA184" s="100"/>
      <c r="BB184" s="100"/>
      <c r="BC184" s="100"/>
      <c r="CW184" s="1">
        <f t="shared" si="36"/>
        <v>0</v>
      </c>
      <c r="CX184" s="1">
        <f t="shared" si="37"/>
        <v>0</v>
      </c>
      <c r="CY184" s="43">
        <f t="shared" si="38"/>
        <v>0</v>
      </c>
      <c r="CZ184" s="43">
        <f t="shared" si="39"/>
        <v>0</v>
      </c>
      <c r="DA184" s="43">
        <f t="shared" si="40"/>
        <v>0</v>
      </c>
      <c r="DB184" s="43" t="str">
        <f t="shared" si="41"/>
        <v/>
      </c>
      <c r="DC184" s="50" t="str">
        <f t="shared" si="42"/>
        <v/>
      </c>
      <c r="DD184" s="50" t="str">
        <f t="shared" si="43"/>
        <v/>
      </c>
    </row>
    <row r="185" spans="1:109" ht="14.25" customHeight="1">
      <c r="L185" s="99"/>
      <c r="M185" s="99"/>
      <c r="N185" s="99"/>
      <c r="O185" s="99"/>
      <c r="P185" s="100"/>
      <c r="Q185" s="101"/>
      <c r="R185" s="101"/>
      <c r="S185" s="101"/>
      <c r="T185" s="101"/>
      <c r="U185" s="19"/>
      <c r="V185" s="19"/>
      <c r="W185" s="19"/>
      <c r="X185" s="99"/>
      <c r="Y185" s="99"/>
      <c r="Z185" s="99"/>
      <c r="AA185" s="99"/>
      <c r="AB185" s="100"/>
      <c r="AC185" s="100"/>
      <c r="AD185" s="100"/>
      <c r="AE185" s="99"/>
      <c r="AF185" s="99"/>
      <c r="AG185" s="99"/>
      <c r="AH185" s="99"/>
      <c r="AI185" s="100"/>
      <c r="AJ185" s="100"/>
      <c r="AK185" s="100"/>
      <c r="AL185" s="19"/>
      <c r="AM185" s="101"/>
      <c r="AN185" s="101"/>
      <c r="AO185" s="101"/>
      <c r="AP185" s="101"/>
      <c r="AQ185" s="19"/>
      <c r="AR185" s="19"/>
      <c r="AS185" s="19"/>
      <c r="AT185" s="99"/>
      <c r="AU185" s="99"/>
      <c r="AV185" s="99"/>
      <c r="AW185" s="99"/>
      <c r="AX185" s="100"/>
      <c r="AY185" s="100"/>
      <c r="AZ185" s="100"/>
      <c r="BA185" s="100"/>
      <c r="BB185" s="100"/>
      <c r="BC185" s="100"/>
      <c r="CW185" s="1">
        <f t="shared" si="36"/>
        <v>0</v>
      </c>
      <c r="CX185" s="1">
        <f t="shared" si="37"/>
        <v>0</v>
      </c>
      <c r="CY185" s="43">
        <f t="shared" si="38"/>
        <v>0</v>
      </c>
      <c r="CZ185" s="43">
        <f t="shared" si="39"/>
        <v>0</v>
      </c>
      <c r="DA185" s="43">
        <f t="shared" si="40"/>
        <v>0</v>
      </c>
      <c r="DB185" s="43" t="str">
        <f t="shared" si="41"/>
        <v/>
      </c>
      <c r="DC185" s="50" t="str">
        <f t="shared" si="42"/>
        <v/>
      </c>
      <c r="DD185" s="50" t="str">
        <f t="shared" si="43"/>
        <v/>
      </c>
    </row>
    <row r="186" spans="1:109" ht="14.25" customHeight="1">
      <c r="L186" s="99"/>
      <c r="M186" s="99"/>
      <c r="N186" s="99"/>
      <c r="O186" s="99"/>
      <c r="P186" s="100"/>
      <c r="Q186" s="101"/>
      <c r="R186" s="101"/>
      <c r="S186" s="101"/>
      <c r="T186" s="101"/>
      <c r="U186" s="19"/>
      <c r="V186" s="19"/>
      <c r="W186" s="19"/>
      <c r="X186" s="99"/>
      <c r="Y186" s="99"/>
      <c r="Z186" s="99"/>
      <c r="AA186" s="99"/>
      <c r="AB186" s="100"/>
      <c r="AC186" s="100"/>
      <c r="AD186" s="100"/>
      <c r="AE186" s="99"/>
      <c r="AF186" s="99"/>
      <c r="AG186" s="99"/>
      <c r="AH186" s="99"/>
      <c r="AI186" s="100"/>
      <c r="AJ186" s="100"/>
      <c r="AK186" s="100"/>
      <c r="AL186" s="19"/>
      <c r="AM186" s="101"/>
      <c r="AN186" s="101"/>
      <c r="AO186" s="101"/>
      <c r="AP186" s="101"/>
      <c r="AQ186" s="19"/>
      <c r="AR186" s="19"/>
      <c r="AS186" s="19"/>
      <c r="AT186" s="99"/>
      <c r="AU186" s="99"/>
      <c r="AV186" s="99"/>
      <c r="AW186" s="99"/>
      <c r="AX186" s="100"/>
      <c r="AY186" s="100"/>
      <c r="AZ186" s="100"/>
      <c r="BA186" s="100"/>
      <c r="BB186" s="100"/>
      <c r="BC186" s="100"/>
      <c r="CW186" s="1">
        <f t="shared" si="36"/>
        <v>0</v>
      </c>
      <c r="CX186" s="1">
        <f t="shared" si="37"/>
        <v>0</v>
      </c>
      <c r="CY186" s="43">
        <f t="shared" si="38"/>
        <v>0</v>
      </c>
      <c r="CZ186" s="43">
        <f t="shared" si="39"/>
        <v>0</v>
      </c>
      <c r="DA186" s="43">
        <f t="shared" si="40"/>
        <v>0</v>
      </c>
      <c r="DB186" s="43" t="str">
        <f t="shared" si="41"/>
        <v/>
      </c>
      <c r="DC186" s="50" t="str">
        <f t="shared" si="42"/>
        <v/>
      </c>
      <c r="DD186" s="50" t="str">
        <f t="shared" si="43"/>
        <v/>
      </c>
    </row>
    <row r="187" spans="1:109" ht="30.9" customHeight="1">
      <c r="L187" s="120"/>
      <c r="M187" s="120"/>
      <c r="N187" s="120"/>
      <c r="O187" s="121"/>
      <c r="P187" s="121"/>
      <c r="Q187" s="100"/>
      <c r="R187" s="100"/>
      <c r="S187" s="100"/>
      <c r="T187" s="100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  <c r="AH187" s="122"/>
      <c r="AI187" s="122"/>
      <c r="AJ187" s="122"/>
      <c r="AK187" s="122"/>
      <c r="AL187" s="122"/>
      <c r="AM187" s="122"/>
      <c r="AN187" s="122"/>
      <c r="AO187" s="122"/>
      <c r="AP187" s="122"/>
      <c r="AQ187" s="122"/>
      <c r="AR187" s="122"/>
      <c r="AS187" s="122"/>
      <c r="AT187" s="122"/>
      <c r="AU187" s="122"/>
      <c r="AV187" s="122"/>
      <c r="AW187" s="122"/>
      <c r="AX187" s="122"/>
      <c r="AY187" s="122"/>
      <c r="AZ187" s="122"/>
      <c r="BA187" s="122"/>
      <c r="BB187" s="122"/>
      <c r="BC187" s="122"/>
      <c r="CW187" s="1">
        <f t="shared" si="36"/>
        <v>0</v>
      </c>
      <c r="CX187" s="1">
        <f t="shared" si="37"/>
        <v>0</v>
      </c>
      <c r="CY187" s="43">
        <f t="shared" si="38"/>
        <v>0</v>
      </c>
      <c r="CZ187" s="43">
        <f t="shared" si="39"/>
        <v>0</v>
      </c>
      <c r="DA187" s="43">
        <f t="shared" si="40"/>
        <v>0</v>
      </c>
      <c r="DB187" s="43" t="str">
        <f t="shared" si="41"/>
        <v/>
      </c>
      <c r="DC187" s="50" t="str">
        <f t="shared" si="42"/>
        <v/>
      </c>
      <c r="DD187" s="50" t="str">
        <f t="shared" si="43"/>
        <v/>
      </c>
    </row>
    <row r="188" spans="1:109" ht="30.9" customHeight="1">
      <c r="L188" s="123"/>
      <c r="M188" s="123"/>
      <c r="O188" s="124"/>
      <c r="P188" s="124"/>
      <c r="Q188" s="100"/>
      <c r="R188" s="100"/>
      <c r="S188" s="100"/>
      <c r="T188" s="100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  <c r="AH188" s="122"/>
      <c r="AI188" s="122"/>
      <c r="AJ188" s="122"/>
      <c r="AK188" s="122"/>
      <c r="AL188" s="122"/>
      <c r="AM188" s="122"/>
      <c r="AN188" s="122"/>
      <c r="AO188" s="122"/>
      <c r="AP188" s="122"/>
      <c r="AQ188" s="122"/>
      <c r="AR188" s="122"/>
      <c r="AS188" s="122"/>
      <c r="AT188" s="122"/>
      <c r="AU188" s="122"/>
      <c r="AV188" s="122"/>
      <c r="AW188" s="122"/>
      <c r="AX188" s="122"/>
      <c r="AY188" s="122"/>
      <c r="AZ188" s="122"/>
      <c r="BA188" s="122"/>
      <c r="BB188" s="122"/>
      <c r="BC188" s="122"/>
      <c r="CW188" s="1">
        <f t="shared" si="36"/>
        <v>0</v>
      </c>
      <c r="CX188" s="1">
        <f t="shared" si="37"/>
        <v>0</v>
      </c>
      <c r="CY188" s="43">
        <f t="shared" si="38"/>
        <v>0</v>
      </c>
      <c r="CZ188" s="43">
        <f t="shared" si="39"/>
        <v>0</v>
      </c>
      <c r="DA188" s="43">
        <f t="shared" si="40"/>
        <v>0</v>
      </c>
      <c r="DB188" s="43" t="str">
        <f t="shared" si="41"/>
        <v/>
      </c>
      <c r="DC188" s="50" t="str">
        <f t="shared" si="42"/>
        <v/>
      </c>
      <c r="DD188" s="50" t="str">
        <f t="shared" si="43"/>
        <v/>
      </c>
    </row>
    <row r="189" spans="1:109" s="2" customFormat="1" ht="15" customHeight="1">
      <c r="A189" s="78"/>
      <c r="B189" s="78"/>
      <c r="C189" s="78"/>
      <c r="D189" s="78"/>
      <c r="E189" s="78"/>
      <c r="F189" s="78"/>
      <c r="L189" s="14"/>
      <c r="M189" s="45"/>
      <c r="N189" s="45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  <c r="AK189" s="14"/>
      <c r="AL189" s="14"/>
      <c r="AM189" s="14"/>
      <c r="AN189" s="14"/>
      <c r="AO189" s="14"/>
      <c r="AP189" s="14"/>
      <c r="AQ189" s="14"/>
      <c r="AR189" s="14"/>
      <c r="AS189" s="14"/>
      <c r="AT189" s="14"/>
      <c r="AU189" s="14"/>
      <c r="AV189" s="14"/>
      <c r="AW189" s="14"/>
      <c r="AX189" s="14"/>
      <c r="AY189" s="14"/>
      <c r="AZ189" s="14"/>
      <c r="BA189" s="16"/>
      <c r="BB189" s="16"/>
      <c r="BC189" s="16"/>
      <c r="CU189" s="1"/>
      <c r="CV189" s="1"/>
      <c r="CW189" s="1">
        <f t="shared" si="36"/>
        <v>0</v>
      </c>
      <c r="CX189" s="1">
        <f t="shared" si="37"/>
        <v>0</v>
      </c>
      <c r="CY189" s="43">
        <f t="shared" si="38"/>
        <v>0</v>
      </c>
      <c r="CZ189" s="43">
        <f t="shared" si="39"/>
        <v>0</v>
      </c>
      <c r="DA189" s="43">
        <f t="shared" si="40"/>
        <v>0</v>
      </c>
      <c r="DB189" s="43" t="str">
        <f t="shared" si="41"/>
        <v/>
      </c>
      <c r="DC189" s="50" t="str">
        <f t="shared" si="42"/>
        <v/>
      </c>
      <c r="DD189" s="50" t="str">
        <f t="shared" si="43"/>
        <v/>
      </c>
      <c r="DE189" s="43"/>
    </row>
    <row r="190" spans="1:109" ht="15" customHeight="1">
      <c r="L190" s="5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  <c r="AU190" s="17"/>
      <c r="AV190" s="17"/>
      <c r="AW190" s="17"/>
      <c r="AX190" s="17"/>
      <c r="AY190" s="17"/>
      <c r="AZ190" s="17"/>
      <c r="BA190" s="75"/>
      <c r="BB190" s="17"/>
      <c r="BC190" s="17"/>
      <c r="CW190" s="1">
        <f t="shared" si="36"/>
        <v>0</v>
      </c>
      <c r="CX190" s="1">
        <f t="shared" si="37"/>
        <v>0</v>
      </c>
      <c r="CY190" s="43">
        <f t="shared" si="38"/>
        <v>0</v>
      </c>
      <c r="CZ190" s="43">
        <f t="shared" si="39"/>
        <v>0</v>
      </c>
      <c r="DA190" s="43">
        <f t="shared" si="40"/>
        <v>0</v>
      </c>
      <c r="DB190" s="43" t="str">
        <f t="shared" si="41"/>
        <v/>
      </c>
      <c r="DC190" s="50" t="str">
        <f t="shared" si="42"/>
        <v/>
      </c>
      <c r="DD190" s="50" t="str">
        <f t="shared" si="43"/>
        <v/>
      </c>
    </row>
    <row r="191" spans="1:109" ht="22.5" customHeight="1">
      <c r="L191" s="91"/>
      <c r="M191" s="91"/>
      <c r="N191" s="91"/>
      <c r="O191" s="91"/>
      <c r="P191" s="91"/>
      <c r="Q191" s="91"/>
      <c r="R191" s="91"/>
      <c r="S191" s="91"/>
      <c r="T191" s="91"/>
      <c r="U191" s="91"/>
      <c r="V191" s="91"/>
      <c r="W191" s="91"/>
      <c r="X191" s="91"/>
      <c r="Y191" s="91"/>
      <c r="Z191" s="91"/>
      <c r="AA191" s="91"/>
      <c r="AB191" s="91"/>
      <c r="AC191" s="91"/>
      <c r="AD191" s="91"/>
      <c r="AE191" s="18"/>
      <c r="AF191" s="18"/>
      <c r="AG191" s="18"/>
      <c r="AH191" s="18"/>
      <c r="AI191" s="18"/>
      <c r="AJ191" s="18"/>
      <c r="AK191" s="18"/>
      <c r="AL191" s="18"/>
      <c r="AM191" s="18"/>
      <c r="AN191" s="18"/>
      <c r="AO191" s="18"/>
      <c r="AP191" s="18"/>
      <c r="AQ191" s="18"/>
      <c r="AR191" s="18"/>
      <c r="AS191" s="18"/>
      <c r="AT191" s="18"/>
      <c r="AU191" s="18"/>
      <c r="AV191" s="18"/>
      <c r="AW191" s="18"/>
      <c r="AX191" s="18"/>
      <c r="AY191" s="18"/>
      <c r="AZ191" s="18"/>
      <c r="BA191" s="18"/>
      <c r="BB191" s="18"/>
      <c r="BC191" s="18"/>
      <c r="CW191" s="1">
        <f t="shared" si="36"/>
        <v>0</v>
      </c>
      <c r="CX191" s="1">
        <f t="shared" si="37"/>
        <v>0</v>
      </c>
      <c r="CY191" s="43">
        <f t="shared" si="38"/>
        <v>0</v>
      </c>
      <c r="CZ191" s="43">
        <f t="shared" si="39"/>
        <v>0</v>
      </c>
      <c r="DA191" s="43">
        <f t="shared" si="40"/>
        <v>0</v>
      </c>
      <c r="DB191" s="43" t="str">
        <f t="shared" si="41"/>
        <v/>
      </c>
      <c r="DC191" s="50" t="str">
        <f t="shared" si="42"/>
        <v/>
      </c>
      <c r="DD191" s="50" t="str">
        <f t="shared" si="43"/>
        <v/>
      </c>
    </row>
    <row r="192" spans="1:109" ht="22.5" customHeight="1">
      <c r="L192" s="51"/>
      <c r="M192" s="91"/>
      <c r="N192" s="94"/>
      <c r="O192" s="94"/>
      <c r="P192" s="94"/>
      <c r="Q192" s="91"/>
      <c r="R192" s="117"/>
      <c r="S192" s="117"/>
      <c r="T192" s="117"/>
      <c r="U192" s="117"/>
      <c r="V192" s="117"/>
      <c r="W192" s="117"/>
      <c r="X192" s="117"/>
      <c r="Y192" s="117"/>
      <c r="Z192" s="117"/>
      <c r="AA192" s="117"/>
      <c r="AB192" s="117"/>
      <c r="AC192" s="117"/>
      <c r="AD192" s="117"/>
      <c r="AE192" s="117"/>
      <c r="AF192" s="117"/>
      <c r="AG192" s="117"/>
      <c r="AH192" s="117"/>
      <c r="AI192" s="117"/>
      <c r="AJ192" s="51"/>
      <c r="AK192" s="91"/>
      <c r="AL192" s="94"/>
      <c r="AM192" s="94"/>
      <c r="AN192" s="94"/>
      <c r="AO192" s="94"/>
      <c r="AP192" s="94"/>
      <c r="AQ192" s="91"/>
      <c r="AR192" s="94"/>
      <c r="AS192" s="94"/>
      <c r="AT192" s="94"/>
      <c r="AU192" s="94"/>
      <c r="AV192" s="94"/>
      <c r="AW192" s="94"/>
      <c r="AX192" s="94"/>
      <c r="AY192" s="94"/>
      <c r="AZ192" s="94"/>
      <c r="BA192" s="94"/>
      <c r="BB192" s="94"/>
      <c r="BC192" s="94"/>
      <c r="CU192" s="2"/>
      <c r="CV192" s="2"/>
      <c r="CW192" s="1">
        <f t="shared" si="36"/>
        <v>0</v>
      </c>
      <c r="CX192" s="1">
        <f t="shared" si="37"/>
        <v>0</v>
      </c>
      <c r="CY192" s="43">
        <f t="shared" si="38"/>
        <v>0</v>
      </c>
      <c r="CZ192" s="43">
        <f t="shared" si="39"/>
        <v>0</v>
      </c>
      <c r="DA192" s="43">
        <f t="shared" si="40"/>
        <v>0</v>
      </c>
      <c r="DB192" s="43" t="str">
        <f t="shared" si="41"/>
        <v/>
      </c>
      <c r="DC192" s="50" t="str">
        <f t="shared" si="42"/>
        <v/>
      </c>
      <c r="DD192" s="50" t="str">
        <f t="shared" si="43"/>
        <v/>
      </c>
      <c r="DE192" s="45"/>
    </row>
    <row r="193" spans="12:108" ht="21.75" customHeight="1">
      <c r="L193" s="41"/>
      <c r="M193" s="94"/>
      <c r="N193" s="94"/>
      <c r="O193" s="94"/>
      <c r="P193" s="94"/>
      <c r="Q193" s="117"/>
      <c r="R193" s="117"/>
      <c r="S193" s="117"/>
      <c r="T193" s="117"/>
      <c r="U193" s="117"/>
      <c r="V193" s="117"/>
      <c r="W193" s="117"/>
      <c r="X193" s="117"/>
      <c r="Y193" s="117"/>
      <c r="Z193" s="117"/>
      <c r="AA193" s="117"/>
      <c r="AB193" s="117"/>
      <c r="AC193" s="117"/>
      <c r="AD193" s="117"/>
      <c r="AE193" s="117"/>
      <c r="AF193" s="117"/>
      <c r="AG193" s="117"/>
      <c r="AH193" s="117"/>
      <c r="AI193" s="117"/>
      <c r="AJ193" s="41"/>
      <c r="AK193" s="94"/>
      <c r="AL193" s="94"/>
      <c r="AM193" s="94"/>
      <c r="AN193" s="94"/>
      <c r="AO193" s="94"/>
      <c r="AP193" s="94"/>
      <c r="AQ193" s="94"/>
      <c r="AR193" s="94"/>
      <c r="AS193" s="94"/>
      <c r="AT193" s="94"/>
      <c r="AU193" s="94"/>
      <c r="AV193" s="94"/>
      <c r="AW193" s="94"/>
      <c r="AX193" s="94"/>
      <c r="AY193" s="94"/>
      <c r="AZ193" s="94"/>
      <c r="BA193" s="94"/>
      <c r="BB193" s="94"/>
      <c r="BC193" s="94"/>
      <c r="CW193" s="1">
        <f t="shared" si="36"/>
        <v>0</v>
      </c>
      <c r="CX193" s="1">
        <f t="shared" si="37"/>
        <v>0</v>
      </c>
      <c r="CY193" s="43">
        <f t="shared" si="38"/>
        <v>0</v>
      </c>
      <c r="CZ193" s="43">
        <f t="shared" si="39"/>
        <v>0</v>
      </c>
      <c r="DA193" s="43">
        <f t="shared" si="40"/>
        <v>0</v>
      </c>
      <c r="DB193" s="43" t="str">
        <f t="shared" si="41"/>
        <v/>
      </c>
      <c r="DC193" s="50" t="str">
        <f t="shared" si="42"/>
        <v/>
      </c>
      <c r="DD193" s="50" t="str">
        <f t="shared" si="43"/>
        <v/>
      </c>
    </row>
    <row r="194" spans="12:108" ht="14.4">
      <c r="L194" s="52"/>
      <c r="M194" s="96"/>
      <c r="N194" s="96"/>
      <c r="O194" s="96"/>
      <c r="P194" s="96"/>
      <c r="Q194" s="60"/>
      <c r="R194" s="96"/>
      <c r="S194" s="96"/>
      <c r="T194" s="96"/>
      <c r="U194" s="96"/>
      <c r="V194" s="96"/>
      <c r="W194" s="96"/>
      <c r="X194" s="96"/>
      <c r="Y194" s="96"/>
      <c r="Z194" s="96"/>
      <c r="AA194" s="96"/>
      <c r="AB194" s="96"/>
      <c r="AC194" s="96"/>
      <c r="AD194" s="96"/>
      <c r="AE194" s="96"/>
      <c r="AF194" s="96"/>
      <c r="AG194" s="96"/>
      <c r="AH194" s="96"/>
      <c r="AI194" s="96"/>
      <c r="AJ194" s="96"/>
      <c r="AK194" s="96"/>
      <c r="AL194" s="96"/>
      <c r="AM194" s="96"/>
      <c r="AN194" s="96"/>
      <c r="AO194" s="96"/>
      <c r="AP194" s="96"/>
      <c r="AQ194" s="96"/>
      <c r="AR194" s="96"/>
      <c r="AS194" s="96"/>
      <c r="AT194" s="96"/>
      <c r="AU194" s="96"/>
      <c r="AV194" s="96"/>
      <c r="AW194" s="96"/>
      <c r="AX194" s="96"/>
      <c r="AY194" s="96"/>
      <c r="AZ194" s="96"/>
      <c r="BA194" s="96"/>
      <c r="BB194" s="96"/>
      <c r="BC194" s="96"/>
      <c r="BD194" s="20"/>
      <c r="BE194" s="20"/>
      <c r="BF194" s="20"/>
      <c r="BG194" s="20"/>
      <c r="BH194" s="20"/>
      <c r="CW194" s="1">
        <f t="shared" si="36"/>
        <v>0</v>
      </c>
      <c r="CX194" s="1">
        <f t="shared" si="37"/>
        <v>0</v>
      </c>
      <c r="CY194" s="43">
        <f t="shared" si="38"/>
        <v>0</v>
      </c>
      <c r="CZ194" s="43">
        <f t="shared" si="39"/>
        <v>0</v>
      </c>
      <c r="DA194" s="43">
        <f t="shared" si="40"/>
        <v>0</v>
      </c>
      <c r="DB194" s="43" t="str">
        <f t="shared" si="41"/>
        <v/>
      </c>
      <c r="DC194" s="50" t="str">
        <f t="shared" si="42"/>
        <v/>
      </c>
      <c r="DD194" s="50" t="str">
        <f t="shared" si="43"/>
        <v/>
      </c>
    </row>
    <row r="195" spans="12:108" ht="14.4">
      <c r="L195" s="54"/>
      <c r="M195" s="96"/>
      <c r="N195" s="96"/>
      <c r="O195" s="96"/>
      <c r="P195" s="96"/>
      <c r="Q195" s="61"/>
      <c r="R195" s="96"/>
      <c r="S195" s="96"/>
      <c r="T195" s="96"/>
      <c r="U195" s="96"/>
      <c r="V195" s="96"/>
      <c r="W195" s="96"/>
      <c r="X195" s="96"/>
      <c r="Y195" s="96"/>
      <c r="Z195" s="96"/>
      <c r="AA195" s="96"/>
      <c r="AB195" s="96"/>
      <c r="AC195" s="96"/>
      <c r="AD195" s="96"/>
      <c r="AE195" s="96"/>
      <c r="AF195" s="96"/>
      <c r="AG195" s="96"/>
      <c r="AH195" s="96"/>
      <c r="AI195" s="96"/>
      <c r="AJ195" s="96"/>
      <c r="AK195" s="96"/>
      <c r="AL195" s="96"/>
      <c r="AM195" s="96"/>
      <c r="AN195" s="96"/>
      <c r="AO195" s="96"/>
      <c r="AP195" s="96"/>
      <c r="AQ195" s="96"/>
      <c r="AR195" s="96"/>
      <c r="AS195" s="96"/>
      <c r="AT195" s="96"/>
      <c r="AU195" s="96"/>
      <c r="AV195" s="96"/>
      <c r="AW195" s="96"/>
      <c r="AX195" s="96"/>
      <c r="AY195" s="96"/>
      <c r="AZ195" s="96"/>
      <c r="BA195" s="96"/>
      <c r="BB195" s="96"/>
      <c r="BC195" s="96"/>
      <c r="BD195" s="20"/>
      <c r="BE195" s="20"/>
      <c r="BF195" s="20"/>
      <c r="BG195" s="20"/>
      <c r="BH195" s="20"/>
      <c r="CW195" s="1">
        <f t="shared" ref="CW195:CW258" si="44">CO195-CV195</f>
        <v>0</v>
      </c>
      <c r="CX195" s="1">
        <f t="shared" ref="CX195:CX258" si="45">CQ195-CV195</f>
        <v>0</v>
      </c>
      <c r="CY195" s="43">
        <f t="shared" ref="CY195:CY258" si="46">IF(CW195&gt;=0,(CN195-CU195),(CN195-CU195)-1)</f>
        <v>0</v>
      </c>
      <c r="CZ195" s="43">
        <f t="shared" ref="CZ195:CZ258" si="47">IF(CW195&gt;=0,CW195,(60+CW195))</f>
        <v>0</v>
      </c>
      <c r="DA195" s="43">
        <f t="shared" ref="DA195:DA258" si="48">IF(CZ195=30,(CY195+0.5),CY195)</f>
        <v>0</v>
      </c>
      <c r="DB195" s="43" t="str">
        <f t="shared" ref="DB195:DB258" si="49">IF(AND(DA195&gt;=3,DA195&lt;8),DA195,"")</f>
        <v/>
      </c>
      <c r="DC195" s="50" t="str">
        <f t="shared" ref="DC195:DC258" si="50">IF(DA195=8,1,"")</f>
        <v/>
      </c>
      <c r="DD195" s="50" t="str">
        <f t="shared" ref="DD195:DD258" si="51">IF(DB195="","",0.5)</f>
        <v/>
      </c>
    </row>
    <row r="196" spans="12:108" ht="15" customHeight="1">
      <c r="L196" s="99"/>
      <c r="M196" s="99"/>
      <c r="N196" s="99"/>
      <c r="O196" s="99"/>
      <c r="P196" s="100"/>
      <c r="Q196" s="101"/>
      <c r="R196" s="101"/>
      <c r="S196" s="101"/>
      <c r="T196" s="101"/>
      <c r="U196" s="99"/>
      <c r="V196" s="99"/>
      <c r="W196" s="100"/>
      <c r="X196" s="100"/>
      <c r="Y196" s="99"/>
      <c r="Z196" s="99"/>
      <c r="AA196" s="100"/>
      <c r="AB196" s="100"/>
      <c r="AC196" s="100"/>
      <c r="AD196" s="100"/>
      <c r="AE196" s="99"/>
      <c r="AF196" s="99"/>
      <c r="AG196" s="100"/>
      <c r="AH196" s="100"/>
      <c r="AI196" s="99"/>
      <c r="AJ196" s="99"/>
      <c r="AK196" s="100"/>
      <c r="AL196" s="100"/>
      <c r="AM196" s="101"/>
      <c r="AN196" s="101"/>
      <c r="AO196" s="101"/>
      <c r="AP196" s="101"/>
      <c r="AQ196" s="19"/>
      <c r="AR196" s="19"/>
      <c r="AS196" s="19"/>
      <c r="AT196" s="99"/>
      <c r="AU196" s="99"/>
      <c r="AV196" s="99"/>
      <c r="AW196" s="99"/>
      <c r="AX196" s="100"/>
      <c r="AY196" s="100"/>
      <c r="AZ196" s="100"/>
      <c r="BA196" s="100"/>
      <c r="BB196" s="100"/>
      <c r="BC196" s="100"/>
      <c r="CW196" s="1">
        <f t="shared" si="44"/>
        <v>0</v>
      </c>
      <c r="CX196" s="1">
        <f t="shared" si="45"/>
        <v>0</v>
      </c>
      <c r="CY196" s="43">
        <f t="shared" si="46"/>
        <v>0</v>
      </c>
      <c r="CZ196" s="43">
        <f t="shared" si="47"/>
        <v>0</v>
      </c>
      <c r="DA196" s="43">
        <f t="shared" si="48"/>
        <v>0</v>
      </c>
      <c r="DB196" s="43" t="str">
        <f t="shared" si="49"/>
        <v/>
      </c>
      <c r="DC196" s="50" t="str">
        <f t="shared" si="50"/>
        <v/>
      </c>
      <c r="DD196" s="50" t="str">
        <f t="shared" si="51"/>
        <v/>
      </c>
    </row>
    <row r="197" spans="12:108" ht="14.25" customHeight="1">
      <c r="L197" s="99"/>
      <c r="M197" s="99"/>
      <c r="N197" s="99"/>
      <c r="O197" s="99"/>
      <c r="P197" s="100"/>
      <c r="Q197" s="101"/>
      <c r="R197" s="101"/>
      <c r="S197" s="101"/>
      <c r="T197" s="101"/>
      <c r="U197" s="99"/>
      <c r="V197" s="99"/>
      <c r="W197" s="100"/>
      <c r="X197" s="100"/>
      <c r="Y197" s="99"/>
      <c r="Z197" s="99"/>
      <c r="AA197" s="100"/>
      <c r="AB197" s="100"/>
      <c r="AC197" s="100"/>
      <c r="AD197" s="100"/>
      <c r="AE197" s="99"/>
      <c r="AF197" s="99"/>
      <c r="AG197" s="100"/>
      <c r="AH197" s="100"/>
      <c r="AI197" s="99"/>
      <c r="AJ197" s="99"/>
      <c r="AK197" s="100"/>
      <c r="AL197" s="100"/>
      <c r="AM197" s="101"/>
      <c r="AN197" s="101"/>
      <c r="AO197" s="101"/>
      <c r="AP197" s="101"/>
      <c r="AQ197" s="19"/>
      <c r="AR197" s="19"/>
      <c r="AS197" s="19"/>
      <c r="AT197" s="99"/>
      <c r="AU197" s="99"/>
      <c r="AV197" s="99"/>
      <c r="AW197" s="99"/>
      <c r="AX197" s="100"/>
      <c r="AY197" s="100"/>
      <c r="AZ197" s="100"/>
      <c r="BA197" s="100"/>
      <c r="BB197" s="100"/>
      <c r="BC197" s="100"/>
      <c r="CW197" s="1">
        <f t="shared" si="44"/>
        <v>0</v>
      </c>
      <c r="CX197" s="1">
        <f t="shared" si="45"/>
        <v>0</v>
      </c>
      <c r="CY197" s="43">
        <f t="shared" si="46"/>
        <v>0</v>
      </c>
      <c r="CZ197" s="43">
        <f t="shared" si="47"/>
        <v>0</v>
      </c>
      <c r="DA197" s="43">
        <f t="shared" si="48"/>
        <v>0</v>
      </c>
      <c r="DB197" s="43" t="str">
        <f t="shared" si="49"/>
        <v/>
      </c>
      <c r="DC197" s="50" t="str">
        <f t="shared" si="50"/>
        <v/>
      </c>
      <c r="DD197" s="50" t="str">
        <f t="shared" si="51"/>
        <v/>
      </c>
    </row>
    <row r="198" spans="12:108" ht="14.25" customHeight="1">
      <c r="L198" s="99"/>
      <c r="M198" s="99"/>
      <c r="N198" s="99"/>
      <c r="O198" s="99"/>
      <c r="P198" s="100"/>
      <c r="Q198" s="101"/>
      <c r="R198" s="101"/>
      <c r="S198" s="101"/>
      <c r="T198" s="101"/>
      <c r="U198" s="99"/>
      <c r="V198" s="99"/>
      <c r="W198" s="100"/>
      <c r="X198" s="100"/>
      <c r="Y198" s="99"/>
      <c r="Z198" s="99"/>
      <c r="AA198" s="100"/>
      <c r="AB198" s="100"/>
      <c r="AC198" s="100"/>
      <c r="AD198" s="100"/>
      <c r="AE198" s="99"/>
      <c r="AF198" s="99"/>
      <c r="AG198" s="100"/>
      <c r="AH198" s="100"/>
      <c r="AI198" s="99"/>
      <c r="AJ198" s="99"/>
      <c r="AK198" s="100"/>
      <c r="AL198" s="100"/>
      <c r="AM198" s="101"/>
      <c r="AN198" s="101"/>
      <c r="AO198" s="101"/>
      <c r="AP198" s="101"/>
      <c r="AQ198" s="19"/>
      <c r="AR198" s="19"/>
      <c r="AS198" s="19"/>
      <c r="AT198" s="99"/>
      <c r="AU198" s="99"/>
      <c r="AV198" s="99"/>
      <c r="AW198" s="99"/>
      <c r="AX198" s="100"/>
      <c r="AY198" s="100"/>
      <c r="AZ198" s="100"/>
      <c r="BA198" s="100"/>
      <c r="BB198" s="100"/>
      <c r="BC198" s="100"/>
      <c r="CW198" s="1">
        <f t="shared" si="44"/>
        <v>0</v>
      </c>
      <c r="CX198" s="1">
        <f t="shared" si="45"/>
        <v>0</v>
      </c>
      <c r="CY198" s="43">
        <f t="shared" si="46"/>
        <v>0</v>
      </c>
      <c r="CZ198" s="43">
        <f t="shared" si="47"/>
        <v>0</v>
      </c>
      <c r="DA198" s="43">
        <f t="shared" si="48"/>
        <v>0</v>
      </c>
      <c r="DB198" s="43" t="str">
        <f t="shared" si="49"/>
        <v/>
      </c>
      <c r="DC198" s="50" t="str">
        <f t="shared" si="50"/>
        <v/>
      </c>
      <c r="DD198" s="50" t="str">
        <f t="shared" si="51"/>
        <v/>
      </c>
    </row>
    <row r="199" spans="12:108" ht="14.25" customHeight="1">
      <c r="L199" s="99"/>
      <c r="M199" s="99"/>
      <c r="N199" s="99"/>
      <c r="O199" s="99"/>
      <c r="P199" s="100"/>
      <c r="Q199" s="101"/>
      <c r="R199" s="101"/>
      <c r="S199" s="101"/>
      <c r="T199" s="101"/>
      <c r="U199" s="47"/>
      <c r="V199" s="47"/>
      <c r="W199" s="47"/>
      <c r="X199" s="99"/>
      <c r="Y199" s="99"/>
      <c r="Z199" s="99"/>
      <c r="AA199" s="99"/>
      <c r="AB199" s="100"/>
      <c r="AC199" s="100"/>
      <c r="AD199" s="100"/>
      <c r="AE199" s="99"/>
      <c r="AF199" s="99"/>
      <c r="AG199" s="99"/>
      <c r="AH199" s="99"/>
      <c r="AI199" s="100"/>
      <c r="AJ199" s="100"/>
      <c r="AK199" s="100"/>
      <c r="AL199" s="47"/>
      <c r="AM199" s="101"/>
      <c r="AN199" s="101"/>
      <c r="AO199" s="101"/>
      <c r="AP199" s="101"/>
      <c r="AQ199" s="19"/>
      <c r="AR199" s="19"/>
      <c r="AS199" s="19"/>
      <c r="AT199" s="99"/>
      <c r="AU199" s="99"/>
      <c r="AV199" s="99"/>
      <c r="AW199" s="99"/>
      <c r="AX199" s="100"/>
      <c r="AY199" s="100"/>
      <c r="AZ199" s="100"/>
      <c r="BA199" s="100"/>
      <c r="BB199" s="100"/>
      <c r="BC199" s="100"/>
      <c r="CW199" s="1">
        <f t="shared" si="44"/>
        <v>0</v>
      </c>
      <c r="CX199" s="1">
        <f t="shared" si="45"/>
        <v>0</v>
      </c>
      <c r="CY199" s="43">
        <f t="shared" si="46"/>
        <v>0</v>
      </c>
      <c r="CZ199" s="43">
        <f t="shared" si="47"/>
        <v>0</v>
      </c>
      <c r="DA199" s="43">
        <f t="shared" si="48"/>
        <v>0</v>
      </c>
      <c r="DB199" s="43" t="str">
        <f t="shared" si="49"/>
        <v/>
      </c>
      <c r="DC199" s="50" t="str">
        <f t="shared" si="50"/>
        <v/>
      </c>
      <c r="DD199" s="50" t="str">
        <f t="shared" si="51"/>
        <v/>
      </c>
    </row>
    <row r="200" spans="12:108" ht="14.25" customHeight="1">
      <c r="L200" s="99"/>
      <c r="M200" s="99"/>
      <c r="N200" s="99"/>
      <c r="O200" s="99"/>
      <c r="P200" s="100"/>
      <c r="Q200" s="101"/>
      <c r="R200" s="101"/>
      <c r="S200" s="101"/>
      <c r="T200" s="101"/>
      <c r="U200" s="19"/>
      <c r="V200" s="19"/>
      <c r="W200" s="19"/>
      <c r="X200" s="99"/>
      <c r="Y200" s="99"/>
      <c r="Z200" s="99"/>
      <c r="AA200" s="99"/>
      <c r="AB200" s="100"/>
      <c r="AC200" s="100"/>
      <c r="AD200" s="100"/>
      <c r="AE200" s="99"/>
      <c r="AF200" s="99"/>
      <c r="AG200" s="99"/>
      <c r="AH200" s="99"/>
      <c r="AI200" s="100"/>
      <c r="AJ200" s="100"/>
      <c r="AK200" s="100"/>
      <c r="AL200" s="19"/>
      <c r="AM200" s="101"/>
      <c r="AN200" s="101"/>
      <c r="AO200" s="101"/>
      <c r="AP200" s="101"/>
      <c r="AQ200" s="19"/>
      <c r="AR200" s="19"/>
      <c r="AS200" s="19"/>
      <c r="AT200" s="99"/>
      <c r="AU200" s="99"/>
      <c r="AV200" s="99"/>
      <c r="AW200" s="99"/>
      <c r="AX200" s="100"/>
      <c r="AY200" s="100"/>
      <c r="AZ200" s="100"/>
      <c r="BA200" s="100"/>
      <c r="BB200" s="100"/>
      <c r="BC200" s="100"/>
      <c r="CW200" s="1">
        <f t="shared" si="44"/>
        <v>0</v>
      </c>
      <c r="CX200" s="1">
        <f t="shared" si="45"/>
        <v>0</v>
      </c>
      <c r="CY200" s="43">
        <f t="shared" si="46"/>
        <v>0</v>
      </c>
      <c r="CZ200" s="43">
        <f t="shared" si="47"/>
        <v>0</v>
      </c>
      <c r="DA200" s="43">
        <f t="shared" si="48"/>
        <v>0</v>
      </c>
      <c r="DB200" s="43" t="str">
        <f t="shared" si="49"/>
        <v/>
      </c>
      <c r="DC200" s="50" t="str">
        <f t="shared" si="50"/>
        <v/>
      </c>
      <c r="DD200" s="50" t="str">
        <f t="shared" si="51"/>
        <v/>
      </c>
    </row>
    <row r="201" spans="12:108" ht="14.25" customHeight="1">
      <c r="L201" s="99"/>
      <c r="M201" s="99"/>
      <c r="N201" s="99"/>
      <c r="O201" s="99"/>
      <c r="P201" s="100"/>
      <c r="Q201" s="101"/>
      <c r="R201" s="101"/>
      <c r="S201" s="101"/>
      <c r="T201" s="101"/>
      <c r="U201" s="19"/>
      <c r="V201" s="19"/>
      <c r="W201" s="19"/>
      <c r="X201" s="99"/>
      <c r="Y201" s="99"/>
      <c r="Z201" s="99"/>
      <c r="AA201" s="99"/>
      <c r="AB201" s="100"/>
      <c r="AC201" s="100"/>
      <c r="AD201" s="100"/>
      <c r="AE201" s="99"/>
      <c r="AF201" s="99"/>
      <c r="AG201" s="99"/>
      <c r="AH201" s="99"/>
      <c r="AI201" s="100"/>
      <c r="AJ201" s="100"/>
      <c r="AK201" s="100"/>
      <c r="AL201" s="19"/>
      <c r="AM201" s="101"/>
      <c r="AN201" s="101"/>
      <c r="AO201" s="101"/>
      <c r="AP201" s="101"/>
      <c r="AQ201" s="19"/>
      <c r="AR201" s="19"/>
      <c r="AS201" s="19"/>
      <c r="AT201" s="99"/>
      <c r="AU201" s="99"/>
      <c r="AV201" s="99"/>
      <c r="AW201" s="99"/>
      <c r="AX201" s="100"/>
      <c r="AY201" s="100"/>
      <c r="AZ201" s="100"/>
      <c r="BA201" s="100"/>
      <c r="BB201" s="100"/>
      <c r="BC201" s="100"/>
      <c r="CW201" s="1">
        <f t="shared" si="44"/>
        <v>0</v>
      </c>
      <c r="CX201" s="1">
        <f t="shared" si="45"/>
        <v>0</v>
      </c>
      <c r="CY201" s="43">
        <f t="shared" si="46"/>
        <v>0</v>
      </c>
      <c r="CZ201" s="43">
        <f t="shared" si="47"/>
        <v>0</v>
      </c>
      <c r="DA201" s="43">
        <f t="shared" si="48"/>
        <v>0</v>
      </c>
      <c r="DB201" s="43" t="str">
        <f t="shared" si="49"/>
        <v/>
      </c>
      <c r="DC201" s="50" t="str">
        <f t="shared" si="50"/>
        <v/>
      </c>
      <c r="DD201" s="50" t="str">
        <f t="shared" si="51"/>
        <v/>
      </c>
    </row>
    <row r="202" spans="12:108" ht="30.9" customHeight="1">
      <c r="L202" s="120"/>
      <c r="M202" s="120"/>
      <c r="N202" s="120"/>
      <c r="O202" s="121"/>
      <c r="P202" s="121"/>
      <c r="Q202" s="100"/>
      <c r="R202" s="100"/>
      <c r="S202" s="100"/>
      <c r="T202" s="100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  <c r="AH202" s="122"/>
      <c r="AI202" s="122"/>
      <c r="AJ202" s="122"/>
      <c r="AK202" s="122"/>
      <c r="AL202" s="122"/>
      <c r="AM202" s="122"/>
      <c r="AN202" s="122"/>
      <c r="AO202" s="122"/>
      <c r="AP202" s="122"/>
      <c r="AQ202" s="122"/>
      <c r="AR202" s="122"/>
      <c r="AS202" s="122"/>
      <c r="AT202" s="122"/>
      <c r="AU202" s="122"/>
      <c r="AV202" s="122"/>
      <c r="AW202" s="122"/>
      <c r="AX202" s="122"/>
      <c r="AY202" s="122"/>
      <c r="AZ202" s="122"/>
      <c r="BA202" s="122"/>
      <c r="BB202" s="122"/>
      <c r="BC202" s="122"/>
      <c r="CW202" s="1">
        <f t="shared" si="44"/>
        <v>0</v>
      </c>
      <c r="CX202" s="1">
        <f t="shared" si="45"/>
        <v>0</v>
      </c>
      <c r="CY202" s="43">
        <f t="shared" si="46"/>
        <v>0</v>
      </c>
      <c r="CZ202" s="43">
        <f t="shared" si="47"/>
        <v>0</v>
      </c>
      <c r="DA202" s="43">
        <f t="shared" si="48"/>
        <v>0</v>
      </c>
      <c r="DB202" s="43" t="str">
        <f t="shared" si="49"/>
        <v/>
      </c>
      <c r="DC202" s="50" t="str">
        <f t="shared" si="50"/>
        <v/>
      </c>
      <c r="DD202" s="50" t="str">
        <f t="shared" si="51"/>
        <v/>
      </c>
    </row>
    <row r="203" spans="12:108" ht="30.9" customHeight="1">
      <c r="L203" s="123"/>
      <c r="M203" s="123"/>
      <c r="O203" s="124"/>
      <c r="P203" s="124"/>
      <c r="Q203" s="100"/>
      <c r="R203" s="100"/>
      <c r="S203" s="100"/>
      <c r="T203" s="100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  <c r="AH203" s="122"/>
      <c r="AI203" s="122"/>
      <c r="AJ203" s="122"/>
      <c r="AK203" s="122"/>
      <c r="AL203" s="122"/>
      <c r="AM203" s="122"/>
      <c r="AN203" s="122"/>
      <c r="AO203" s="122"/>
      <c r="AP203" s="122"/>
      <c r="AQ203" s="122"/>
      <c r="AR203" s="122"/>
      <c r="AS203" s="122"/>
      <c r="AT203" s="122"/>
      <c r="AU203" s="122"/>
      <c r="AV203" s="122"/>
      <c r="AW203" s="122"/>
      <c r="AX203" s="122"/>
      <c r="AY203" s="122"/>
      <c r="AZ203" s="122"/>
      <c r="BA203" s="122"/>
      <c r="BB203" s="122"/>
      <c r="BC203" s="122"/>
      <c r="CW203" s="1">
        <f t="shared" si="44"/>
        <v>0</v>
      </c>
      <c r="CX203" s="1">
        <f t="shared" si="45"/>
        <v>0</v>
      </c>
      <c r="CY203" s="43">
        <f t="shared" si="46"/>
        <v>0</v>
      </c>
      <c r="CZ203" s="43">
        <f t="shared" si="47"/>
        <v>0</v>
      </c>
      <c r="DA203" s="43">
        <f t="shared" si="48"/>
        <v>0</v>
      </c>
      <c r="DB203" s="43" t="str">
        <f t="shared" si="49"/>
        <v/>
      </c>
      <c r="DC203" s="50" t="str">
        <f t="shared" si="50"/>
        <v/>
      </c>
      <c r="DD203" s="50" t="str">
        <f t="shared" si="51"/>
        <v/>
      </c>
    </row>
    <row r="204" spans="12:108" ht="15" customHeight="1">
      <c r="L204" s="99"/>
      <c r="M204" s="99"/>
      <c r="N204" s="99"/>
      <c r="O204" s="99"/>
      <c r="P204" s="100"/>
      <c r="Q204" s="101"/>
      <c r="R204" s="101"/>
      <c r="S204" s="101"/>
      <c r="T204" s="101"/>
      <c r="U204" s="99"/>
      <c r="V204" s="99"/>
      <c r="W204" s="100"/>
      <c r="X204" s="100"/>
      <c r="Y204" s="99"/>
      <c r="Z204" s="99"/>
      <c r="AA204" s="100"/>
      <c r="AB204" s="100"/>
      <c r="AC204" s="100"/>
      <c r="AD204" s="100"/>
      <c r="AE204" s="99"/>
      <c r="AF204" s="99"/>
      <c r="AG204" s="100"/>
      <c r="AH204" s="100"/>
      <c r="AI204" s="99"/>
      <c r="AJ204" s="99"/>
      <c r="AK204" s="100"/>
      <c r="AL204" s="100"/>
      <c r="AM204" s="101"/>
      <c r="AN204" s="101"/>
      <c r="AO204" s="101"/>
      <c r="AP204" s="101"/>
      <c r="AQ204" s="19"/>
      <c r="AR204" s="19"/>
      <c r="AS204" s="19"/>
      <c r="AT204" s="99"/>
      <c r="AU204" s="99"/>
      <c r="AV204" s="99"/>
      <c r="AW204" s="99"/>
      <c r="AX204" s="100"/>
      <c r="AY204" s="100"/>
      <c r="AZ204" s="100"/>
      <c r="BA204" s="100"/>
      <c r="BB204" s="100"/>
      <c r="BC204" s="100"/>
      <c r="CW204" s="1">
        <f t="shared" si="44"/>
        <v>0</v>
      </c>
      <c r="CX204" s="1">
        <f t="shared" si="45"/>
        <v>0</v>
      </c>
      <c r="CY204" s="43">
        <f t="shared" si="46"/>
        <v>0</v>
      </c>
      <c r="CZ204" s="43">
        <f t="shared" si="47"/>
        <v>0</v>
      </c>
      <c r="DA204" s="43">
        <f t="shared" si="48"/>
        <v>0</v>
      </c>
      <c r="DB204" s="43" t="str">
        <f t="shared" si="49"/>
        <v/>
      </c>
      <c r="DC204" s="50" t="str">
        <f t="shared" si="50"/>
        <v/>
      </c>
      <c r="DD204" s="50" t="str">
        <f t="shared" si="51"/>
        <v/>
      </c>
    </row>
    <row r="205" spans="12:108" ht="14.25" customHeight="1">
      <c r="L205" s="99"/>
      <c r="M205" s="99"/>
      <c r="N205" s="99"/>
      <c r="O205" s="99"/>
      <c r="P205" s="100"/>
      <c r="Q205" s="101"/>
      <c r="R205" s="101"/>
      <c r="S205" s="101"/>
      <c r="T205" s="101"/>
      <c r="U205" s="99"/>
      <c r="V205" s="99"/>
      <c r="W205" s="100"/>
      <c r="X205" s="100"/>
      <c r="Y205" s="99"/>
      <c r="Z205" s="99"/>
      <c r="AA205" s="100"/>
      <c r="AB205" s="100"/>
      <c r="AC205" s="100"/>
      <c r="AD205" s="100"/>
      <c r="AE205" s="99"/>
      <c r="AF205" s="99"/>
      <c r="AG205" s="100"/>
      <c r="AH205" s="100"/>
      <c r="AI205" s="99"/>
      <c r="AJ205" s="99"/>
      <c r="AK205" s="100"/>
      <c r="AL205" s="100"/>
      <c r="AM205" s="101"/>
      <c r="AN205" s="101"/>
      <c r="AO205" s="101"/>
      <c r="AP205" s="101"/>
      <c r="AQ205" s="19"/>
      <c r="AR205" s="19"/>
      <c r="AS205" s="19"/>
      <c r="AT205" s="99"/>
      <c r="AU205" s="99"/>
      <c r="AV205" s="99"/>
      <c r="AW205" s="99"/>
      <c r="AX205" s="100"/>
      <c r="AY205" s="100"/>
      <c r="AZ205" s="100"/>
      <c r="BA205" s="100"/>
      <c r="BB205" s="100"/>
      <c r="BC205" s="100"/>
      <c r="CW205" s="1">
        <f t="shared" si="44"/>
        <v>0</v>
      </c>
      <c r="CX205" s="1">
        <f t="shared" si="45"/>
        <v>0</v>
      </c>
      <c r="CY205" s="43">
        <f t="shared" si="46"/>
        <v>0</v>
      </c>
      <c r="CZ205" s="43">
        <f t="shared" si="47"/>
        <v>0</v>
      </c>
      <c r="DA205" s="43">
        <f t="shared" si="48"/>
        <v>0</v>
      </c>
      <c r="DB205" s="43" t="str">
        <f t="shared" si="49"/>
        <v/>
      </c>
      <c r="DC205" s="50" t="str">
        <f t="shared" si="50"/>
        <v/>
      </c>
      <c r="DD205" s="50" t="str">
        <f t="shared" si="51"/>
        <v/>
      </c>
    </row>
    <row r="206" spans="12:108" ht="14.25" customHeight="1">
      <c r="L206" s="99"/>
      <c r="M206" s="99"/>
      <c r="N206" s="99"/>
      <c r="O206" s="99"/>
      <c r="P206" s="100"/>
      <c r="Q206" s="101"/>
      <c r="R206" s="101"/>
      <c r="S206" s="101"/>
      <c r="T206" s="101"/>
      <c r="U206" s="99"/>
      <c r="V206" s="99"/>
      <c r="W206" s="100"/>
      <c r="X206" s="100"/>
      <c r="Y206" s="99"/>
      <c r="Z206" s="99"/>
      <c r="AA206" s="100"/>
      <c r="AB206" s="100"/>
      <c r="AC206" s="100"/>
      <c r="AD206" s="100"/>
      <c r="AE206" s="99"/>
      <c r="AF206" s="99"/>
      <c r="AG206" s="100"/>
      <c r="AH206" s="100"/>
      <c r="AI206" s="99"/>
      <c r="AJ206" s="99"/>
      <c r="AK206" s="100"/>
      <c r="AL206" s="100"/>
      <c r="AM206" s="101"/>
      <c r="AN206" s="101"/>
      <c r="AO206" s="101"/>
      <c r="AP206" s="101"/>
      <c r="AQ206" s="19"/>
      <c r="AR206" s="19"/>
      <c r="AS206" s="19"/>
      <c r="AT206" s="99"/>
      <c r="AU206" s="99"/>
      <c r="AV206" s="99"/>
      <c r="AW206" s="99"/>
      <c r="AX206" s="100"/>
      <c r="AY206" s="100"/>
      <c r="AZ206" s="100"/>
      <c r="BA206" s="100"/>
      <c r="BB206" s="100"/>
      <c r="BC206" s="100"/>
      <c r="CW206" s="1">
        <f t="shared" si="44"/>
        <v>0</v>
      </c>
      <c r="CX206" s="1">
        <f t="shared" si="45"/>
        <v>0</v>
      </c>
      <c r="CY206" s="43">
        <f t="shared" si="46"/>
        <v>0</v>
      </c>
      <c r="CZ206" s="43">
        <f t="shared" si="47"/>
        <v>0</v>
      </c>
      <c r="DA206" s="43">
        <f t="shared" si="48"/>
        <v>0</v>
      </c>
      <c r="DB206" s="43" t="str">
        <f t="shared" si="49"/>
        <v/>
      </c>
      <c r="DC206" s="50" t="str">
        <f t="shared" si="50"/>
        <v/>
      </c>
      <c r="DD206" s="50" t="str">
        <f t="shared" si="51"/>
        <v/>
      </c>
    </row>
    <row r="207" spans="12:108" ht="14.25" customHeight="1">
      <c r="L207" s="99"/>
      <c r="M207" s="99"/>
      <c r="N207" s="99"/>
      <c r="O207" s="99"/>
      <c r="P207" s="100"/>
      <c r="Q207" s="101"/>
      <c r="R207" s="101"/>
      <c r="S207" s="101"/>
      <c r="T207" s="101"/>
      <c r="U207" s="47"/>
      <c r="V207" s="47"/>
      <c r="W207" s="47"/>
      <c r="X207" s="99"/>
      <c r="Y207" s="99"/>
      <c r="Z207" s="99"/>
      <c r="AA207" s="99"/>
      <c r="AB207" s="100"/>
      <c r="AC207" s="100"/>
      <c r="AD207" s="100"/>
      <c r="AE207" s="99"/>
      <c r="AF207" s="99"/>
      <c r="AG207" s="99"/>
      <c r="AH207" s="99"/>
      <c r="AI207" s="100"/>
      <c r="AJ207" s="100"/>
      <c r="AK207" s="100"/>
      <c r="AL207" s="47"/>
      <c r="AM207" s="101"/>
      <c r="AN207" s="101"/>
      <c r="AO207" s="101"/>
      <c r="AP207" s="101"/>
      <c r="AQ207" s="19"/>
      <c r="AR207" s="19"/>
      <c r="AS207" s="19"/>
      <c r="AT207" s="99"/>
      <c r="AU207" s="99"/>
      <c r="AV207" s="99"/>
      <c r="AW207" s="99"/>
      <c r="AX207" s="100"/>
      <c r="AY207" s="100"/>
      <c r="AZ207" s="100"/>
      <c r="BA207" s="100"/>
      <c r="BB207" s="100"/>
      <c r="BC207" s="100"/>
      <c r="CW207" s="1">
        <f t="shared" si="44"/>
        <v>0</v>
      </c>
      <c r="CX207" s="1">
        <f t="shared" si="45"/>
        <v>0</v>
      </c>
      <c r="CY207" s="43">
        <f t="shared" si="46"/>
        <v>0</v>
      </c>
      <c r="CZ207" s="43">
        <f t="shared" si="47"/>
        <v>0</v>
      </c>
      <c r="DA207" s="43">
        <f t="shared" si="48"/>
        <v>0</v>
      </c>
      <c r="DB207" s="43" t="str">
        <f t="shared" si="49"/>
        <v/>
      </c>
      <c r="DC207" s="50" t="str">
        <f t="shared" si="50"/>
        <v/>
      </c>
      <c r="DD207" s="50" t="str">
        <f t="shared" si="51"/>
        <v/>
      </c>
    </row>
    <row r="208" spans="12:108" ht="14.25" customHeight="1">
      <c r="L208" s="99"/>
      <c r="M208" s="99"/>
      <c r="N208" s="99"/>
      <c r="O208" s="99"/>
      <c r="P208" s="100"/>
      <c r="Q208" s="101"/>
      <c r="R208" s="101"/>
      <c r="S208" s="101"/>
      <c r="T208" s="101"/>
      <c r="U208" s="19"/>
      <c r="V208" s="19"/>
      <c r="W208" s="19"/>
      <c r="X208" s="99"/>
      <c r="Y208" s="99"/>
      <c r="Z208" s="99"/>
      <c r="AA208" s="99"/>
      <c r="AB208" s="100"/>
      <c r="AC208" s="100"/>
      <c r="AD208" s="100"/>
      <c r="AE208" s="99"/>
      <c r="AF208" s="99"/>
      <c r="AG208" s="99"/>
      <c r="AH208" s="99"/>
      <c r="AI208" s="100"/>
      <c r="AJ208" s="100"/>
      <c r="AK208" s="100"/>
      <c r="AL208" s="19"/>
      <c r="AM208" s="101"/>
      <c r="AN208" s="101"/>
      <c r="AO208" s="101"/>
      <c r="AP208" s="101"/>
      <c r="AQ208" s="19"/>
      <c r="AR208" s="19"/>
      <c r="AS208" s="19"/>
      <c r="AT208" s="99"/>
      <c r="AU208" s="99"/>
      <c r="AV208" s="99"/>
      <c r="AW208" s="99"/>
      <c r="AX208" s="100"/>
      <c r="AY208" s="100"/>
      <c r="AZ208" s="100"/>
      <c r="BA208" s="100"/>
      <c r="BB208" s="100"/>
      <c r="BC208" s="100"/>
      <c r="CW208" s="1">
        <f t="shared" si="44"/>
        <v>0</v>
      </c>
      <c r="CX208" s="1">
        <f t="shared" si="45"/>
        <v>0</v>
      </c>
      <c r="CY208" s="43">
        <f t="shared" si="46"/>
        <v>0</v>
      </c>
      <c r="CZ208" s="43">
        <f t="shared" si="47"/>
        <v>0</v>
      </c>
      <c r="DA208" s="43">
        <f t="shared" si="48"/>
        <v>0</v>
      </c>
      <c r="DB208" s="43" t="str">
        <f t="shared" si="49"/>
        <v/>
      </c>
      <c r="DC208" s="50" t="str">
        <f t="shared" si="50"/>
        <v/>
      </c>
      <c r="DD208" s="50" t="str">
        <f t="shared" si="51"/>
        <v/>
      </c>
    </row>
    <row r="209" spans="12:108" ht="14.25" customHeight="1">
      <c r="L209" s="99"/>
      <c r="M209" s="99"/>
      <c r="N209" s="99"/>
      <c r="O209" s="99"/>
      <c r="P209" s="100"/>
      <c r="Q209" s="101"/>
      <c r="R209" s="101"/>
      <c r="S209" s="101"/>
      <c r="T209" s="101"/>
      <c r="U209" s="19"/>
      <c r="V209" s="19"/>
      <c r="W209" s="19"/>
      <c r="X209" s="99"/>
      <c r="Y209" s="99"/>
      <c r="Z209" s="99"/>
      <c r="AA209" s="99"/>
      <c r="AB209" s="100"/>
      <c r="AC209" s="100"/>
      <c r="AD209" s="100"/>
      <c r="AE209" s="99"/>
      <c r="AF209" s="99"/>
      <c r="AG209" s="99"/>
      <c r="AH209" s="99"/>
      <c r="AI209" s="100"/>
      <c r="AJ209" s="100"/>
      <c r="AK209" s="100"/>
      <c r="AL209" s="19"/>
      <c r="AM209" s="101"/>
      <c r="AN209" s="101"/>
      <c r="AO209" s="101"/>
      <c r="AP209" s="101"/>
      <c r="AQ209" s="19"/>
      <c r="AR209" s="19"/>
      <c r="AS209" s="19"/>
      <c r="AT209" s="99"/>
      <c r="AU209" s="99"/>
      <c r="AV209" s="99"/>
      <c r="AW209" s="99"/>
      <c r="AX209" s="100"/>
      <c r="AY209" s="100"/>
      <c r="AZ209" s="100"/>
      <c r="BA209" s="100"/>
      <c r="BB209" s="100"/>
      <c r="BC209" s="100"/>
      <c r="CW209" s="1">
        <f t="shared" si="44"/>
        <v>0</v>
      </c>
      <c r="CX209" s="1">
        <f t="shared" si="45"/>
        <v>0</v>
      </c>
      <c r="CY209" s="43">
        <f t="shared" si="46"/>
        <v>0</v>
      </c>
      <c r="CZ209" s="43">
        <f t="shared" si="47"/>
        <v>0</v>
      </c>
      <c r="DA209" s="43">
        <f t="shared" si="48"/>
        <v>0</v>
      </c>
      <c r="DB209" s="43" t="str">
        <f t="shared" si="49"/>
        <v/>
      </c>
      <c r="DC209" s="50" t="str">
        <f t="shared" si="50"/>
        <v/>
      </c>
      <c r="DD209" s="50" t="str">
        <f t="shared" si="51"/>
        <v/>
      </c>
    </row>
    <row r="210" spans="12:108" ht="30.9" customHeight="1">
      <c r="L210" s="120"/>
      <c r="M210" s="120"/>
      <c r="N210" s="120"/>
      <c r="O210" s="121"/>
      <c r="P210" s="121"/>
      <c r="Q210" s="100"/>
      <c r="R210" s="100"/>
      <c r="S210" s="100"/>
      <c r="T210" s="100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  <c r="AH210" s="122"/>
      <c r="AI210" s="122"/>
      <c r="AJ210" s="122"/>
      <c r="AK210" s="122"/>
      <c r="AL210" s="122"/>
      <c r="AM210" s="122"/>
      <c r="AN210" s="122"/>
      <c r="AO210" s="122"/>
      <c r="AP210" s="122"/>
      <c r="AQ210" s="122"/>
      <c r="AR210" s="122"/>
      <c r="AS210" s="122"/>
      <c r="AT210" s="122"/>
      <c r="AU210" s="122"/>
      <c r="AV210" s="122"/>
      <c r="AW210" s="122"/>
      <c r="AX210" s="122"/>
      <c r="AY210" s="122"/>
      <c r="AZ210" s="122"/>
      <c r="BA210" s="122"/>
      <c r="BB210" s="122"/>
      <c r="BC210" s="122"/>
      <c r="CW210" s="1">
        <f t="shared" si="44"/>
        <v>0</v>
      </c>
      <c r="CX210" s="1">
        <f t="shared" si="45"/>
        <v>0</v>
      </c>
      <c r="CY210" s="43">
        <f t="shared" si="46"/>
        <v>0</v>
      </c>
      <c r="CZ210" s="43">
        <f t="shared" si="47"/>
        <v>0</v>
      </c>
      <c r="DA210" s="43">
        <f t="shared" si="48"/>
        <v>0</v>
      </c>
      <c r="DB210" s="43" t="str">
        <f t="shared" si="49"/>
        <v/>
      </c>
      <c r="DC210" s="50" t="str">
        <f t="shared" si="50"/>
        <v/>
      </c>
      <c r="DD210" s="50" t="str">
        <f t="shared" si="51"/>
        <v/>
      </c>
    </row>
    <row r="211" spans="12:108" ht="30.9" customHeight="1">
      <c r="L211" s="123"/>
      <c r="M211" s="123"/>
      <c r="O211" s="124"/>
      <c r="P211" s="124"/>
      <c r="Q211" s="100"/>
      <c r="R211" s="100"/>
      <c r="S211" s="100"/>
      <c r="T211" s="100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  <c r="AH211" s="122"/>
      <c r="AI211" s="122"/>
      <c r="AJ211" s="122"/>
      <c r="AK211" s="122"/>
      <c r="AL211" s="122"/>
      <c r="AM211" s="122"/>
      <c r="AN211" s="122"/>
      <c r="AO211" s="122"/>
      <c r="AP211" s="122"/>
      <c r="AQ211" s="122"/>
      <c r="AR211" s="122"/>
      <c r="AS211" s="122"/>
      <c r="AT211" s="122"/>
      <c r="AU211" s="122"/>
      <c r="AV211" s="122"/>
      <c r="AW211" s="122"/>
      <c r="AX211" s="122"/>
      <c r="AY211" s="122"/>
      <c r="AZ211" s="122"/>
      <c r="BA211" s="122"/>
      <c r="BB211" s="122"/>
      <c r="BC211" s="122"/>
      <c r="CW211" s="1">
        <f t="shared" si="44"/>
        <v>0</v>
      </c>
      <c r="CX211" s="1">
        <f t="shared" si="45"/>
        <v>0</v>
      </c>
      <c r="CY211" s="43">
        <f t="shared" si="46"/>
        <v>0</v>
      </c>
      <c r="CZ211" s="43">
        <f t="shared" si="47"/>
        <v>0</v>
      </c>
      <c r="DA211" s="43">
        <f t="shared" si="48"/>
        <v>0</v>
      </c>
      <c r="DB211" s="43" t="str">
        <f t="shared" si="49"/>
        <v/>
      </c>
      <c r="DC211" s="50" t="str">
        <f t="shared" si="50"/>
        <v/>
      </c>
      <c r="DD211" s="50" t="str">
        <f t="shared" si="51"/>
        <v/>
      </c>
    </row>
    <row r="212" spans="12:108" ht="14.25" customHeight="1">
      <c r="L212" s="99"/>
      <c r="M212" s="99"/>
      <c r="N212" s="99"/>
      <c r="O212" s="99"/>
      <c r="P212" s="100"/>
      <c r="Q212" s="101"/>
      <c r="R212" s="101"/>
      <c r="S212" s="101"/>
      <c r="T212" s="101"/>
      <c r="U212" s="99"/>
      <c r="V212" s="99"/>
      <c r="W212" s="100"/>
      <c r="X212" s="100"/>
      <c r="Y212" s="99"/>
      <c r="Z212" s="99"/>
      <c r="AA212" s="100"/>
      <c r="AB212" s="100"/>
      <c r="AC212" s="100"/>
      <c r="AD212" s="100"/>
      <c r="AE212" s="99"/>
      <c r="AF212" s="99"/>
      <c r="AG212" s="100"/>
      <c r="AH212" s="100"/>
      <c r="AI212" s="99"/>
      <c r="AJ212" s="99"/>
      <c r="AK212" s="100"/>
      <c r="AL212" s="100"/>
      <c r="AM212" s="101"/>
      <c r="AN212" s="101"/>
      <c r="AO212" s="101"/>
      <c r="AP212" s="101"/>
      <c r="AQ212" s="19"/>
      <c r="AR212" s="19"/>
      <c r="AS212" s="19"/>
      <c r="AT212" s="99"/>
      <c r="AU212" s="99"/>
      <c r="AV212" s="99"/>
      <c r="AW212" s="99"/>
      <c r="AX212" s="100"/>
      <c r="AY212" s="100"/>
      <c r="AZ212" s="100"/>
      <c r="BA212" s="100"/>
      <c r="BB212" s="100"/>
      <c r="BC212" s="100"/>
      <c r="CW212" s="1">
        <f t="shared" si="44"/>
        <v>0</v>
      </c>
      <c r="CX212" s="1">
        <f t="shared" si="45"/>
        <v>0</v>
      </c>
      <c r="CY212" s="43">
        <f t="shared" si="46"/>
        <v>0</v>
      </c>
      <c r="CZ212" s="43">
        <f t="shared" si="47"/>
        <v>0</v>
      </c>
      <c r="DA212" s="43">
        <f t="shared" si="48"/>
        <v>0</v>
      </c>
      <c r="DB212" s="43" t="str">
        <f t="shared" si="49"/>
        <v/>
      </c>
      <c r="DC212" s="50" t="str">
        <f t="shared" si="50"/>
        <v/>
      </c>
      <c r="DD212" s="50" t="str">
        <f t="shared" si="51"/>
        <v/>
      </c>
    </row>
    <row r="213" spans="12:108" ht="14.25" customHeight="1">
      <c r="L213" s="99"/>
      <c r="M213" s="99"/>
      <c r="N213" s="99"/>
      <c r="O213" s="99"/>
      <c r="P213" s="100"/>
      <c r="Q213" s="101"/>
      <c r="R213" s="101"/>
      <c r="S213" s="101"/>
      <c r="T213" s="101"/>
      <c r="U213" s="99"/>
      <c r="V213" s="99"/>
      <c r="W213" s="100"/>
      <c r="X213" s="100"/>
      <c r="Y213" s="99"/>
      <c r="Z213" s="99"/>
      <c r="AA213" s="100"/>
      <c r="AB213" s="100"/>
      <c r="AC213" s="100"/>
      <c r="AD213" s="100"/>
      <c r="AE213" s="99"/>
      <c r="AF213" s="99"/>
      <c r="AG213" s="100"/>
      <c r="AH213" s="100"/>
      <c r="AI213" s="99"/>
      <c r="AJ213" s="99"/>
      <c r="AK213" s="100"/>
      <c r="AL213" s="100"/>
      <c r="AM213" s="101"/>
      <c r="AN213" s="101"/>
      <c r="AO213" s="101"/>
      <c r="AP213" s="101"/>
      <c r="AQ213" s="19"/>
      <c r="AR213" s="19"/>
      <c r="AS213" s="19"/>
      <c r="AT213" s="99"/>
      <c r="AU213" s="99"/>
      <c r="AV213" s="99"/>
      <c r="AW213" s="99"/>
      <c r="AX213" s="100"/>
      <c r="AY213" s="100"/>
      <c r="AZ213" s="100"/>
      <c r="BA213" s="100"/>
      <c r="BB213" s="100"/>
      <c r="BC213" s="100"/>
      <c r="CW213" s="1">
        <f t="shared" si="44"/>
        <v>0</v>
      </c>
      <c r="CX213" s="1">
        <f t="shared" si="45"/>
        <v>0</v>
      </c>
      <c r="CY213" s="43">
        <f t="shared" si="46"/>
        <v>0</v>
      </c>
      <c r="CZ213" s="43">
        <f t="shared" si="47"/>
        <v>0</v>
      </c>
      <c r="DA213" s="43">
        <f t="shared" si="48"/>
        <v>0</v>
      </c>
      <c r="DB213" s="43" t="str">
        <f t="shared" si="49"/>
        <v/>
      </c>
      <c r="DC213" s="50" t="str">
        <f t="shared" si="50"/>
        <v/>
      </c>
      <c r="DD213" s="50" t="str">
        <f t="shared" si="51"/>
        <v/>
      </c>
    </row>
    <row r="214" spans="12:108" ht="14.25" customHeight="1">
      <c r="L214" s="99"/>
      <c r="M214" s="99"/>
      <c r="N214" s="99"/>
      <c r="O214" s="99"/>
      <c r="P214" s="100"/>
      <c r="Q214" s="101"/>
      <c r="R214" s="101"/>
      <c r="S214" s="101"/>
      <c r="T214" s="101"/>
      <c r="U214" s="99"/>
      <c r="V214" s="99"/>
      <c r="W214" s="100"/>
      <c r="X214" s="100"/>
      <c r="Y214" s="99"/>
      <c r="Z214" s="99"/>
      <c r="AA214" s="100"/>
      <c r="AB214" s="100"/>
      <c r="AC214" s="100"/>
      <c r="AD214" s="100"/>
      <c r="AE214" s="99"/>
      <c r="AF214" s="99"/>
      <c r="AG214" s="100"/>
      <c r="AH214" s="100"/>
      <c r="AI214" s="99"/>
      <c r="AJ214" s="99"/>
      <c r="AK214" s="100"/>
      <c r="AL214" s="100"/>
      <c r="AM214" s="101"/>
      <c r="AN214" s="101"/>
      <c r="AO214" s="101"/>
      <c r="AP214" s="101"/>
      <c r="AQ214" s="19"/>
      <c r="AR214" s="19"/>
      <c r="AS214" s="19"/>
      <c r="AT214" s="99"/>
      <c r="AU214" s="99"/>
      <c r="AV214" s="99"/>
      <c r="AW214" s="99"/>
      <c r="AX214" s="100"/>
      <c r="AY214" s="100"/>
      <c r="AZ214" s="100"/>
      <c r="BA214" s="100"/>
      <c r="BB214" s="100"/>
      <c r="BC214" s="100"/>
      <c r="CW214" s="1">
        <f t="shared" si="44"/>
        <v>0</v>
      </c>
      <c r="CX214" s="1">
        <f t="shared" si="45"/>
        <v>0</v>
      </c>
      <c r="CY214" s="43">
        <f t="shared" si="46"/>
        <v>0</v>
      </c>
      <c r="CZ214" s="43">
        <f t="shared" si="47"/>
        <v>0</v>
      </c>
      <c r="DA214" s="43">
        <f t="shared" si="48"/>
        <v>0</v>
      </c>
      <c r="DB214" s="43" t="str">
        <f t="shared" si="49"/>
        <v/>
      </c>
      <c r="DC214" s="50" t="str">
        <f t="shared" si="50"/>
        <v/>
      </c>
      <c r="DD214" s="50" t="str">
        <f t="shared" si="51"/>
        <v/>
      </c>
    </row>
    <row r="215" spans="12:108" ht="14.25" customHeight="1">
      <c r="L215" s="99"/>
      <c r="M215" s="99"/>
      <c r="N215" s="99"/>
      <c r="O215" s="99"/>
      <c r="P215" s="100"/>
      <c r="Q215" s="101"/>
      <c r="R215" s="101"/>
      <c r="S215" s="101"/>
      <c r="T215" s="101"/>
      <c r="U215" s="47"/>
      <c r="V215" s="47"/>
      <c r="W215" s="47"/>
      <c r="X215" s="99"/>
      <c r="Y215" s="99"/>
      <c r="Z215" s="99"/>
      <c r="AA215" s="99"/>
      <c r="AB215" s="100"/>
      <c r="AC215" s="100"/>
      <c r="AD215" s="100"/>
      <c r="AE215" s="99"/>
      <c r="AF215" s="99"/>
      <c r="AG215" s="99"/>
      <c r="AH215" s="99"/>
      <c r="AI215" s="100"/>
      <c r="AJ215" s="100"/>
      <c r="AK215" s="100"/>
      <c r="AL215" s="47"/>
      <c r="AM215" s="101"/>
      <c r="AN215" s="101"/>
      <c r="AO215" s="101"/>
      <c r="AP215" s="101"/>
      <c r="AQ215" s="19"/>
      <c r="AR215" s="19"/>
      <c r="AS215" s="19"/>
      <c r="AT215" s="99"/>
      <c r="AU215" s="99"/>
      <c r="AV215" s="99"/>
      <c r="AW215" s="99"/>
      <c r="AX215" s="100"/>
      <c r="AY215" s="100"/>
      <c r="AZ215" s="100"/>
      <c r="BA215" s="100"/>
      <c r="BB215" s="100"/>
      <c r="BC215" s="100"/>
      <c r="CW215" s="1">
        <f t="shared" si="44"/>
        <v>0</v>
      </c>
      <c r="CX215" s="1">
        <f t="shared" si="45"/>
        <v>0</v>
      </c>
      <c r="CY215" s="43">
        <f t="shared" si="46"/>
        <v>0</v>
      </c>
      <c r="CZ215" s="43">
        <f t="shared" si="47"/>
        <v>0</v>
      </c>
      <c r="DA215" s="43">
        <f t="shared" si="48"/>
        <v>0</v>
      </c>
      <c r="DB215" s="43" t="str">
        <f t="shared" si="49"/>
        <v/>
      </c>
      <c r="DC215" s="50" t="str">
        <f t="shared" si="50"/>
        <v/>
      </c>
      <c r="DD215" s="50" t="str">
        <f t="shared" si="51"/>
        <v/>
      </c>
    </row>
    <row r="216" spans="12:108" ht="14.25" customHeight="1">
      <c r="L216" s="99"/>
      <c r="M216" s="99"/>
      <c r="N216" s="99"/>
      <c r="O216" s="99"/>
      <c r="P216" s="100"/>
      <c r="Q216" s="101"/>
      <c r="R216" s="101"/>
      <c r="S216" s="101"/>
      <c r="T216" s="101"/>
      <c r="U216" s="19"/>
      <c r="V216" s="19"/>
      <c r="W216" s="19"/>
      <c r="X216" s="99"/>
      <c r="Y216" s="99"/>
      <c r="Z216" s="99"/>
      <c r="AA216" s="99"/>
      <c r="AB216" s="100"/>
      <c r="AC216" s="100"/>
      <c r="AD216" s="100"/>
      <c r="AE216" s="99"/>
      <c r="AF216" s="99"/>
      <c r="AG216" s="99"/>
      <c r="AH216" s="99"/>
      <c r="AI216" s="100"/>
      <c r="AJ216" s="100"/>
      <c r="AK216" s="100"/>
      <c r="AL216" s="19"/>
      <c r="AM216" s="101"/>
      <c r="AN216" s="101"/>
      <c r="AO216" s="101"/>
      <c r="AP216" s="101"/>
      <c r="AQ216" s="19"/>
      <c r="AR216" s="19"/>
      <c r="AS216" s="19"/>
      <c r="AT216" s="99"/>
      <c r="AU216" s="99"/>
      <c r="AV216" s="99"/>
      <c r="AW216" s="99"/>
      <c r="AX216" s="100"/>
      <c r="AY216" s="100"/>
      <c r="AZ216" s="100"/>
      <c r="BA216" s="100"/>
      <c r="BB216" s="100"/>
      <c r="BC216" s="100"/>
      <c r="CW216" s="1">
        <f t="shared" si="44"/>
        <v>0</v>
      </c>
      <c r="CX216" s="1">
        <f t="shared" si="45"/>
        <v>0</v>
      </c>
      <c r="CY216" s="43">
        <f t="shared" si="46"/>
        <v>0</v>
      </c>
      <c r="CZ216" s="43">
        <f t="shared" si="47"/>
        <v>0</v>
      </c>
      <c r="DA216" s="43">
        <f t="shared" si="48"/>
        <v>0</v>
      </c>
      <c r="DB216" s="43" t="str">
        <f t="shared" si="49"/>
        <v/>
      </c>
      <c r="DC216" s="50" t="str">
        <f t="shared" si="50"/>
        <v/>
      </c>
      <c r="DD216" s="50" t="str">
        <f t="shared" si="51"/>
        <v/>
      </c>
    </row>
    <row r="217" spans="12:108" ht="14.25" customHeight="1">
      <c r="L217" s="99"/>
      <c r="M217" s="99"/>
      <c r="N217" s="99"/>
      <c r="O217" s="99"/>
      <c r="P217" s="100"/>
      <c r="Q217" s="101"/>
      <c r="R217" s="101"/>
      <c r="S217" s="101"/>
      <c r="T217" s="101"/>
      <c r="U217" s="19"/>
      <c r="V217" s="19"/>
      <c r="W217" s="19"/>
      <c r="X217" s="99"/>
      <c r="Y217" s="99"/>
      <c r="Z217" s="99"/>
      <c r="AA217" s="99"/>
      <c r="AB217" s="100"/>
      <c r="AC217" s="100"/>
      <c r="AD217" s="100"/>
      <c r="AE217" s="99"/>
      <c r="AF217" s="99"/>
      <c r="AG217" s="99"/>
      <c r="AH217" s="99"/>
      <c r="AI217" s="100"/>
      <c r="AJ217" s="100"/>
      <c r="AK217" s="100"/>
      <c r="AL217" s="19"/>
      <c r="AM217" s="101"/>
      <c r="AN217" s="101"/>
      <c r="AO217" s="101"/>
      <c r="AP217" s="101"/>
      <c r="AQ217" s="19"/>
      <c r="AR217" s="19"/>
      <c r="AS217" s="19"/>
      <c r="AT217" s="99"/>
      <c r="AU217" s="99"/>
      <c r="AV217" s="99"/>
      <c r="AW217" s="99"/>
      <c r="AX217" s="100"/>
      <c r="AY217" s="100"/>
      <c r="AZ217" s="100"/>
      <c r="BA217" s="100"/>
      <c r="BB217" s="100"/>
      <c r="BC217" s="100"/>
      <c r="CW217" s="1">
        <f t="shared" si="44"/>
        <v>0</v>
      </c>
      <c r="CX217" s="1">
        <f t="shared" si="45"/>
        <v>0</v>
      </c>
      <c r="CY217" s="43">
        <f t="shared" si="46"/>
        <v>0</v>
      </c>
      <c r="CZ217" s="43">
        <f t="shared" si="47"/>
        <v>0</v>
      </c>
      <c r="DA217" s="43">
        <f t="shared" si="48"/>
        <v>0</v>
      </c>
      <c r="DB217" s="43" t="str">
        <f t="shared" si="49"/>
        <v/>
      </c>
      <c r="DC217" s="50" t="str">
        <f t="shared" si="50"/>
        <v/>
      </c>
      <c r="DD217" s="50" t="str">
        <f t="shared" si="51"/>
        <v/>
      </c>
    </row>
    <row r="218" spans="12:108" ht="30.9" customHeight="1">
      <c r="L218" s="120"/>
      <c r="M218" s="120"/>
      <c r="N218" s="120"/>
      <c r="O218" s="121"/>
      <c r="P218" s="121"/>
      <c r="Q218" s="100"/>
      <c r="R218" s="100"/>
      <c r="S218" s="100"/>
      <c r="T218" s="100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  <c r="AH218" s="122"/>
      <c r="AI218" s="122"/>
      <c r="AJ218" s="122"/>
      <c r="AK218" s="122"/>
      <c r="AL218" s="122"/>
      <c r="AM218" s="122"/>
      <c r="AN218" s="122"/>
      <c r="AO218" s="122"/>
      <c r="AP218" s="122"/>
      <c r="AQ218" s="122"/>
      <c r="AR218" s="122"/>
      <c r="AS218" s="122"/>
      <c r="AT218" s="122"/>
      <c r="AU218" s="122"/>
      <c r="AV218" s="122"/>
      <c r="AW218" s="122"/>
      <c r="AX218" s="122"/>
      <c r="AY218" s="122"/>
      <c r="AZ218" s="122"/>
      <c r="BA218" s="122"/>
      <c r="BB218" s="122"/>
      <c r="BC218" s="122"/>
      <c r="CW218" s="1">
        <f t="shared" si="44"/>
        <v>0</v>
      </c>
      <c r="CX218" s="1">
        <f t="shared" si="45"/>
        <v>0</v>
      </c>
      <c r="CY218" s="43">
        <f t="shared" si="46"/>
        <v>0</v>
      </c>
      <c r="CZ218" s="43">
        <f t="shared" si="47"/>
        <v>0</v>
      </c>
      <c r="DA218" s="43">
        <f t="shared" si="48"/>
        <v>0</v>
      </c>
      <c r="DB218" s="43" t="str">
        <f t="shared" si="49"/>
        <v/>
      </c>
      <c r="DC218" s="50" t="str">
        <f t="shared" si="50"/>
        <v/>
      </c>
      <c r="DD218" s="50" t="str">
        <f t="shared" si="51"/>
        <v/>
      </c>
    </row>
    <row r="219" spans="12:108" ht="30.9" customHeight="1">
      <c r="L219" s="123"/>
      <c r="M219" s="123"/>
      <c r="O219" s="124"/>
      <c r="P219" s="124"/>
      <c r="Q219" s="100"/>
      <c r="R219" s="100"/>
      <c r="S219" s="100"/>
      <c r="T219" s="100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  <c r="AH219" s="122"/>
      <c r="AI219" s="122"/>
      <c r="AJ219" s="122"/>
      <c r="AK219" s="122"/>
      <c r="AL219" s="122"/>
      <c r="AM219" s="122"/>
      <c r="AN219" s="122"/>
      <c r="AO219" s="122"/>
      <c r="AP219" s="122"/>
      <c r="AQ219" s="122"/>
      <c r="AR219" s="122"/>
      <c r="AS219" s="122"/>
      <c r="AT219" s="122"/>
      <c r="AU219" s="122"/>
      <c r="AV219" s="122"/>
      <c r="AW219" s="122"/>
      <c r="AX219" s="122"/>
      <c r="AY219" s="122"/>
      <c r="AZ219" s="122"/>
      <c r="BA219" s="122"/>
      <c r="BB219" s="122"/>
      <c r="BC219" s="122"/>
      <c r="CW219" s="1">
        <f t="shared" si="44"/>
        <v>0</v>
      </c>
      <c r="CX219" s="1">
        <f t="shared" si="45"/>
        <v>0</v>
      </c>
      <c r="CY219" s="43">
        <f t="shared" si="46"/>
        <v>0</v>
      </c>
      <c r="CZ219" s="43">
        <f t="shared" si="47"/>
        <v>0</v>
      </c>
      <c r="DA219" s="43">
        <f t="shared" si="48"/>
        <v>0</v>
      </c>
      <c r="DB219" s="43" t="str">
        <f t="shared" si="49"/>
        <v/>
      </c>
      <c r="DC219" s="50" t="str">
        <f t="shared" si="50"/>
        <v/>
      </c>
      <c r="DD219" s="50" t="str">
        <f t="shared" si="51"/>
        <v/>
      </c>
    </row>
    <row r="220" spans="12:108" ht="14.25" customHeight="1">
      <c r="L220" s="99"/>
      <c r="M220" s="99"/>
      <c r="N220" s="99"/>
      <c r="O220" s="99"/>
      <c r="P220" s="100"/>
      <c r="Q220" s="101"/>
      <c r="R220" s="101"/>
      <c r="S220" s="101"/>
      <c r="T220" s="101"/>
      <c r="U220" s="99"/>
      <c r="V220" s="99"/>
      <c r="W220" s="100"/>
      <c r="X220" s="100"/>
      <c r="Y220" s="99"/>
      <c r="Z220" s="99"/>
      <c r="AA220" s="100"/>
      <c r="AB220" s="100"/>
      <c r="AC220" s="100"/>
      <c r="AD220" s="100"/>
      <c r="AE220" s="99"/>
      <c r="AF220" s="99"/>
      <c r="AG220" s="100"/>
      <c r="AH220" s="100"/>
      <c r="AI220" s="99"/>
      <c r="AJ220" s="99"/>
      <c r="AK220" s="100"/>
      <c r="AL220" s="100"/>
      <c r="AM220" s="101"/>
      <c r="AN220" s="101"/>
      <c r="AO220" s="101"/>
      <c r="AP220" s="101"/>
      <c r="AQ220" s="19"/>
      <c r="AR220" s="19"/>
      <c r="AS220" s="19"/>
      <c r="AT220" s="99"/>
      <c r="AU220" s="99"/>
      <c r="AV220" s="99"/>
      <c r="AW220" s="99"/>
      <c r="AX220" s="100"/>
      <c r="AY220" s="100"/>
      <c r="AZ220" s="100"/>
      <c r="BA220" s="100"/>
      <c r="BB220" s="100"/>
      <c r="BC220" s="100"/>
      <c r="CW220" s="1">
        <f t="shared" si="44"/>
        <v>0</v>
      </c>
      <c r="CX220" s="1">
        <f t="shared" si="45"/>
        <v>0</v>
      </c>
      <c r="CY220" s="43">
        <f t="shared" si="46"/>
        <v>0</v>
      </c>
      <c r="CZ220" s="43">
        <f t="shared" si="47"/>
        <v>0</v>
      </c>
      <c r="DA220" s="43">
        <f t="shared" si="48"/>
        <v>0</v>
      </c>
      <c r="DB220" s="43" t="str">
        <f t="shared" si="49"/>
        <v/>
      </c>
      <c r="DC220" s="50" t="str">
        <f t="shared" si="50"/>
        <v/>
      </c>
      <c r="DD220" s="50" t="str">
        <f t="shared" si="51"/>
        <v/>
      </c>
    </row>
    <row r="221" spans="12:108" ht="14.25" customHeight="1">
      <c r="L221" s="99"/>
      <c r="M221" s="99"/>
      <c r="N221" s="99"/>
      <c r="O221" s="99"/>
      <c r="P221" s="100"/>
      <c r="Q221" s="101"/>
      <c r="R221" s="101"/>
      <c r="S221" s="101"/>
      <c r="T221" s="101"/>
      <c r="U221" s="99"/>
      <c r="V221" s="99"/>
      <c r="W221" s="100"/>
      <c r="X221" s="100"/>
      <c r="Y221" s="99"/>
      <c r="Z221" s="99"/>
      <c r="AA221" s="100"/>
      <c r="AB221" s="100"/>
      <c r="AC221" s="100"/>
      <c r="AD221" s="100"/>
      <c r="AE221" s="99"/>
      <c r="AF221" s="99"/>
      <c r="AG221" s="100"/>
      <c r="AH221" s="100"/>
      <c r="AI221" s="99"/>
      <c r="AJ221" s="99"/>
      <c r="AK221" s="100"/>
      <c r="AL221" s="100"/>
      <c r="AM221" s="101"/>
      <c r="AN221" s="101"/>
      <c r="AO221" s="101"/>
      <c r="AP221" s="101"/>
      <c r="AQ221" s="19"/>
      <c r="AR221" s="19"/>
      <c r="AS221" s="19"/>
      <c r="AT221" s="99"/>
      <c r="AU221" s="99"/>
      <c r="AV221" s="99"/>
      <c r="AW221" s="99"/>
      <c r="AX221" s="100"/>
      <c r="AY221" s="100"/>
      <c r="AZ221" s="100"/>
      <c r="BA221" s="100"/>
      <c r="BB221" s="100"/>
      <c r="BC221" s="100"/>
      <c r="CW221" s="1">
        <f t="shared" si="44"/>
        <v>0</v>
      </c>
      <c r="CX221" s="1">
        <f t="shared" si="45"/>
        <v>0</v>
      </c>
      <c r="CY221" s="43">
        <f t="shared" si="46"/>
        <v>0</v>
      </c>
      <c r="CZ221" s="43">
        <f t="shared" si="47"/>
        <v>0</v>
      </c>
      <c r="DA221" s="43">
        <f t="shared" si="48"/>
        <v>0</v>
      </c>
      <c r="DB221" s="43" t="str">
        <f t="shared" si="49"/>
        <v/>
      </c>
      <c r="DC221" s="50" t="str">
        <f t="shared" si="50"/>
        <v/>
      </c>
      <c r="DD221" s="50" t="str">
        <f t="shared" si="51"/>
        <v/>
      </c>
    </row>
    <row r="222" spans="12:108" ht="14.25" customHeight="1">
      <c r="L222" s="99"/>
      <c r="M222" s="99"/>
      <c r="N222" s="99"/>
      <c r="O222" s="99"/>
      <c r="P222" s="100"/>
      <c r="Q222" s="101"/>
      <c r="R222" s="101"/>
      <c r="S222" s="101"/>
      <c r="T222" s="101"/>
      <c r="U222" s="99"/>
      <c r="V222" s="99"/>
      <c r="W222" s="100"/>
      <c r="X222" s="100"/>
      <c r="Y222" s="99"/>
      <c r="Z222" s="99"/>
      <c r="AA222" s="100"/>
      <c r="AB222" s="100"/>
      <c r="AC222" s="100"/>
      <c r="AD222" s="100"/>
      <c r="AE222" s="99"/>
      <c r="AF222" s="99"/>
      <c r="AG222" s="100"/>
      <c r="AH222" s="100"/>
      <c r="AI222" s="99"/>
      <c r="AJ222" s="99"/>
      <c r="AK222" s="100"/>
      <c r="AL222" s="100"/>
      <c r="AM222" s="101"/>
      <c r="AN222" s="101"/>
      <c r="AO222" s="101"/>
      <c r="AP222" s="101"/>
      <c r="AQ222" s="19"/>
      <c r="AR222" s="19"/>
      <c r="AS222" s="19"/>
      <c r="AT222" s="99"/>
      <c r="AU222" s="99"/>
      <c r="AV222" s="99"/>
      <c r="AW222" s="99"/>
      <c r="AX222" s="100"/>
      <c r="AY222" s="100"/>
      <c r="AZ222" s="100"/>
      <c r="BA222" s="100"/>
      <c r="BB222" s="100"/>
      <c r="BC222" s="100"/>
      <c r="CW222" s="1">
        <f t="shared" si="44"/>
        <v>0</v>
      </c>
      <c r="CX222" s="1">
        <f t="shared" si="45"/>
        <v>0</v>
      </c>
      <c r="CY222" s="43">
        <f t="shared" si="46"/>
        <v>0</v>
      </c>
      <c r="CZ222" s="43">
        <f t="shared" si="47"/>
        <v>0</v>
      </c>
      <c r="DA222" s="43">
        <f t="shared" si="48"/>
        <v>0</v>
      </c>
      <c r="DB222" s="43" t="str">
        <f t="shared" si="49"/>
        <v/>
      </c>
      <c r="DC222" s="50" t="str">
        <f t="shared" si="50"/>
        <v/>
      </c>
      <c r="DD222" s="50" t="str">
        <f t="shared" si="51"/>
        <v/>
      </c>
    </row>
    <row r="223" spans="12:108" ht="14.25" customHeight="1">
      <c r="L223" s="99"/>
      <c r="M223" s="99"/>
      <c r="N223" s="99"/>
      <c r="O223" s="99"/>
      <c r="P223" s="100"/>
      <c r="Q223" s="101"/>
      <c r="R223" s="101"/>
      <c r="S223" s="101"/>
      <c r="T223" s="101"/>
      <c r="U223" s="47"/>
      <c r="V223" s="47"/>
      <c r="W223" s="47"/>
      <c r="X223" s="99"/>
      <c r="Y223" s="99"/>
      <c r="Z223" s="99"/>
      <c r="AA223" s="99"/>
      <c r="AB223" s="100"/>
      <c r="AC223" s="100"/>
      <c r="AD223" s="100"/>
      <c r="AE223" s="99"/>
      <c r="AF223" s="99"/>
      <c r="AG223" s="99"/>
      <c r="AH223" s="99"/>
      <c r="AI223" s="100"/>
      <c r="AJ223" s="100"/>
      <c r="AK223" s="100"/>
      <c r="AL223" s="47"/>
      <c r="AM223" s="101"/>
      <c r="AN223" s="101"/>
      <c r="AO223" s="101"/>
      <c r="AP223" s="101"/>
      <c r="AQ223" s="19"/>
      <c r="AR223" s="19"/>
      <c r="AS223" s="19"/>
      <c r="AT223" s="99"/>
      <c r="AU223" s="99"/>
      <c r="AV223" s="99"/>
      <c r="AW223" s="99"/>
      <c r="AX223" s="100"/>
      <c r="AY223" s="100"/>
      <c r="AZ223" s="100"/>
      <c r="BA223" s="100"/>
      <c r="BB223" s="100"/>
      <c r="BC223" s="100"/>
      <c r="CW223" s="1">
        <f t="shared" si="44"/>
        <v>0</v>
      </c>
      <c r="CX223" s="1">
        <f t="shared" si="45"/>
        <v>0</v>
      </c>
      <c r="CY223" s="43">
        <f t="shared" si="46"/>
        <v>0</v>
      </c>
      <c r="CZ223" s="43">
        <f t="shared" si="47"/>
        <v>0</v>
      </c>
      <c r="DA223" s="43">
        <f t="shared" si="48"/>
        <v>0</v>
      </c>
      <c r="DB223" s="43" t="str">
        <f t="shared" si="49"/>
        <v/>
      </c>
      <c r="DC223" s="50" t="str">
        <f t="shared" si="50"/>
        <v/>
      </c>
      <c r="DD223" s="50" t="str">
        <f t="shared" si="51"/>
        <v/>
      </c>
    </row>
    <row r="224" spans="12:108" ht="14.25" customHeight="1">
      <c r="L224" s="99"/>
      <c r="M224" s="99"/>
      <c r="N224" s="99"/>
      <c r="O224" s="99"/>
      <c r="P224" s="100"/>
      <c r="Q224" s="101"/>
      <c r="R224" s="101"/>
      <c r="S224" s="101"/>
      <c r="T224" s="101"/>
      <c r="U224" s="19"/>
      <c r="V224" s="19"/>
      <c r="W224" s="19"/>
      <c r="X224" s="99"/>
      <c r="Y224" s="99"/>
      <c r="Z224" s="99"/>
      <c r="AA224" s="99"/>
      <c r="AB224" s="100"/>
      <c r="AC224" s="100"/>
      <c r="AD224" s="100"/>
      <c r="AE224" s="99"/>
      <c r="AF224" s="99"/>
      <c r="AG224" s="99"/>
      <c r="AH224" s="99"/>
      <c r="AI224" s="100"/>
      <c r="AJ224" s="100"/>
      <c r="AK224" s="100"/>
      <c r="AL224" s="19"/>
      <c r="AM224" s="101"/>
      <c r="AN224" s="101"/>
      <c r="AO224" s="101"/>
      <c r="AP224" s="101"/>
      <c r="AQ224" s="19"/>
      <c r="AR224" s="19"/>
      <c r="AS224" s="19"/>
      <c r="AT224" s="99"/>
      <c r="AU224" s="99"/>
      <c r="AV224" s="99"/>
      <c r="AW224" s="99"/>
      <c r="AX224" s="100"/>
      <c r="AY224" s="100"/>
      <c r="AZ224" s="100"/>
      <c r="BA224" s="100"/>
      <c r="BB224" s="100"/>
      <c r="BC224" s="100"/>
      <c r="CW224" s="1">
        <f t="shared" si="44"/>
        <v>0</v>
      </c>
      <c r="CX224" s="1">
        <f t="shared" si="45"/>
        <v>0</v>
      </c>
      <c r="CY224" s="43">
        <f t="shared" si="46"/>
        <v>0</v>
      </c>
      <c r="CZ224" s="43">
        <f t="shared" si="47"/>
        <v>0</v>
      </c>
      <c r="DA224" s="43">
        <f t="shared" si="48"/>
        <v>0</v>
      </c>
      <c r="DB224" s="43" t="str">
        <f t="shared" si="49"/>
        <v/>
      </c>
      <c r="DC224" s="50" t="str">
        <f t="shared" si="50"/>
        <v/>
      </c>
      <c r="DD224" s="50" t="str">
        <f t="shared" si="51"/>
        <v/>
      </c>
    </row>
    <row r="225" spans="12:108" ht="14.25" customHeight="1">
      <c r="L225" s="99"/>
      <c r="M225" s="99"/>
      <c r="N225" s="99"/>
      <c r="O225" s="99"/>
      <c r="P225" s="100"/>
      <c r="Q225" s="101"/>
      <c r="R225" s="101"/>
      <c r="S225" s="101"/>
      <c r="T225" s="101"/>
      <c r="U225" s="19"/>
      <c r="V225" s="19"/>
      <c r="W225" s="19"/>
      <c r="X225" s="99"/>
      <c r="Y225" s="99"/>
      <c r="Z225" s="99"/>
      <c r="AA225" s="99"/>
      <c r="AB225" s="100"/>
      <c r="AC225" s="100"/>
      <c r="AD225" s="100"/>
      <c r="AE225" s="99"/>
      <c r="AF225" s="99"/>
      <c r="AG225" s="99"/>
      <c r="AH225" s="99"/>
      <c r="AI225" s="100"/>
      <c r="AJ225" s="100"/>
      <c r="AK225" s="100"/>
      <c r="AL225" s="19"/>
      <c r="AM225" s="101"/>
      <c r="AN225" s="101"/>
      <c r="AO225" s="101"/>
      <c r="AP225" s="101"/>
      <c r="AQ225" s="19"/>
      <c r="AR225" s="19"/>
      <c r="AS225" s="19"/>
      <c r="AT225" s="99"/>
      <c r="AU225" s="99"/>
      <c r="AV225" s="99"/>
      <c r="AW225" s="99"/>
      <c r="AX225" s="100"/>
      <c r="AY225" s="100"/>
      <c r="AZ225" s="100"/>
      <c r="BA225" s="100"/>
      <c r="BB225" s="100"/>
      <c r="BC225" s="100"/>
      <c r="CW225" s="1">
        <f t="shared" si="44"/>
        <v>0</v>
      </c>
      <c r="CX225" s="1">
        <f t="shared" si="45"/>
        <v>0</v>
      </c>
      <c r="CY225" s="43">
        <f t="shared" si="46"/>
        <v>0</v>
      </c>
      <c r="CZ225" s="43">
        <f t="shared" si="47"/>
        <v>0</v>
      </c>
      <c r="DA225" s="43">
        <f t="shared" si="48"/>
        <v>0</v>
      </c>
      <c r="DB225" s="43" t="str">
        <f t="shared" si="49"/>
        <v/>
      </c>
      <c r="DC225" s="50" t="str">
        <f t="shared" si="50"/>
        <v/>
      </c>
      <c r="DD225" s="50" t="str">
        <f t="shared" si="51"/>
        <v/>
      </c>
    </row>
    <row r="226" spans="12:108" ht="30.9" customHeight="1">
      <c r="L226" s="120"/>
      <c r="M226" s="120"/>
      <c r="N226" s="120"/>
      <c r="O226" s="121"/>
      <c r="P226" s="121"/>
      <c r="Q226" s="100"/>
      <c r="R226" s="100"/>
      <c r="S226" s="100"/>
      <c r="T226" s="100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  <c r="AH226" s="122"/>
      <c r="AI226" s="122"/>
      <c r="AJ226" s="122"/>
      <c r="AK226" s="122"/>
      <c r="AL226" s="122"/>
      <c r="AM226" s="122"/>
      <c r="AN226" s="122"/>
      <c r="AO226" s="122"/>
      <c r="AP226" s="122"/>
      <c r="AQ226" s="122"/>
      <c r="AR226" s="122"/>
      <c r="AS226" s="122"/>
      <c r="AT226" s="122"/>
      <c r="AU226" s="122"/>
      <c r="AV226" s="122"/>
      <c r="AW226" s="122"/>
      <c r="AX226" s="122"/>
      <c r="AY226" s="122"/>
      <c r="AZ226" s="122"/>
      <c r="BA226" s="122"/>
      <c r="BB226" s="122"/>
      <c r="BC226" s="122"/>
      <c r="CW226" s="1">
        <f t="shared" si="44"/>
        <v>0</v>
      </c>
      <c r="CX226" s="1">
        <f t="shared" si="45"/>
        <v>0</v>
      </c>
      <c r="CY226" s="43">
        <f t="shared" si="46"/>
        <v>0</v>
      </c>
      <c r="CZ226" s="43">
        <f t="shared" si="47"/>
        <v>0</v>
      </c>
      <c r="DA226" s="43">
        <f t="shared" si="48"/>
        <v>0</v>
      </c>
      <c r="DB226" s="43" t="str">
        <f t="shared" si="49"/>
        <v/>
      </c>
      <c r="DC226" s="50" t="str">
        <f t="shared" si="50"/>
        <v/>
      </c>
      <c r="DD226" s="50" t="str">
        <f t="shared" si="51"/>
        <v/>
      </c>
    </row>
    <row r="227" spans="12:108" ht="30.9" customHeight="1">
      <c r="L227" s="123"/>
      <c r="M227" s="123"/>
      <c r="O227" s="124"/>
      <c r="P227" s="124"/>
      <c r="Q227" s="100"/>
      <c r="R227" s="100"/>
      <c r="S227" s="100"/>
      <c r="T227" s="100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  <c r="AH227" s="122"/>
      <c r="AI227" s="122"/>
      <c r="AJ227" s="122"/>
      <c r="AK227" s="122"/>
      <c r="AL227" s="122"/>
      <c r="AM227" s="122"/>
      <c r="AN227" s="122"/>
      <c r="AO227" s="122"/>
      <c r="AP227" s="122"/>
      <c r="AQ227" s="122"/>
      <c r="AR227" s="122"/>
      <c r="AS227" s="122"/>
      <c r="AT227" s="122"/>
      <c r="AU227" s="122"/>
      <c r="AV227" s="122"/>
      <c r="AW227" s="122"/>
      <c r="AX227" s="122"/>
      <c r="AY227" s="122"/>
      <c r="AZ227" s="122"/>
      <c r="BA227" s="122"/>
      <c r="BB227" s="122"/>
      <c r="BC227" s="122"/>
      <c r="CW227" s="1">
        <f t="shared" si="44"/>
        <v>0</v>
      </c>
      <c r="CX227" s="1">
        <f t="shared" si="45"/>
        <v>0</v>
      </c>
      <c r="CY227" s="43">
        <f t="shared" si="46"/>
        <v>0</v>
      </c>
      <c r="CZ227" s="43">
        <f t="shared" si="47"/>
        <v>0</v>
      </c>
      <c r="DA227" s="43">
        <f t="shared" si="48"/>
        <v>0</v>
      </c>
      <c r="DB227" s="43" t="str">
        <f t="shared" si="49"/>
        <v/>
      </c>
      <c r="DC227" s="50" t="str">
        <f t="shared" si="50"/>
        <v/>
      </c>
      <c r="DD227" s="50" t="str">
        <f t="shared" si="51"/>
        <v/>
      </c>
    </row>
    <row r="228" spans="12:108" ht="14.25" customHeight="1">
      <c r="L228" s="99"/>
      <c r="M228" s="99"/>
      <c r="N228" s="99"/>
      <c r="O228" s="99"/>
      <c r="P228" s="100"/>
      <c r="Q228" s="101"/>
      <c r="R228" s="101"/>
      <c r="S228" s="101"/>
      <c r="T228" s="101"/>
      <c r="U228" s="99"/>
      <c r="V228" s="99"/>
      <c r="W228" s="100"/>
      <c r="X228" s="100"/>
      <c r="Y228" s="99"/>
      <c r="Z228" s="99"/>
      <c r="AA228" s="100"/>
      <c r="AB228" s="100"/>
      <c r="AC228" s="100"/>
      <c r="AD228" s="100"/>
      <c r="AE228" s="99"/>
      <c r="AF228" s="99"/>
      <c r="AG228" s="100"/>
      <c r="AH228" s="100"/>
      <c r="AI228" s="99"/>
      <c r="AJ228" s="99"/>
      <c r="AK228" s="100"/>
      <c r="AL228" s="100"/>
      <c r="AM228" s="101"/>
      <c r="AN228" s="101"/>
      <c r="AO228" s="101"/>
      <c r="AP228" s="101"/>
      <c r="AQ228" s="19"/>
      <c r="AR228" s="19"/>
      <c r="AS228" s="19"/>
      <c r="AT228" s="99"/>
      <c r="AU228" s="99"/>
      <c r="AV228" s="99"/>
      <c r="AW228" s="99"/>
      <c r="AX228" s="100"/>
      <c r="AY228" s="100"/>
      <c r="AZ228" s="100"/>
      <c r="BA228" s="100"/>
      <c r="BB228" s="100"/>
      <c r="BC228" s="100"/>
      <c r="CW228" s="1">
        <f t="shared" si="44"/>
        <v>0</v>
      </c>
      <c r="CX228" s="1">
        <f t="shared" si="45"/>
        <v>0</v>
      </c>
      <c r="CY228" s="43">
        <f t="shared" si="46"/>
        <v>0</v>
      </c>
      <c r="CZ228" s="43">
        <f t="shared" si="47"/>
        <v>0</v>
      </c>
      <c r="DA228" s="43">
        <f t="shared" si="48"/>
        <v>0</v>
      </c>
      <c r="DB228" s="43" t="str">
        <f t="shared" si="49"/>
        <v/>
      </c>
      <c r="DC228" s="50" t="str">
        <f t="shared" si="50"/>
        <v/>
      </c>
      <c r="DD228" s="50" t="str">
        <f t="shared" si="51"/>
        <v/>
      </c>
    </row>
    <row r="229" spans="12:108" ht="14.25" customHeight="1">
      <c r="L229" s="99"/>
      <c r="M229" s="99"/>
      <c r="N229" s="99"/>
      <c r="O229" s="99"/>
      <c r="P229" s="100"/>
      <c r="Q229" s="101"/>
      <c r="R229" s="101"/>
      <c r="S229" s="101"/>
      <c r="T229" s="101"/>
      <c r="U229" s="99"/>
      <c r="V229" s="99"/>
      <c r="W229" s="100"/>
      <c r="X229" s="100"/>
      <c r="Y229" s="99"/>
      <c r="Z229" s="99"/>
      <c r="AA229" s="100"/>
      <c r="AB229" s="100"/>
      <c r="AC229" s="100"/>
      <c r="AD229" s="100"/>
      <c r="AE229" s="99"/>
      <c r="AF229" s="99"/>
      <c r="AG229" s="100"/>
      <c r="AH229" s="100"/>
      <c r="AI229" s="99"/>
      <c r="AJ229" s="99"/>
      <c r="AK229" s="100"/>
      <c r="AL229" s="100"/>
      <c r="AM229" s="101"/>
      <c r="AN229" s="101"/>
      <c r="AO229" s="101"/>
      <c r="AP229" s="101"/>
      <c r="AQ229" s="19"/>
      <c r="AR229" s="19"/>
      <c r="AS229" s="19"/>
      <c r="AT229" s="99"/>
      <c r="AU229" s="99"/>
      <c r="AV229" s="99"/>
      <c r="AW229" s="99"/>
      <c r="AX229" s="100"/>
      <c r="AY229" s="100"/>
      <c r="AZ229" s="100"/>
      <c r="BA229" s="100"/>
      <c r="BB229" s="100"/>
      <c r="BC229" s="100"/>
      <c r="CW229" s="1">
        <f t="shared" si="44"/>
        <v>0</v>
      </c>
      <c r="CX229" s="1">
        <f t="shared" si="45"/>
        <v>0</v>
      </c>
      <c r="CY229" s="43">
        <f t="shared" si="46"/>
        <v>0</v>
      </c>
      <c r="CZ229" s="43">
        <f t="shared" si="47"/>
        <v>0</v>
      </c>
      <c r="DA229" s="43">
        <f t="shared" si="48"/>
        <v>0</v>
      </c>
      <c r="DB229" s="43" t="str">
        <f t="shared" si="49"/>
        <v/>
      </c>
      <c r="DC229" s="50" t="str">
        <f t="shared" si="50"/>
        <v/>
      </c>
      <c r="DD229" s="50" t="str">
        <f t="shared" si="51"/>
        <v/>
      </c>
    </row>
    <row r="230" spans="12:108" ht="14.25" customHeight="1">
      <c r="L230" s="99"/>
      <c r="M230" s="99"/>
      <c r="N230" s="99"/>
      <c r="O230" s="99"/>
      <c r="P230" s="100"/>
      <c r="Q230" s="101"/>
      <c r="R230" s="101"/>
      <c r="S230" s="101"/>
      <c r="T230" s="101"/>
      <c r="U230" s="99"/>
      <c r="V230" s="99"/>
      <c r="W230" s="100"/>
      <c r="X230" s="100"/>
      <c r="Y230" s="99"/>
      <c r="Z230" s="99"/>
      <c r="AA230" s="100"/>
      <c r="AB230" s="100"/>
      <c r="AC230" s="100"/>
      <c r="AD230" s="100"/>
      <c r="AE230" s="99"/>
      <c r="AF230" s="99"/>
      <c r="AG230" s="100"/>
      <c r="AH230" s="100"/>
      <c r="AI230" s="99"/>
      <c r="AJ230" s="99"/>
      <c r="AK230" s="100"/>
      <c r="AL230" s="100"/>
      <c r="AM230" s="101"/>
      <c r="AN230" s="101"/>
      <c r="AO230" s="101"/>
      <c r="AP230" s="101"/>
      <c r="AQ230" s="19"/>
      <c r="AR230" s="19"/>
      <c r="AS230" s="19"/>
      <c r="AT230" s="99"/>
      <c r="AU230" s="99"/>
      <c r="AV230" s="99"/>
      <c r="AW230" s="99"/>
      <c r="AX230" s="100"/>
      <c r="AY230" s="100"/>
      <c r="AZ230" s="100"/>
      <c r="BA230" s="100"/>
      <c r="BB230" s="100"/>
      <c r="BC230" s="100"/>
      <c r="CW230" s="1">
        <f t="shared" si="44"/>
        <v>0</v>
      </c>
      <c r="CX230" s="1">
        <f t="shared" si="45"/>
        <v>0</v>
      </c>
      <c r="CY230" s="43">
        <f t="shared" si="46"/>
        <v>0</v>
      </c>
      <c r="CZ230" s="43">
        <f t="shared" si="47"/>
        <v>0</v>
      </c>
      <c r="DA230" s="43">
        <f t="shared" si="48"/>
        <v>0</v>
      </c>
      <c r="DB230" s="43" t="str">
        <f t="shared" si="49"/>
        <v/>
      </c>
      <c r="DC230" s="50" t="str">
        <f t="shared" si="50"/>
        <v/>
      </c>
      <c r="DD230" s="50" t="str">
        <f t="shared" si="51"/>
        <v/>
      </c>
    </row>
    <row r="231" spans="12:108" ht="14.25" customHeight="1">
      <c r="L231" s="99"/>
      <c r="M231" s="99"/>
      <c r="N231" s="99"/>
      <c r="O231" s="99"/>
      <c r="P231" s="100"/>
      <c r="Q231" s="101"/>
      <c r="R231" s="101"/>
      <c r="S231" s="101"/>
      <c r="T231" s="101"/>
      <c r="U231" s="47"/>
      <c r="V231" s="47"/>
      <c r="W231" s="47"/>
      <c r="X231" s="99"/>
      <c r="Y231" s="99"/>
      <c r="Z231" s="99"/>
      <c r="AA231" s="99"/>
      <c r="AB231" s="100"/>
      <c r="AC231" s="100"/>
      <c r="AD231" s="100"/>
      <c r="AE231" s="99"/>
      <c r="AF231" s="99"/>
      <c r="AG231" s="99"/>
      <c r="AH231" s="99"/>
      <c r="AI231" s="100"/>
      <c r="AJ231" s="100"/>
      <c r="AK231" s="100"/>
      <c r="AL231" s="47"/>
      <c r="AM231" s="101"/>
      <c r="AN231" s="101"/>
      <c r="AO231" s="101"/>
      <c r="AP231" s="101"/>
      <c r="AQ231" s="19"/>
      <c r="AR231" s="19"/>
      <c r="AS231" s="19"/>
      <c r="AT231" s="99"/>
      <c r="AU231" s="99"/>
      <c r="AV231" s="99"/>
      <c r="AW231" s="99"/>
      <c r="AX231" s="100"/>
      <c r="AY231" s="100"/>
      <c r="AZ231" s="100"/>
      <c r="BA231" s="100"/>
      <c r="BB231" s="100"/>
      <c r="BC231" s="100"/>
      <c r="CW231" s="1">
        <f t="shared" si="44"/>
        <v>0</v>
      </c>
      <c r="CX231" s="1">
        <f t="shared" si="45"/>
        <v>0</v>
      </c>
      <c r="CY231" s="43">
        <f t="shared" si="46"/>
        <v>0</v>
      </c>
      <c r="CZ231" s="43">
        <f t="shared" si="47"/>
        <v>0</v>
      </c>
      <c r="DA231" s="43">
        <f t="shared" si="48"/>
        <v>0</v>
      </c>
      <c r="DB231" s="43" t="str">
        <f t="shared" si="49"/>
        <v/>
      </c>
      <c r="DC231" s="50" t="str">
        <f t="shared" si="50"/>
        <v/>
      </c>
      <c r="DD231" s="50" t="str">
        <f t="shared" si="51"/>
        <v/>
      </c>
    </row>
    <row r="232" spans="12:108" ht="14.25" customHeight="1">
      <c r="L232" s="99"/>
      <c r="M232" s="99"/>
      <c r="N232" s="99"/>
      <c r="O232" s="99"/>
      <c r="P232" s="100"/>
      <c r="Q232" s="101"/>
      <c r="R232" s="101"/>
      <c r="S232" s="101"/>
      <c r="T232" s="101"/>
      <c r="U232" s="19"/>
      <c r="V232" s="19"/>
      <c r="W232" s="19"/>
      <c r="X232" s="99"/>
      <c r="Y232" s="99"/>
      <c r="Z232" s="99"/>
      <c r="AA232" s="99"/>
      <c r="AB232" s="100"/>
      <c r="AC232" s="100"/>
      <c r="AD232" s="100"/>
      <c r="AE232" s="99"/>
      <c r="AF232" s="99"/>
      <c r="AG232" s="99"/>
      <c r="AH232" s="99"/>
      <c r="AI232" s="100"/>
      <c r="AJ232" s="100"/>
      <c r="AK232" s="100"/>
      <c r="AL232" s="19"/>
      <c r="AM232" s="101"/>
      <c r="AN232" s="101"/>
      <c r="AO232" s="101"/>
      <c r="AP232" s="101"/>
      <c r="AQ232" s="19"/>
      <c r="AR232" s="19"/>
      <c r="AS232" s="19"/>
      <c r="AT232" s="99"/>
      <c r="AU232" s="99"/>
      <c r="AV232" s="99"/>
      <c r="AW232" s="99"/>
      <c r="AX232" s="100"/>
      <c r="AY232" s="100"/>
      <c r="AZ232" s="100"/>
      <c r="BA232" s="100"/>
      <c r="BB232" s="100"/>
      <c r="BC232" s="100"/>
      <c r="CW232" s="1">
        <f t="shared" si="44"/>
        <v>0</v>
      </c>
      <c r="CX232" s="1">
        <f t="shared" si="45"/>
        <v>0</v>
      </c>
      <c r="CY232" s="43">
        <f t="shared" si="46"/>
        <v>0</v>
      </c>
      <c r="CZ232" s="43">
        <f t="shared" si="47"/>
        <v>0</v>
      </c>
      <c r="DA232" s="43">
        <f t="shared" si="48"/>
        <v>0</v>
      </c>
      <c r="DB232" s="43" t="str">
        <f t="shared" si="49"/>
        <v/>
      </c>
      <c r="DC232" s="50" t="str">
        <f t="shared" si="50"/>
        <v/>
      </c>
      <c r="DD232" s="50" t="str">
        <f t="shared" si="51"/>
        <v/>
      </c>
    </row>
    <row r="233" spans="12:108" ht="14.25" customHeight="1">
      <c r="L233" s="99"/>
      <c r="M233" s="99"/>
      <c r="N233" s="99"/>
      <c r="O233" s="99"/>
      <c r="P233" s="100"/>
      <c r="Q233" s="101"/>
      <c r="R233" s="101"/>
      <c r="S233" s="101"/>
      <c r="T233" s="101"/>
      <c r="U233" s="19"/>
      <c r="V233" s="19"/>
      <c r="W233" s="19"/>
      <c r="X233" s="99"/>
      <c r="Y233" s="99"/>
      <c r="Z233" s="99"/>
      <c r="AA233" s="99"/>
      <c r="AB233" s="100"/>
      <c r="AC233" s="100"/>
      <c r="AD233" s="100"/>
      <c r="AE233" s="99"/>
      <c r="AF233" s="99"/>
      <c r="AG233" s="99"/>
      <c r="AH233" s="99"/>
      <c r="AI233" s="100"/>
      <c r="AJ233" s="100"/>
      <c r="AK233" s="100"/>
      <c r="AL233" s="19"/>
      <c r="AM233" s="101"/>
      <c r="AN233" s="101"/>
      <c r="AO233" s="101"/>
      <c r="AP233" s="101"/>
      <c r="AQ233" s="19"/>
      <c r="AR233" s="19"/>
      <c r="AS233" s="19"/>
      <c r="AT233" s="99"/>
      <c r="AU233" s="99"/>
      <c r="AV233" s="99"/>
      <c r="AW233" s="99"/>
      <c r="AX233" s="100"/>
      <c r="AY233" s="100"/>
      <c r="AZ233" s="100"/>
      <c r="BA233" s="100"/>
      <c r="BB233" s="100"/>
      <c r="BC233" s="100"/>
      <c r="CW233" s="1">
        <f t="shared" si="44"/>
        <v>0</v>
      </c>
      <c r="CX233" s="1">
        <f t="shared" si="45"/>
        <v>0</v>
      </c>
      <c r="CY233" s="43">
        <f t="shared" si="46"/>
        <v>0</v>
      </c>
      <c r="CZ233" s="43">
        <f t="shared" si="47"/>
        <v>0</v>
      </c>
      <c r="DA233" s="43">
        <f t="shared" si="48"/>
        <v>0</v>
      </c>
      <c r="DB233" s="43" t="str">
        <f t="shared" si="49"/>
        <v/>
      </c>
      <c r="DC233" s="50" t="str">
        <f t="shared" si="50"/>
        <v/>
      </c>
      <c r="DD233" s="50" t="str">
        <f t="shared" si="51"/>
        <v/>
      </c>
    </row>
    <row r="234" spans="12:108" ht="30.9" customHeight="1">
      <c r="L234" s="120"/>
      <c r="M234" s="120"/>
      <c r="N234" s="120"/>
      <c r="O234" s="121"/>
      <c r="P234" s="121"/>
      <c r="Q234" s="100"/>
      <c r="R234" s="100"/>
      <c r="S234" s="100"/>
      <c r="T234" s="100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  <c r="AH234" s="122"/>
      <c r="AI234" s="122"/>
      <c r="AJ234" s="122"/>
      <c r="AK234" s="122"/>
      <c r="AL234" s="122"/>
      <c r="AM234" s="122"/>
      <c r="AN234" s="122"/>
      <c r="AO234" s="122"/>
      <c r="AP234" s="122"/>
      <c r="AQ234" s="122"/>
      <c r="AR234" s="122"/>
      <c r="AS234" s="122"/>
      <c r="AT234" s="122"/>
      <c r="AU234" s="122"/>
      <c r="AV234" s="122"/>
      <c r="AW234" s="122"/>
      <c r="AX234" s="122"/>
      <c r="AY234" s="122"/>
      <c r="AZ234" s="122"/>
      <c r="BA234" s="122"/>
      <c r="BB234" s="122"/>
      <c r="BC234" s="122"/>
      <c r="CW234" s="1">
        <f t="shared" si="44"/>
        <v>0</v>
      </c>
      <c r="CX234" s="1">
        <f t="shared" si="45"/>
        <v>0</v>
      </c>
      <c r="CY234" s="43">
        <f t="shared" si="46"/>
        <v>0</v>
      </c>
      <c r="CZ234" s="43">
        <f t="shared" si="47"/>
        <v>0</v>
      </c>
      <c r="DA234" s="43">
        <f t="shared" si="48"/>
        <v>0</v>
      </c>
      <c r="DB234" s="43" t="str">
        <f t="shared" si="49"/>
        <v/>
      </c>
      <c r="DC234" s="50" t="str">
        <f t="shared" si="50"/>
        <v/>
      </c>
      <c r="DD234" s="50" t="str">
        <f t="shared" si="51"/>
        <v/>
      </c>
    </row>
    <row r="235" spans="12:108" ht="30.9" customHeight="1">
      <c r="L235" s="123"/>
      <c r="M235" s="123"/>
      <c r="O235" s="124"/>
      <c r="P235" s="124"/>
      <c r="Q235" s="100"/>
      <c r="R235" s="100"/>
      <c r="S235" s="100"/>
      <c r="T235" s="100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  <c r="AH235" s="122"/>
      <c r="AI235" s="122"/>
      <c r="AJ235" s="122"/>
      <c r="AK235" s="122"/>
      <c r="AL235" s="122"/>
      <c r="AM235" s="122"/>
      <c r="AN235" s="122"/>
      <c r="AO235" s="122"/>
      <c r="AP235" s="122"/>
      <c r="AQ235" s="122"/>
      <c r="AR235" s="122"/>
      <c r="AS235" s="122"/>
      <c r="AT235" s="122"/>
      <c r="AU235" s="122"/>
      <c r="AV235" s="122"/>
      <c r="AW235" s="122"/>
      <c r="AX235" s="122"/>
      <c r="AY235" s="122"/>
      <c r="AZ235" s="122"/>
      <c r="BA235" s="122"/>
      <c r="BB235" s="122"/>
      <c r="BC235" s="122"/>
      <c r="CW235" s="1">
        <f t="shared" si="44"/>
        <v>0</v>
      </c>
      <c r="CX235" s="1">
        <f t="shared" si="45"/>
        <v>0</v>
      </c>
      <c r="CY235" s="43">
        <f t="shared" si="46"/>
        <v>0</v>
      </c>
      <c r="CZ235" s="43">
        <f t="shared" si="47"/>
        <v>0</v>
      </c>
      <c r="DA235" s="43">
        <f t="shared" si="48"/>
        <v>0</v>
      </c>
      <c r="DB235" s="43" t="str">
        <f t="shared" si="49"/>
        <v/>
      </c>
      <c r="DC235" s="50" t="str">
        <f t="shared" si="50"/>
        <v/>
      </c>
      <c r="DD235" s="50" t="str">
        <f t="shared" si="51"/>
        <v/>
      </c>
    </row>
    <row r="236" spans="12:108" ht="14.25" customHeight="1">
      <c r="L236" s="99"/>
      <c r="M236" s="99"/>
      <c r="N236" s="99"/>
      <c r="O236" s="99"/>
      <c r="P236" s="100"/>
      <c r="Q236" s="101"/>
      <c r="R236" s="101"/>
      <c r="S236" s="101"/>
      <c r="T236" s="101"/>
      <c r="U236" s="99"/>
      <c r="V236" s="99"/>
      <c r="W236" s="100"/>
      <c r="X236" s="100"/>
      <c r="Y236" s="99"/>
      <c r="Z236" s="99"/>
      <c r="AA236" s="100"/>
      <c r="AB236" s="100"/>
      <c r="AC236" s="100"/>
      <c r="AD236" s="100"/>
      <c r="AE236" s="99"/>
      <c r="AF236" s="99"/>
      <c r="AG236" s="100"/>
      <c r="AH236" s="100"/>
      <c r="AI236" s="99"/>
      <c r="AJ236" s="99"/>
      <c r="AK236" s="100"/>
      <c r="AL236" s="100"/>
      <c r="AM236" s="101"/>
      <c r="AN236" s="101"/>
      <c r="AO236" s="101"/>
      <c r="AP236" s="101"/>
      <c r="AQ236" s="19"/>
      <c r="AR236" s="19"/>
      <c r="AS236" s="19"/>
      <c r="AT236" s="99"/>
      <c r="AU236" s="99"/>
      <c r="AV236" s="99"/>
      <c r="AW236" s="99"/>
      <c r="AX236" s="100"/>
      <c r="AY236" s="100"/>
      <c r="AZ236" s="100"/>
      <c r="BA236" s="100"/>
      <c r="BB236" s="100"/>
      <c r="BC236" s="100"/>
      <c r="CW236" s="1">
        <f t="shared" si="44"/>
        <v>0</v>
      </c>
      <c r="CX236" s="1">
        <f t="shared" si="45"/>
        <v>0</v>
      </c>
      <c r="CY236" s="43">
        <f t="shared" si="46"/>
        <v>0</v>
      </c>
      <c r="CZ236" s="43">
        <f t="shared" si="47"/>
        <v>0</v>
      </c>
      <c r="DA236" s="43">
        <f t="shared" si="48"/>
        <v>0</v>
      </c>
      <c r="DB236" s="43" t="str">
        <f t="shared" si="49"/>
        <v/>
      </c>
      <c r="DC236" s="50" t="str">
        <f t="shared" si="50"/>
        <v/>
      </c>
      <c r="DD236" s="50" t="str">
        <f t="shared" si="51"/>
        <v/>
      </c>
    </row>
    <row r="237" spans="12:108" ht="14.25" customHeight="1">
      <c r="L237" s="99"/>
      <c r="M237" s="99"/>
      <c r="N237" s="99"/>
      <c r="O237" s="99"/>
      <c r="P237" s="100"/>
      <c r="Q237" s="101"/>
      <c r="R237" s="101"/>
      <c r="S237" s="101"/>
      <c r="T237" s="101"/>
      <c r="U237" s="99"/>
      <c r="V237" s="99"/>
      <c r="W237" s="100"/>
      <c r="X237" s="100"/>
      <c r="Y237" s="99"/>
      <c r="Z237" s="99"/>
      <c r="AA237" s="100"/>
      <c r="AB237" s="100"/>
      <c r="AC237" s="100"/>
      <c r="AD237" s="100"/>
      <c r="AE237" s="99"/>
      <c r="AF237" s="99"/>
      <c r="AG237" s="100"/>
      <c r="AH237" s="100"/>
      <c r="AI237" s="99"/>
      <c r="AJ237" s="99"/>
      <c r="AK237" s="100"/>
      <c r="AL237" s="100"/>
      <c r="AM237" s="101"/>
      <c r="AN237" s="101"/>
      <c r="AO237" s="101"/>
      <c r="AP237" s="101"/>
      <c r="AQ237" s="19"/>
      <c r="AR237" s="19"/>
      <c r="AS237" s="19"/>
      <c r="AT237" s="99"/>
      <c r="AU237" s="99"/>
      <c r="AV237" s="99"/>
      <c r="AW237" s="99"/>
      <c r="AX237" s="100"/>
      <c r="AY237" s="100"/>
      <c r="AZ237" s="100"/>
      <c r="BA237" s="100"/>
      <c r="BB237" s="100"/>
      <c r="BC237" s="100"/>
      <c r="CW237" s="1">
        <f t="shared" si="44"/>
        <v>0</v>
      </c>
      <c r="CX237" s="1">
        <f t="shared" si="45"/>
        <v>0</v>
      </c>
      <c r="CY237" s="43">
        <f t="shared" si="46"/>
        <v>0</v>
      </c>
      <c r="CZ237" s="43">
        <f t="shared" si="47"/>
        <v>0</v>
      </c>
      <c r="DA237" s="43">
        <f t="shared" si="48"/>
        <v>0</v>
      </c>
      <c r="DB237" s="43" t="str">
        <f t="shared" si="49"/>
        <v/>
      </c>
      <c r="DC237" s="50" t="str">
        <f t="shared" si="50"/>
        <v/>
      </c>
      <c r="DD237" s="50" t="str">
        <f t="shared" si="51"/>
        <v/>
      </c>
    </row>
    <row r="238" spans="12:108" ht="14.25" customHeight="1">
      <c r="L238" s="99"/>
      <c r="M238" s="99"/>
      <c r="N238" s="99"/>
      <c r="O238" s="99"/>
      <c r="P238" s="100"/>
      <c r="Q238" s="101"/>
      <c r="R238" s="101"/>
      <c r="S238" s="101"/>
      <c r="T238" s="101"/>
      <c r="U238" s="99"/>
      <c r="V238" s="99"/>
      <c r="W238" s="100"/>
      <c r="X238" s="100"/>
      <c r="Y238" s="99"/>
      <c r="Z238" s="99"/>
      <c r="AA238" s="100"/>
      <c r="AB238" s="100"/>
      <c r="AC238" s="100"/>
      <c r="AD238" s="100"/>
      <c r="AE238" s="99"/>
      <c r="AF238" s="99"/>
      <c r="AG238" s="100"/>
      <c r="AH238" s="100"/>
      <c r="AI238" s="99"/>
      <c r="AJ238" s="99"/>
      <c r="AK238" s="100"/>
      <c r="AL238" s="100"/>
      <c r="AM238" s="101"/>
      <c r="AN238" s="101"/>
      <c r="AO238" s="101"/>
      <c r="AP238" s="101"/>
      <c r="AQ238" s="19"/>
      <c r="AR238" s="19"/>
      <c r="AS238" s="19"/>
      <c r="AT238" s="99"/>
      <c r="AU238" s="99"/>
      <c r="AV238" s="99"/>
      <c r="AW238" s="99"/>
      <c r="AX238" s="100"/>
      <c r="AY238" s="100"/>
      <c r="AZ238" s="100"/>
      <c r="BA238" s="100"/>
      <c r="BB238" s="100"/>
      <c r="BC238" s="100"/>
      <c r="CW238" s="1">
        <f t="shared" si="44"/>
        <v>0</v>
      </c>
      <c r="CX238" s="1">
        <f t="shared" si="45"/>
        <v>0</v>
      </c>
      <c r="CY238" s="43">
        <f t="shared" si="46"/>
        <v>0</v>
      </c>
      <c r="CZ238" s="43">
        <f t="shared" si="47"/>
        <v>0</v>
      </c>
      <c r="DA238" s="43">
        <f t="shared" si="48"/>
        <v>0</v>
      </c>
      <c r="DB238" s="43" t="str">
        <f t="shared" si="49"/>
        <v/>
      </c>
      <c r="DC238" s="50" t="str">
        <f t="shared" si="50"/>
        <v/>
      </c>
      <c r="DD238" s="50" t="str">
        <f t="shared" si="51"/>
        <v/>
      </c>
    </row>
    <row r="239" spans="12:108" ht="14.25" customHeight="1">
      <c r="L239" s="99"/>
      <c r="M239" s="99"/>
      <c r="N239" s="99"/>
      <c r="O239" s="99"/>
      <c r="P239" s="100"/>
      <c r="Q239" s="101"/>
      <c r="R239" s="101"/>
      <c r="S239" s="101"/>
      <c r="T239" s="101"/>
      <c r="U239" s="47"/>
      <c r="V239" s="47"/>
      <c r="W239" s="47"/>
      <c r="X239" s="99"/>
      <c r="Y239" s="99"/>
      <c r="Z239" s="99"/>
      <c r="AA239" s="99"/>
      <c r="AB239" s="100"/>
      <c r="AC239" s="100"/>
      <c r="AD239" s="100"/>
      <c r="AE239" s="99"/>
      <c r="AF239" s="99"/>
      <c r="AG239" s="99"/>
      <c r="AH239" s="99"/>
      <c r="AI239" s="100"/>
      <c r="AJ239" s="100"/>
      <c r="AK239" s="100"/>
      <c r="AL239" s="47"/>
      <c r="AM239" s="101"/>
      <c r="AN239" s="101"/>
      <c r="AO239" s="101"/>
      <c r="AP239" s="101"/>
      <c r="AQ239" s="19"/>
      <c r="AR239" s="19"/>
      <c r="AS239" s="19"/>
      <c r="AT239" s="99"/>
      <c r="AU239" s="99"/>
      <c r="AV239" s="99"/>
      <c r="AW239" s="99"/>
      <c r="AX239" s="100"/>
      <c r="AY239" s="100"/>
      <c r="AZ239" s="100"/>
      <c r="BA239" s="100"/>
      <c r="BB239" s="100"/>
      <c r="BC239" s="100"/>
      <c r="CW239" s="1">
        <f t="shared" si="44"/>
        <v>0</v>
      </c>
      <c r="CX239" s="1">
        <f t="shared" si="45"/>
        <v>0</v>
      </c>
      <c r="CY239" s="43">
        <f t="shared" si="46"/>
        <v>0</v>
      </c>
      <c r="CZ239" s="43">
        <f t="shared" si="47"/>
        <v>0</v>
      </c>
      <c r="DA239" s="43">
        <f t="shared" si="48"/>
        <v>0</v>
      </c>
      <c r="DB239" s="43" t="str">
        <f t="shared" si="49"/>
        <v/>
      </c>
      <c r="DC239" s="50" t="str">
        <f t="shared" si="50"/>
        <v/>
      </c>
      <c r="DD239" s="50" t="str">
        <f t="shared" si="51"/>
        <v/>
      </c>
    </row>
    <row r="240" spans="12:108" ht="14.25" customHeight="1">
      <c r="L240" s="99"/>
      <c r="M240" s="99"/>
      <c r="N240" s="99"/>
      <c r="O240" s="99"/>
      <c r="P240" s="100"/>
      <c r="Q240" s="101"/>
      <c r="R240" s="101"/>
      <c r="S240" s="101"/>
      <c r="T240" s="101"/>
      <c r="U240" s="19"/>
      <c r="V240" s="19"/>
      <c r="W240" s="19"/>
      <c r="X240" s="99"/>
      <c r="Y240" s="99"/>
      <c r="Z240" s="99"/>
      <c r="AA240" s="99"/>
      <c r="AB240" s="100"/>
      <c r="AC240" s="100"/>
      <c r="AD240" s="100"/>
      <c r="AE240" s="99"/>
      <c r="AF240" s="99"/>
      <c r="AG240" s="99"/>
      <c r="AH240" s="99"/>
      <c r="AI240" s="100"/>
      <c r="AJ240" s="100"/>
      <c r="AK240" s="100"/>
      <c r="AL240" s="19"/>
      <c r="AM240" s="101"/>
      <c r="AN240" s="101"/>
      <c r="AO240" s="101"/>
      <c r="AP240" s="101"/>
      <c r="AQ240" s="19"/>
      <c r="AR240" s="19"/>
      <c r="AS240" s="19"/>
      <c r="AT240" s="99"/>
      <c r="AU240" s="99"/>
      <c r="AV240" s="99"/>
      <c r="AW240" s="99"/>
      <c r="AX240" s="100"/>
      <c r="AY240" s="100"/>
      <c r="AZ240" s="100"/>
      <c r="BA240" s="100"/>
      <c r="BB240" s="100"/>
      <c r="BC240" s="100"/>
      <c r="CW240" s="1">
        <f t="shared" si="44"/>
        <v>0</v>
      </c>
      <c r="CX240" s="1">
        <f t="shared" si="45"/>
        <v>0</v>
      </c>
      <c r="CY240" s="43">
        <f t="shared" si="46"/>
        <v>0</v>
      </c>
      <c r="CZ240" s="43">
        <f t="shared" si="47"/>
        <v>0</v>
      </c>
      <c r="DA240" s="43">
        <f t="shared" si="48"/>
        <v>0</v>
      </c>
      <c r="DB240" s="43" t="str">
        <f t="shared" si="49"/>
        <v/>
      </c>
      <c r="DC240" s="50" t="str">
        <f t="shared" si="50"/>
        <v/>
      </c>
      <c r="DD240" s="50" t="str">
        <f t="shared" si="51"/>
        <v/>
      </c>
    </row>
    <row r="241" spans="12:108" ht="14.25" customHeight="1">
      <c r="L241" s="99"/>
      <c r="M241" s="99"/>
      <c r="N241" s="99"/>
      <c r="O241" s="99"/>
      <c r="P241" s="100"/>
      <c r="Q241" s="101"/>
      <c r="R241" s="101"/>
      <c r="S241" s="101"/>
      <c r="T241" s="101"/>
      <c r="U241" s="19"/>
      <c r="V241" s="19"/>
      <c r="W241" s="19"/>
      <c r="X241" s="99"/>
      <c r="Y241" s="99"/>
      <c r="Z241" s="99"/>
      <c r="AA241" s="99"/>
      <c r="AB241" s="100"/>
      <c r="AC241" s="100"/>
      <c r="AD241" s="100"/>
      <c r="AE241" s="99"/>
      <c r="AF241" s="99"/>
      <c r="AG241" s="99"/>
      <c r="AH241" s="99"/>
      <c r="AI241" s="100"/>
      <c r="AJ241" s="100"/>
      <c r="AK241" s="100"/>
      <c r="AL241" s="19"/>
      <c r="AM241" s="101"/>
      <c r="AN241" s="101"/>
      <c r="AO241" s="101"/>
      <c r="AP241" s="101"/>
      <c r="AQ241" s="19"/>
      <c r="AR241" s="19"/>
      <c r="AS241" s="19"/>
      <c r="AT241" s="99"/>
      <c r="AU241" s="99"/>
      <c r="AV241" s="99"/>
      <c r="AW241" s="99"/>
      <c r="AX241" s="100"/>
      <c r="AY241" s="100"/>
      <c r="AZ241" s="100"/>
      <c r="BA241" s="100"/>
      <c r="BB241" s="100"/>
      <c r="BC241" s="100"/>
      <c r="CW241" s="1">
        <f t="shared" si="44"/>
        <v>0</v>
      </c>
      <c r="CX241" s="1">
        <f t="shared" si="45"/>
        <v>0</v>
      </c>
      <c r="CY241" s="43">
        <f t="shared" si="46"/>
        <v>0</v>
      </c>
      <c r="CZ241" s="43">
        <f t="shared" si="47"/>
        <v>0</v>
      </c>
      <c r="DA241" s="43">
        <f t="shared" si="48"/>
        <v>0</v>
      </c>
      <c r="DB241" s="43" t="str">
        <f t="shared" si="49"/>
        <v/>
      </c>
      <c r="DC241" s="50" t="str">
        <f t="shared" si="50"/>
        <v/>
      </c>
      <c r="DD241" s="50" t="str">
        <f t="shared" si="51"/>
        <v/>
      </c>
    </row>
    <row r="242" spans="12:108" ht="30.9" customHeight="1">
      <c r="L242" s="120"/>
      <c r="M242" s="120"/>
      <c r="N242" s="120"/>
      <c r="O242" s="121"/>
      <c r="P242" s="121"/>
      <c r="Q242" s="100"/>
      <c r="R242" s="100"/>
      <c r="S242" s="100"/>
      <c r="T242" s="100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  <c r="AH242" s="122"/>
      <c r="AI242" s="122"/>
      <c r="AJ242" s="122"/>
      <c r="AK242" s="122"/>
      <c r="AL242" s="122"/>
      <c r="AM242" s="122"/>
      <c r="AN242" s="122"/>
      <c r="AO242" s="122"/>
      <c r="AP242" s="122"/>
      <c r="AQ242" s="122"/>
      <c r="AR242" s="122"/>
      <c r="AS242" s="122"/>
      <c r="AT242" s="122"/>
      <c r="AU242" s="122"/>
      <c r="AV242" s="122"/>
      <c r="AW242" s="122"/>
      <c r="AX242" s="122"/>
      <c r="AY242" s="122"/>
      <c r="AZ242" s="122"/>
      <c r="BA242" s="122"/>
      <c r="BB242" s="122"/>
      <c r="BC242" s="122"/>
      <c r="CW242" s="1">
        <f t="shared" si="44"/>
        <v>0</v>
      </c>
      <c r="CX242" s="1">
        <f t="shared" si="45"/>
        <v>0</v>
      </c>
      <c r="CY242" s="43">
        <f t="shared" si="46"/>
        <v>0</v>
      </c>
      <c r="CZ242" s="43">
        <f t="shared" si="47"/>
        <v>0</v>
      </c>
      <c r="DA242" s="43">
        <f t="shared" si="48"/>
        <v>0</v>
      </c>
      <c r="DB242" s="43" t="str">
        <f t="shared" si="49"/>
        <v/>
      </c>
      <c r="DC242" s="50" t="str">
        <f t="shared" si="50"/>
        <v/>
      </c>
      <c r="DD242" s="50" t="str">
        <f t="shared" si="51"/>
        <v/>
      </c>
    </row>
    <row r="243" spans="12:108" ht="30.9" customHeight="1">
      <c r="L243" s="123"/>
      <c r="M243" s="123"/>
      <c r="O243" s="124"/>
      <c r="P243" s="124"/>
      <c r="Q243" s="100"/>
      <c r="R243" s="100"/>
      <c r="S243" s="100"/>
      <c r="T243" s="100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  <c r="AH243" s="122"/>
      <c r="AI243" s="122"/>
      <c r="AJ243" s="122"/>
      <c r="AK243" s="122"/>
      <c r="AL243" s="122"/>
      <c r="AM243" s="122"/>
      <c r="AN243" s="122"/>
      <c r="AO243" s="122"/>
      <c r="AP243" s="122"/>
      <c r="AQ243" s="122"/>
      <c r="AR243" s="122"/>
      <c r="AS243" s="122"/>
      <c r="AT243" s="122"/>
      <c r="AU243" s="122"/>
      <c r="AV243" s="122"/>
      <c r="AW243" s="122"/>
      <c r="AX243" s="122"/>
      <c r="AY243" s="122"/>
      <c r="AZ243" s="122"/>
      <c r="BA243" s="122"/>
      <c r="BB243" s="122"/>
      <c r="BC243" s="122"/>
      <c r="CW243" s="1">
        <f t="shared" si="44"/>
        <v>0</v>
      </c>
      <c r="CX243" s="1">
        <f t="shared" si="45"/>
        <v>0</v>
      </c>
      <c r="CY243" s="43">
        <f t="shared" si="46"/>
        <v>0</v>
      </c>
      <c r="CZ243" s="43">
        <f t="shared" si="47"/>
        <v>0</v>
      </c>
      <c r="DA243" s="43">
        <f t="shared" si="48"/>
        <v>0</v>
      </c>
      <c r="DB243" s="43" t="str">
        <f t="shared" si="49"/>
        <v/>
      </c>
      <c r="DC243" s="50" t="str">
        <f t="shared" si="50"/>
        <v/>
      </c>
      <c r="DD243" s="50" t="str">
        <f t="shared" si="51"/>
        <v/>
      </c>
    </row>
    <row r="244" spans="12:108" ht="14.25" customHeight="1">
      <c r="L244" s="99"/>
      <c r="M244" s="99"/>
      <c r="N244" s="99"/>
      <c r="O244" s="99"/>
      <c r="P244" s="100"/>
      <c r="Q244" s="101"/>
      <c r="R244" s="101"/>
      <c r="S244" s="101"/>
      <c r="T244" s="101"/>
      <c r="U244" s="99"/>
      <c r="V244" s="99"/>
      <c r="W244" s="100"/>
      <c r="X244" s="100"/>
      <c r="Y244" s="99"/>
      <c r="Z244" s="99"/>
      <c r="AA244" s="100"/>
      <c r="AB244" s="100"/>
      <c r="AC244" s="100"/>
      <c r="AD244" s="100"/>
      <c r="AE244" s="99"/>
      <c r="AF244" s="99"/>
      <c r="AG244" s="100"/>
      <c r="AH244" s="100"/>
      <c r="AI244" s="99"/>
      <c r="AJ244" s="99"/>
      <c r="AK244" s="100"/>
      <c r="AL244" s="100"/>
      <c r="AM244" s="101"/>
      <c r="AN244" s="101"/>
      <c r="AO244" s="101"/>
      <c r="AP244" s="101"/>
      <c r="AQ244" s="19"/>
      <c r="AR244" s="19"/>
      <c r="AS244" s="19"/>
      <c r="AT244" s="99"/>
      <c r="AU244" s="99"/>
      <c r="AV244" s="99"/>
      <c r="AW244" s="99"/>
      <c r="AX244" s="100"/>
      <c r="AY244" s="100"/>
      <c r="AZ244" s="100"/>
      <c r="BA244" s="100"/>
      <c r="BB244" s="100"/>
      <c r="BC244" s="100"/>
      <c r="CW244" s="1">
        <f t="shared" si="44"/>
        <v>0</v>
      </c>
      <c r="CX244" s="1">
        <f t="shared" si="45"/>
        <v>0</v>
      </c>
      <c r="CY244" s="43">
        <f t="shared" si="46"/>
        <v>0</v>
      </c>
      <c r="CZ244" s="43">
        <f t="shared" si="47"/>
        <v>0</v>
      </c>
      <c r="DA244" s="43">
        <f t="shared" si="48"/>
        <v>0</v>
      </c>
      <c r="DB244" s="43" t="str">
        <f t="shared" si="49"/>
        <v/>
      </c>
      <c r="DC244" s="50" t="str">
        <f t="shared" si="50"/>
        <v/>
      </c>
      <c r="DD244" s="50" t="str">
        <f t="shared" si="51"/>
        <v/>
      </c>
    </row>
    <row r="245" spans="12:108" ht="14.25" customHeight="1">
      <c r="L245" s="99"/>
      <c r="M245" s="99"/>
      <c r="N245" s="99"/>
      <c r="O245" s="99"/>
      <c r="P245" s="100"/>
      <c r="Q245" s="101"/>
      <c r="R245" s="101"/>
      <c r="S245" s="101"/>
      <c r="T245" s="101"/>
      <c r="U245" s="99"/>
      <c r="V245" s="99"/>
      <c r="W245" s="100"/>
      <c r="X245" s="100"/>
      <c r="Y245" s="99"/>
      <c r="Z245" s="99"/>
      <c r="AA245" s="100"/>
      <c r="AB245" s="100"/>
      <c r="AC245" s="100"/>
      <c r="AD245" s="100"/>
      <c r="AE245" s="99"/>
      <c r="AF245" s="99"/>
      <c r="AG245" s="100"/>
      <c r="AH245" s="100"/>
      <c r="AI245" s="99"/>
      <c r="AJ245" s="99"/>
      <c r="AK245" s="100"/>
      <c r="AL245" s="100"/>
      <c r="AM245" s="101"/>
      <c r="AN245" s="101"/>
      <c r="AO245" s="101"/>
      <c r="AP245" s="101"/>
      <c r="AQ245" s="19"/>
      <c r="AR245" s="19"/>
      <c r="AS245" s="19"/>
      <c r="AT245" s="99"/>
      <c r="AU245" s="99"/>
      <c r="AV245" s="99"/>
      <c r="AW245" s="99"/>
      <c r="AX245" s="100"/>
      <c r="AY245" s="100"/>
      <c r="AZ245" s="100"/>
      <c r="BA245" s="100"/>
      <c r="BB245" s="100"/>
      <c r="BC245" s="100"/>
      <c r="CW245" s="1">
        <f t="shared" si="44"/>
        <v>0</v>
      </c>
      <c r="CX245" s="1">
        <f t="shared" si="45"/>
        <v>0</v>
      </c>
      <c r="CY245" s="43">
        <f t="shared" si="46"/>
        <v>0</v>
      </c>
      <c r="CZ245" s="43">
        <f t="shared" si="47"/>
        <v>0</v>
      </c>
      <c r="DA245" s="43">
        <f t="shared" si="48"/>
        <v>0</v>
      </c>
      <c r="DB245" s="43" t="str">
        <f t="shared" si="49"/>
        <v/>
      </c>
      <c r="DC245" s="50" t="str">
        <f t="shared" si="50"/>
        <v/>
      </c>
      <c r="DD245" s="50" t="str">
        <f t="shared" si="51"/>
        <v/>
      </c>
    </row>
    <row r="246" spans="12:108" ht="14.25" customHeight="1">
      <c r="L246" s="99"/>
      <c r="M246" s="99"/>
      <c r="N246" s="99"/>
      <c r="O246" s="99"/>
      <c r="P246" s="100"/>
      <c r="Q246" s="101"/>
      <c r="R246" s="101"/>
      <c r="S246" s="101"/>
      <c r="T246" s="101"/>
      <c r="U246" s="99"/>
      <c r="V246" s="99"/>
      <c r="W246" s="100"/>
      <c r="X246" s="100"/>
      <c r="Y246" s="99"/>
      <c r="Z246" s="99"/>
      <c r="AA246" s="100"/>
      <c r="AB246" s="100"/>
      <c r="AC246" s="100"/>
      <c r="AD246" s="100"/>
      <c r="AE246" s="99"/>
      <c r="AF246" s="99"/>
      <c r="AG246" s="100"/>
      <c r="AH246" s="100"/>
      <c r="AI246" s="99"/>
      <c r="AJ246" s="99"/>
      <c r="AK246" s="100"/>
      <c r="AL246" s="100"/>
      <c r="AM246" s="101"/>
      <c r="AN246" s="101"/>
      <c r="AO246" s="101"/>
      <c r="AP246" s="101"/>
      <c r="AQ246" s="19"/>
      <c r="AR246" s="19"/>
      <c r="AS246" s="19"/>
      <c r="AT246" s="99"/>
      <c r="AU246" s="99"/>
      <c r="AV246" s="99"/>
      <c r="AW246" s="99"/>
      <c r="AX246" s="100"/>
      <c r="AY246" s="100"/>
      <c r="AZ246" s="100"/>
      <c r="BA246" s="100"/>
      <c r="BB246" s="100"/>
      <c r="BC246" s="100"/>
      <c r="CW246" s="1">
        <f t="shared" si="44"/>
        <v>0</v>
      </c>
      <c r="CX246" s="1">
        <f t="shared" si="45"/>
        <v>0</v>
      </c>
      <c r="CY246" s="43">
        <f t="shared" si="46"/>
        <v>0</v>
      </c>
      <c r="CZ246" s="43">
        <f t="shared" si="47"/>
        <v>0</v>
      </c>
      <c r="DA246" s="43">
        <f t="shared" si="48"/>
        <v>0</v>
      </c>
      <c r="DB246" s="43" t="str">
        <f t="shared" si="49"/>
        <v/>
      </c>
      <c r="DC246" s="50" t="str">
        <f t="shared" si="50"/>
        <v/>
      </c>
      <c r="DD246" s="50" t="str">
        <f t="shared" si="51"/>
        <v/>
      </c>
    </row>
    <row r="247" spans="12:108" ht="14.25" customHeight="1">
      <c r="L247" s="99"/>
      <c r="M247" s="99"/>
      <c r="N247" s="99"/>
      <c r="O247" s="99"/>
      <c r="P247" s="100"/>
      <c r="Q247" s="101"/>
      <c r="R247" s="101"/>
      <c r="S247" s="101"/>
      <c r="T247" s="101"/>
      <c r="U247" s="47"/>
      <c r="V247" s="47"/>
      <c r="W247" s="47"/>
      <c r="X247" s="99"/>
      <c r="Y247" s="99"/>
      <c r="Z247" s="99"/>
      <c r="AA247" s="99"/>
      <c r="AB247" s="100"/>
      <c r="AC247" s="100"/>
      <c r="AD247" s="100"/>
      <c r="AE247" s="99"/>
      <c r="AF247" s="99"/>
      <c r="AG247" s="99"/>
      <c r="AH247" s="99"/>
      <c r="AI247" s="100"/>
      <c r="AJ247" s="100"/>
      <c r="AK247" s="100"/>
      <c r="AL247" s="47"/>
      <c r="AM247" s="101"/>
      <c r="AN247" s="101"/>
      <c r="AO247" s="101"/>
      <c r="AP247" s="101"/>
      <c r="AQ247" s="19"/>
      <c r="AR247" s="19"/>
      <c r="AS247" s="19"/>
      <c r="AT247" s="99"/>
      <c r="AU247" s="99"/>
      <c r="AV247" s="99"/>
      <c r="AW247" s="99"/>
      <c r="AX247" s="100"/>
      <c r="AY247" s="100"/>
      <c r="AZ247" s="100"/>
      <c r="BA247" s="100"/>
      <c r="BB247" s="100"/>
      <c r="BC247" s="100"/>
      <c r="CW247" s="1">
        <f t="shared" si="44"/>
        <v>0</v>
      </c>
      <c r="CX247" s="1">
        <f t="shared" si="45"/>
        <v>0</v>
      </c>
      <c r="CY247" s="43">
        <f t="shared" si="46"/>
        <v>0</v>
      </c>
      <c r="CZ247" s="43">
        <f t="shared" si="47"/>
        <v>0</v>
      </c>
      <c r="DA247" s="43">
        <f t="shared" si="48"/>
        <v>0</v>
      </c>
      <c r="DB247" s="43" t="str">
        <f t="shared" si="49"/>
        <v/>
      </c>
      <c r="DC247" s="50" t="str">
        <f t="shared" si="50"/>
        <v/>
      </c>
      <c r="DD247" s="50" t="str">
        <f t="shared" si="51"/>
        <v/>
      </c>
    </row>
    <row r="248" spans="12:108" ht="14.25" customHeight="1">
      <c r="L248" s="99"/>
      <c r="M248" s="99"/>
      <c r="N248" s="99"/>
      <c r="O248" s="99"/>
      <c r="P248" s="100"/>
      <c r="Q248" s="101"/>
      <c r="R248" s="101"/>
      <c r="S248" s="101"/>
      <c r="T248" s="101"/>
      <c r="U248" s="19"/>
      <c r="V248" s="19"/>
      <c r="W248" s="19"/>
      <c r="X248" s="99"/>
      <c r="Y248" s="99"/>
      <c r="Z248" s="99"/>
      <c r="AA248" s="99"/>
      <c r="AB248" s="100"/>
      <c r="AC248" s="100"/>
      <c r="AD248" s="100"/>
      <c r="AE248" s="99"/>
      <c r="AF248" s="99"/>
      <c r="AG248" s="99"/>
      <c r="AH248" s="99"/>
      <c r="AI248" s="100"/>
      <c r="AJ248" s="100"/>
      <c r="AK248" s="100"/>
      <c r="AL248" s="19"/>
      <c r="AM248" s="101"/>
      <c r="AN248" s="101"/>
      <c r="AO248" s="101"/>
      <c r="AP248" s="101"/>
      <c r="AQ248" s="19"/>
      <c r="AR248" s="19"/>
      <c r="AS248" s="19"/>
      <c r="AT248" s="99"/>
      <c r="AU248" s="99"/>
      <c r="AV248" s="99"/>
      <c r="AW248" s="99"/>
      <c r="AX248" s="100"/>
      <c r="AY248" s="100"/>
      <c r="AZ248" s="100"/>
      <c r="BA248" s="100"/>
      <c r="BB248" s="100"/>
      <c r="BC248" s="100"/>
      <c r="CW248" s="1">
        <f t="shared" si="44"/>
        <v>0</v>
      </c>
      <c r="CX248" s="1">
        <f t="shared" si="45"/>
        <v>0</v>
      </c>
      <c r="CY248" s="43">
        <f t="shared" si="46"/>
        <v>0</v>
      </c>
      <c r="CZ248" s="43">
        <f t="shared" si="47"/>
        <v>0</v>
      </c>
      <c r="DA248" s="43">
        <f t="shared" si="48"/>
        <v>0</v>
      </c>
      <c r="DB248" s="43" t="str">
        <f t="shared" si="49"/>
        <v/>
      </c>
      <c r="DC248" s="50" t="str">
        <f t="shared" si="50"/>
        <v/>
      </c>
      <c r="DD248" s="50" t="str">
        <f t="shared" si="51"/>
        <v/>
      </c>
    </row>
    <row r="249" spans="12:108" ht="14.25" customHeight="1">
      <c r="L249" s="99"/>
      <c r="M249" s="99"/>
      <c r="N249" s="99"/>
      <c r="O249" s="99"/>
      <c r="P249" s="100"/>
      <c r="Q249" s="101"/>
      <c r="R249" s="101"/>
      <c r="S249" s="101"/>
      <c r="T249" s="101"/>
      <c r="U249" s="19"/>
      <c r="V249" s="19"/>
      <c r="W249" s="19"/>
      <c r="X249" s="99"/>
      <c r="Y249" s="99"/>
      <c r="Z249" s="99"/>
      <c r="AA249" s="99"/>
      <c r="AB249" s="100"/>
      <c r="AC249" s="100"/>
      <c r="AD249" s="100"/>
      <c r="AE249" s="99"/>
      <c r="AF249" s="99"/>
      <c r="AG249" s="99"/>
      <c r="AH249" s="99"/>
      <c r="AI249" s="100"/>
      <c r="AJ249" s="100"/>
      <c r="AK249" s="100"/>
      <c r="AL249" s="19"/>
      <c r="AM249" s="101"/>
      <c r="AN249" s="101"/>
      <c r="AO249" s="101"/>
      <c r="AP249" s="101"/>
      <c r="AQ249" s="19"/>
      <c r="AR249" s="19"/>
      <c r="AS249" s="19"/>
      <c r="AT249" s="99"/>
      <c r="AU249" s="99"/>
      <c r="AV249" s="99"/>
      <c r="AW249" s="99"/>
      <c r="AX249" s="100"/>
      <c r="AY249" s="100"/>
      <c r="AZ249" s="100"/>
      <c r="BA249" s="100"/>
      <c r="BB249" s="100"/>
      <c r="BC249" s="100"/>
      <c r="CW249" s="1">
        <f t="shared" si="44"/>
        <v>0</v>
      </c>
      <c r="CX249" s="1">
        <f t="shared" si="45"/>
        <v>0</v>
      </c>
      <c r="CY249" s="43">
        <f t="shared" si="46"/>
        <v>0</v>
      </c>
      <c r="CZ249" s="43">
        <f t="shared" si="47"/>
        <v>0</v>
      </c>
      <c r="DA249" s="43">
        <f t="shared" si="48"/>
        <v>0</v>
      </c>
      <c r="DB249" s="43" t="str">
        <f t="shared" si="49"/>
        <v/>
      </c>
      <c r="DC249" s="50" t="str">
        <f t="shared" si="50"/>
        <v/>
      </c>
      <c r="DD249" s="50" t="str">
        <f t="shared" si="51"/>
        <v/>
      </c>
    </row>
    <row r="250" spans="12:108" ht="30.9" customHeight="1">
      <c r="L250" s="120"/>
      <c r="M250" s="120"/>
      <c r="N250" s="120"/>
      <c r="O250" s="121"/>
      <c r="P250" s="121"/>
      <c r="Q250" s="100"/>
      <c r="R250" s="100"/>
      <c r="S250" s="100"/>
      <c r="T250" s="100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  <c r="AH250" s="122"/>
      <c r="AI250" s="122"/>
      <c r="AJ250" s="122"/>
      <c r="AK250" s="122"/>
      <c r="AL250" s="122"/>
      <c r="AM250" s="122"/>
      <c r="AN250" s="122"/>
      <c r="AO250" s="122"/>
      <c r="AP250" s="122"/>
      <c r="AQ250" s="122"/>
      <c r="AR250" s="122"/>
      <c r="AS250" s="122"/>
      <c r="AT250" s="122"/>
      <c r="AU250" s="122"/>
      <c r="AV250" s="122"/>
      <c r="AW250" s="122"/>
      <c r="AX250" s="122"/>
      <c r="AY250" s="122"/>
      <c r="AZ250" s="122"/>
      <c r="BA250" s="122"/>
      <c r="BB250" s="122"/>
      <c r="BC250" s="122"/>
      <c r="CW250" s="1">
        <f t="shared" si="44"/>
        <v>0</v>
      </c>
      <c r="CX250" s="1">
        <f t="shared" si="45"/>
        <v>0</v>
      </c>
      <c r="CY250" s="43">
        <f t="shared" si="46"/>
        <v>0</v>
      </c>
      <c r="CZ250" s="43">
        <f t="shared" si="47"/>
        <v>0</v>
      </c>
      <c r="DA250" s="43">
        <f t="shared" si="48"/>
        <v>0</v>
      </c>
      <c r="DB250" s="43" t="str">
        <f t="shared" si="49"/>
        <v/>
      </c>
      <c r="DC250" s="50" t="str">
        <f t="shared" si="50"/>
        <v/>
      </c>
      <c r="DD250" s="50" t="str">
        <f t="shared" si="51"/>
        <v/>
      </c>
    </row>
    <row r="251" spans="12:108" ht="30.9" customHeight="1">
      <c r="L251" s="123"/>
      <c r="M251" s="123"/>
      <c r="O251" s="124"/>
      <c r="P251" s="124"/>
      <c r="Q251" s="100"/>
      <c r="R251" s="100"/>
      <c r="S251" s="100"/>
      <c r="T251" s="100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  <c r="AH251" s="122"/>
      <c r="AI251" s="122"/>
      <c r="AJ251" s="122"/>
      <c r="AK251" s="122"/>
      <c r="AL251" s="122"/>
      <c r="AM251" s="122"/>
      <c r="AN251" s="122"/>
      <c r="AO251" s="122"/>
      <c r="AP251" s="122"/>
      <c r="AQ251" s="122"/>
      <c r="AR251" s="122"/>
      <c r="AS251" s="122"/>
      <c r="AT251" s="122"/>
      <c r="AU251" s="122"/>
      <c r="AV251" s="122"/>
      <c r="AW251" s="122"/>
      <c r="AX251" s="122"/>
      <c r="AY251" s="122"/>
      <c r="AZ251" s="122"/>
      <c r="BA251" s="122"/>
      <c r="BB251" s="122"/>
      <c r="BC251" s="122"/>
      <c r="CW251" s="1">
        <f t="shared" si="44"/>
        <v>0</v>
      </c>
      <c r="CX251" s="1">
        <f t="shared" si="45"/>
        <v>0</v>
      </c>
      <c r="CY251" s="43">
        <f t="shared" si="46"/>
        <v>0</v>
      </c>
      <c r="CZ251" s="43">
        <f t="shared" si="47"/>
        <v>0</v>
      </c>
      <c r="DA251" s="43">
        <f t="shared" si="48"/>
        <v>0</v>
      </c>
      <c r="DB251" s="43" t="str">
        <f t="shared" si="49"/>
        <v/>
      </c>
      <c r="DC251" s="50" t="str">
        <f t="shared" si="50"/>
        <v/>
      </c>
      <c r="DD251" s="50" t="str">
        <f t="shared" si="51"/>
        <v/>
      </c>
    </row>
    <row r="252" spans="12:108" ht="14.25" customHeight="1">
      <c r="L252" s="99"/>
      <c r="M252" s="99"/>
      <c r="N252" s="99"/>
      <c r="O252" s="99"/>
      <c r="P252" s="100"/>
      <c r="Q252" s="101"/>
      <c r="R252" s="101"/>
      <c r="S252" s="101"/>
      <c r="T252" s="101"/>
      <c r="U252" s="99"/>
      <c r="V252" s="99"/>
      <c r="W252" s="100"/>
      <c r="X252" s="100"/>
      <c r="Y252" s="99"/>
      <c r="Z252" s="99"/>
      <c r="AA252" s="100"/>
      <c r="AB252" s="100"/>
      <c r="AC252" s="100"/>
      <c r="AD252" s="100"/>
      <c r="AE252" s="99"/>
      <c r="AF252" s="99"/>
      <c r="AG252" s="100"/>
      <c r="AH252" s="100"/>
      <c r="AI252" s="99"/>
      <c r="AJ252" s="99"/>
      <c r="AK252" s="100"/>
      <c r="AL252" s="100"/>
      <c r="AM252" s="101"/>
      <c r="AN252" s="101"/>
      <c r="AO252" s="101"/>
      <c r="AP252" s="101"/>
      <c r="AQ252" s="19"/>
      <c r="AR252" s="19"/>
      <c r="AS252" s="19"/>
      <c r="AT252" s="99"/>
      <c r="AU252" s="99"/>
      <c r="AV252" s="99"/>
      <c r="AW252" s="99"/>
      <c r="AX252" s="100"/>
      <c r="AY252" s="100"/>
      <c r="AZ252" s="100"/>
      <c r="BA252" s="100"/>
      <c r="BB252" s="100"/>
      <c r="BC252" s="100"/>
      <c r="CW252" s="1">
        <f t="shared" si="44"/>
        <v>0</v>
      </c>
      <c r="CX252" s="1">
        <f t="shared" si="45"/>
        <v>0</v>
      </c>
      <c r="CY252" s="43">
        <f t="shared" si="46"/>
        <v>0</v>
      </c>
      <c r="CZ252" s="43">
        <f t="shared" si="47"/>
        <v>0</v>
      </c>
      <c r="DA252" s="43">
        <f t="shared" si="48"/>
        <v>0</v>
      </c>
      <c r="DB252" s="43" t="str">
        <f t="shared" si="49"/>
        <v/>
      </c>
      <c r="DC252" s="50" t="str">
        <f t="shared" si="50"/>
        <v/>
      </c>
      <c r="DD252" s="50" t="str">
        <f t="shared" si="51"/>
        <v/>
      </c>
    </row>
    <row r="253" spans="12:108" ht="14.25" customHeight="1">
      <c r="L253" s="99"/>
      <c r="M253" s="99"/>
      <c r="N253" s="99"/>
      <c r="O253" s="99"/>
      <c r="P253" s="100"/>
      <c r="Q253" s="101"/>
      <c r="R253" s="101"/>
      <c r="S253" s="101"/>
      <c r="T253" s="101"/>
      <c r="U253" s="99"/>
      <c r="V253" s="99"/>
      <c r="W253" s="100"/>
      <c r="X253" s="100"/>
      <c r="Y253" s="99"/>
      <c r="Z253" s="99"/>
      <c r="AA253" s="100"/>
      <c r="AB253" s="100"/>
      <c r="AC253" s="100"/>
      <c r="AD253" s="100"/>
      <c r="AE253" s="99"/>
      <c r="AF253" s="99"/>
      <c r="AG253" s="100"/>
      <c r="AH253" s="100"/>
      <c r="AI253" s="99"/>
      <c r="AJ253" s="99"/>
      <c r="AK253" s="100"/>
      <c r="AL253" s="100"/>
      <c r="AM253" s="101"/>
      <c r="AN253" s="101"/>
      <c r="AO253" s="101"/>
      <c r="AP253" s="101"/>
      <c r="AQ253" s="19"/>
      <c r="AR253" s="19"/>
      <c r="AS253" s="19"/>
      <c r="AT253" s="99"/>
      <c r="AU253" s="99"/>
      <c r="AV253" s="99"/>
      <c r="AW253" s="99"/>
      <c r="AX253" s="100"/>
      <c r="AY253" s="100"/>
      <c r="AZ253" s="100"/>
      <c r="BA253" s="100"/>
      <c r="BB253" s="100"/>
      <c r="BC253" s="100"/>
      <c r="CW253" s="1">
        <f t="shared" si="44"/>
        <v>0</v>
      </c>
      <c r="CX253" s="1">
        <f t="shared" si="45"/>
        <v>0</v>
      </c>
      <c r="CY253" s="43">
        <f t="shared" si="46"/>
        <v>0</v>
      </c>
      <c r="CZ253" s="43">
        <f t="shared" si="47"/>
        <v>0</v>
      </c>
      <c r="DA253" s="43">
        <f t="shared" si="48"/>
        <v>0</v>
      </c>
      <c r="DB253" s="43" t="str">
        <f t="shared" si="49"/>
        <v/>
      </c>
      <c r="DC253" s="50" t="str">
        <f t="shared" si="50"/>
        <v/>
      </c>
      <c r="DD253" s="50" t="str">
        <f t="shared" si="51"/>
        <v/>
      </c>
    </row>
    <row r="254" spans="12:108" ht="14.25" customHeight="1">
      <c r="L254" s="99"/>
      <c r="M254" s="99"/>
      <c r="N254" s="99"/>
      <c r="O254" s="99"/>
      <c r="P254" s="100"/>
      <c r="Q254" s="101"/>
      <c r="R254" s="101"/>
      <c r="S254" s="101"/>
      <c r="T254" s="101"/>
      <c r="U254" s="99"/>
      <c r="V254" s="99"/>
      <c r="W254" s="100"/>
      <c r="X254" s="100"/>
      <c r="Y254" s="99"/>
      <c r="Z254" s="99"/>
      <c r="AA254" s="100"/>
      <c r="AB254" s="100"/>
      <c r="AC254" s="100"/>
      <c r="AD254" s="100"/>
      <c r="AE254" s="99"/>
      <c r="AF254" s="99"/>
      <c r="AG254" s="100"/>
      <c r="AH254" s="100"/>
      <c r="AI254" s="99"/>
      <c r="AJ254" s="99"/>
      <c r="AK254" s="100"/>
      <c r="AL254" s="100"/>
      <c r="AM254" s="101"/>
      <c r="AN254" s="101"/>
      <c r="AO254" s="101"/>
      <c r="AP254" s="101"/>
      <c r="AQ254" s="19"/>
      <c r="AR254" s="19"/>
      <c r="AS254" s="19"/>
      <c r="AT254" s="99"/>
      <c r="AU254" s="99"/>
      <c r="AV254" s="99"/>
      <c r="AW254" s="99"/>
      <c r="AX254" s="100"/>
      <c r="AY254" s="100"/>
      <c r="AZ254" s="100"/>
      <c r="BA254" s="100"/>
      <c r="BB254" s="100"/>
      <c r="BC254" s="100"/>
      <c r="CW254" s="1">
        <f t="shared" si="44"/>
        <v>0</v>
      </c>
      <c r="CX254" s="1">
        <f t="shared" si="45"/>
        <v>0</v>
      </c>
      <c r="CY254" s="43">
        <f t="shared" si="46"/>
        <v>0</v>
      </c>
      <c r="CZ254" s="43">
        <f t="shared" si="47"/>
        <v>0</v>
      </c>
      <c r="DA254" s="43">
        <f t="shared" si="48"/>
        <v>0</v>
      </c>
      <c r="DB254" s="43" t="str">
        <f t="shared" si="49"/>
        <v/>
      </c>
      <c r="DC254" s="50" t="str">
        <f t="shared" si="50"/>
        <v/>
      </c>
      <c r="DD254" s="50" t="str">
        <f t="shared" si="51"/>
        <v/>
      </c>
    </row>
    <row r="255" spans="12:108" ht="14.25" customHeight="1">
      <c r="L255" s="99"/>
      <c r="M255" s="99"/>
      <c r="N255" s="99"/>
      <c r="O255" s="99"/>
      <c r="P255" s="100"/>
      <c r="Q255" s="101"/>
      <c r="R255" s="101"/>
      <c r="S255" s="101"/>
      <c r="T255" s="101"/>
      <c r="U255" s="47"/>
      <c r="V255" s="47"/>
      <c r="W255" s="47"/>
      <c r="X255" s="99"/>
      <c r="Y255" s="99"/>
      <c r="Z255" s="99"/>
      <c r="AA255" s="99"/>
      <c r="AB255" s="100"/>
      <c r="AC255" s="100"/>
      <c r="AD255" s="100"/>
      <c r="AE255" s="99"/>
      <c r="AF255" s="99"/>
      <c r="AG255" s="99"/>
      <c r="AH255" s="99"/>
      <c r="AI255" s="100"/>
      <c r="AJ255" s="100"/>
      <c r="AK255" s="100"/>
      <c r="AL255" s="47"/>
      <c r="AM255" s="101"/>
      <c r="AN255" s="101"/>
      <c r="AO255" s="101"/>
      <c r="AP255" s="101"/>
      <c r="AQ255" s="19"/>
      <c r="AR255" s="19"/>
      <c r="AS255" s="19"/>
      <c r="AT255" s="99"/>
      <c r="AU255" s="99"/>
      <c r="AV255" s="99"/>
      <c r="AW255" s="99"/>
      <c r="AX255" s="100"/>
      <c r="AY255" s="100"/>
      <c r="AZ255" s="100"/>
      <c r="BA255" s="100"/>
      <c r="BB255" s="100"/>
      <c r="BC255" s="100"/>
      <c r="CW255" s="1">
        <f t="shared" si="44"/>
        <v>0</v>
      </c>
      <c r="CX255" s="1">
        <f t="shared" si="45"/>
        <v>0</v>
      </c>
      <c r="CY255" s="43">
        <f t="shared" si="46"/>
        <v>0</v>
      </c>
      <c r="CZ255" s="43">
        <f t="shared" si="47"/>
        <v>0</v>
      </c>
      <c r="DA255" s="43">
        <f t="shared" si="48"/>
        <v>0</v>
      </c>
      <c r="DB255" s="43" t="str">
        <f t="shared" si="49"/>
        <v/>
      </c>
      <c r="DC255" s="50" t="str">
        <f t="shared" si="50"/>
        <v/>
      </c>
      <c r="DD255" s="50" t="str">
        <f t="shared" si="51"/>
        <v/>
      </c>
    </row>
    <row r="256" spans="12:108" ht="14.25" customHeight="1">
      <c r="L256" s="99"/>
      <c r="M256" s="99"/>
      <c r="N256" s="99"/>
      <c r="O256" s="99"/>
      <c r="P256" s="100"/>
      <c r="Q256" s="101"/>
      <c r="R256" s="101"/>
      <c r="S256" s="101"/>
      <c r="T256" s="101"/>
      <c r="U256" s="19"/>
      <c r="V256" s="19"/>
      <c r="W256" s="19"/>
      <c r="X256" s="99"/>
      <c r="Y256" s="99"/>
      <c r="Z256" s="99"/>
      <c r="AA256" s="99"/>
      <c r="AB256" s="100"/>
      <c r="AC256" s="100"/>
      <c r="AD256" s="100"/>
      <c r="AE256" s="99"/>
      <c r="AF256" s="99"/>
      <c r="AG256" s="99"/>
      <c r="AH256" s="99"/>
      <c r="AI256" s="100"/>
      <c r="AJ256" s="100"/>
      <c r="AK256" s="100"/>
      <c r="AL256" s="19"/>
      <c r="AM256" s="101"/>
      <c r="AN256" s="101"/>
      <c r="AO256" s="101"/>
      <c r="AP256" s="101"/>
      <c r="AQ256" s="19"/>
      <c r="AR256" s="19"/>
      <c r="AS256" s="19"/>
      <c r="AT256" s="99"/>
      <c r="AU256" s="99"/>
      <c r="AV256" s="99"/>
      <c r="AW256" s="99"/>
      <c r="AX256" s="100"/>
      <c r="AY256" s="100"/>
      <c r="AZ256" s="100"/>
      <c r="BA256" s="100"/>
      <c r="BB256" s="100"/>
      <c r="BC256" s="100"/>
      <c r="CW256" s="1">
        <f t="shared" si="44"/>
        <v>0</v>
      </c>
      <c r="CX256" s="1">
        <f t="shared" si="45"/>
        <v>0</v>
      </c>
      <c r="CY256" s="43">
        <f t="shared" si="46"/>
        <v>0</v>
      </c>
      <c r="CZ256" s="43">
        <f t="shared" si="47"/>
        <v>0</v>
      </c>
      <c r="DA256" s="43">
        <f t="shared" si="48"/>
        <v>0</v>
      </c>
      <c r="DB256" s="43" t="str">
        <f t="shared" si="49"/>
        <v/>
      </c>
      <c r="DC256" s="50" t="str">
        <f t="shared" si="50"/>
        <v/>
      </c>
      <c r="DD256" s="50" t="str">
        <f t="shared" si="51"/>
        <v/>
      </c>
    </row>
    <row r="257" spans="12:108" ht="14.25" customHeight="1">
      <c r="L257" s="99"/>
      <c r="M257" s="99"/>
      <c r="N257" s="99"/>
      <c r="O257" s="99"/>
      <c r="P257" s="100"/>
      <c r="Q257" s="101"/>
      <c r="R257" s="101"/>
      <c r="S257" s="101"/>
      <c r="T257" s="101"/>
      <c r="U257" s="19"/>
      <c r="V257" s="19"/>
      <c r="W257" s="19"/>
      <c r="X257" s="99"/>
      <c r="Y257" s="99"/>
      <c r="Z257" s="99"/>
      <c r="AA257" s="99"/>
      <c r="AB257" s="100"/>
      <c r="AC257" s="100"/>
      <c r="AD257" s="100"/>
      <c r="AE257" s="99"/>
      <c r="AF257" s="99"/>
      <c r="AG257" s="99"/>
      <c r="AH257" s="99"/>
      <c r="AI257" s="100"/>
      <c r="AJ257" s="100"/>
      <c r="AK257" s="100"/>
      <c r="AL257" s="19"/>
      <c r="AM257" s="101"/>
      <c r="AN257" s="101"/>
      <c r="AO257" s="101"/>
      <c r="AP257" s="101"/>
      <c r="AQ257" s="19"/>
      <c r="AR257" s="19"/>
      <c r="AS257" s="19"/>
      <c r="AT257" s="99"/>
      <c r="AU257" s="99"/>
      <c r="AV257" s="99"/>
      <c r="AW257" s="99"/>
      <c r="AX257" s="100"/>
      <c r="AY257" s="100"/>
      <c r="AZ257" s="100"/>
      <c r="BA257" s="100"/>
      <c r="BB257" s="100"/>
      <c r="BC257" s="100"/>
      <c r="CW257" s="1">
        <f t="shared" si="44"/>
        <v>0</v>
      </c>
      <c r="CX257" s="1">
        <f t="shared" si="45"/>
        <v>0</v>
      </c>
      <c r="CY257" s="43">
        <f t="shared" si="46"/>
        <v>0</v>
      </c>
      <c r="CZ257" s="43">
        <f t="shared" si="47"/>
        <v>0</v>
      </c>
      <c r="DA257" s="43">
        <f t="shared" si="48"/>
        <v>0</v>
      </c>
      <c r="DB257" s="43" t="str">
        <f t="shared" si="49"/>
        <v/>
      </c>
      <c r="DC257" s="50" t="str">
        <f t="shared" si="50"/>
        <v/>
      </c>
      <c r="DD257" s="50" t="str">
        <f t="shared" si="51"/>
        <v/>
      </c>
    </row>
    <row r="258" spans="12:108" ht="30.9" customHeight="1">
      <c r="L258" s="120"/>
      <c r="M258" s="120"/>
      <c r="N258" s="120"/>
      <c r="O258" s="121"/>
      <c r="P258" s="121"/>
      <c r="Q258" s="100"/>
      <c r="R258" s="100"/>
      <c r="S258" s="100"/>
      <c r="T258" s="100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  <c r="AH258" s="122"/>
      <c r="AI258" s="122"/>
      <c r="AJ258" s="122"/>
      <c r="AK258" s="122"/>
      <c r="AL258" s="122"/>
      <c r="AM258" s="122"/>
      <c r="AN258" s="122"/>
      <c r="AO258" s="122"/>
      <c r="AP258" s="122"/>
      <c r="AQ258" s="122"/>
      <c r="AR258" s="122"/>
      <c r="AS258" s="122"/>
      <c r="AT258" s="122"/>
      <c r="AU258" s="122"/>
      <c r="AV258" s="122"/>
      <c r="AW258" s="122"/>
      <c r="AX258" s="122"/>
      <c r="AY258" s="122"/>
      <c r="AZ258" s="122"/>
      <c r="BA258" s="122"/>
      <c r="BB258" s="122"/>
      <c r="BC258" s="122"/>
      <c r="CW258" s="1">
        <f t="shared" si="44"/>
        <v>0</v>
      </c>
      <c r="CX258" s="1">
        <f t="shared" si="45"/>
        <v>0</v>
      </c>
      <c r="CY258" s="43">
        <f t="shared" si="46"/>
        <v>0</v>
      </c>
      <c r="CZ258" s="43">
        <f t="shared" si="47"/>
        <v>0</v>
      </c>
      <c r="DA258" s="43">
        <f t="shared" si="48"/>
        <v>0</v>
      </c>
      <c r="DB258" s="43" t="str">
        <f t="shared" si="49"/>
        <v/>
      </c>
      <c r="DC258" s="50" t="str">
        <f t="shared" si="50"/>
        <v/>
      </c>
      <c r="DD258" s="50" t="str">
        <f t="shared" si="51"/>
        <v/>
      </c>
    </row>
    <row r="259" spans="12:108" ht="30.9" customHeight="1">
      <c r="L259" s="123"/>
      <c r="M259" s="123"/>
      <c r="O259" s="124"/>
      <c r="P259" s="124"/>
      <c r="Q259" s="100"/>
      <c r="R259" s="100"/>
      <c r="S259" s="100"/>
      <c r="T259" s="100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  <c r="AH259" s="122"/>
      <c r="AI259" s="122"/>
      <c r="AJ259" s="122"/>
      <c r="AK259" s="122"/>
      <c r="AL259" s="122"/>
      <c r="AM259" s="122"/>
      <c r="AN259" s="122"/>
      <c r="AO259" s="122"/>
      <c r="AP259" s="122"/>
      <c r="AQ259" s="122"/>
      <c r="AR259" s="122"/>
      <c r="AS259" s="122"/>
      <c r="AT259" s="122"/>
      <c r="AU259" s="122"/>
      <c r="AV259" s="122"/>
      <c r="AW259" s="122"/>
      <c r="AX259" s="122"/>
      <c r="AY259" s="122"/>
      <c r="AZ259" s="122"/>
      <c r="BA259" s="122"/>
      <c r="BB259" s="122"/>
      <c r="BC259" s="122"/>
      <c r="CW259" s="1">
        <f t="shared" ref="CW259:CW300" si="52">CO259-CV259</f>
        <v>0</v>
      </c>
      <c r="CX259" s="1">
        <f t="shared" ref="CX259:CX300" si="53">CQ259-CV259</f>
        <v>0</v>
      </c>
      <c r="CY259" s="43">
        <f t="shared" ref="CY259:CY300" si="54">IF(CW259&gt;=0,(CN259-CU259),(CN259-CU259)-1)</f>
        <v>0</v>
      </c>
      <c r="CZ259" s="43">
        <f t="shared" ref="CZ259:CZ300" si="55">IF(CW259&gt;=0,CW259,(60+CW259))</f>
        <v>0</v>
      </c>
      <c r="DA259" s="43">
        <f t="shared" ref="DA259:DA300" si="56">IF(CZ259=30,(CY259+0.5),CY259)</f>
        <v>0</v>
      </c>
      <c r="DB259" s="43" t="str">
        <f t="shared" ref="DB259:DB300" si="57">IF(AND(DA259&gt;=3,DA259&lt;8),DA259,"")</f>
        <v/>
      </c>
      <c r="DC259" s="50" t="str">
        <f t="shared" ref="DC259:DC300" si="58">IF(DA259=8,1,"")</f>
        <v/>
      </c>
      <c r="DD259" s="50" t="str">
        <f t="shared" ref="DD259:DD300" si="59">IF(DB259="","",0.5)</f>
        <v/>
      </c>
    </row>
    <row r="260" spans="12:108" ht="14.25" customHeight="1">
      <c r="L260" s="99"/>
      <c r="M260" s="99"/>
      <c r="N260" s="99"/>
      <c r="O260" s="99"/>
      <c r="P260" s="100"/>
      <c r="Q260" s="101"/>
      <c r="R260" s="101"/>
      <c r="S260" s="101"/>
      <c r="T260" s="101"/>
      <c r="U260" s="99"/>
      <c r="V260" s="99"/>
      <c r="W260" s="100"/>
      <c r="X260" s="100"/>
      <c r="Y260" s="99"/>
      <c r="Z260" s="99"/>
      <c r="AA260" s="100"/>
      <c r="AB260" s="100"/>
      <c r="AC260" s="100"/>
      <c r="AD260" s="100"/>
      <c r="AE260" s="99"/>
      <c r="AF260" s="99"/>
      <c r="AG260" s="100"/>
      <c r="AH260" s="100"/>
      <c r="AI260" s="99"/>
      <c r="AJ260" s="99"/>
      <c r="AK260" s="100"/>
      <c r="AL260" s="100"/>
      <c r="AM260" s="101"/>
      <c r="AN260" s="101"/>
      <c r="AO260" s="101"/>
      <c r="AP260" s="101"/>
      <c r="AQ260" s="19"/>
      <c r="AR260" s="19"/>
      <c r="AS260" s="19"/>
      <c r="AT260" s="99"/>
      <c r="AU260" s="99"/>
      <c r="AV260" s="99"/>
      <c r="AW260" s="99"/>
      <c r="AX260" s="100"/>
      <c r="AY260" s="100"/>
      <c r="AZ260" s="100"/>
      <c r="BA260" s="100"/>
      <c r="BB260" s="100"/>
      <c r="BC260" s="100"/>
      <c r="CW260" s="1">
        <f t="shared" si="52"/>
        <v>0</v>
      </c>
      <c r="CX260" s="1">
        <f t="shared" si="53"/>
        <v>0</v>
      </c>
      <c r="CY260" s="43">
        <f t="shared" si="54"/>
        <v>0</v>
      </c>
      <c r="CZ260" s="43">
        <f t="shared" si="55"/>
        <v>0</v>
      </c>
      <c r="DA260" s="43">
        <f t="shared" si="56"/>
        <v>0</v>
      </c>
      <c r="DB260" s="43" t="str">
        <f t="shared" si="57"/>
        <v/>
      </c>
      <c r="DC260" s="50" t="str">
        <f t="shared" si="58"/>
        <v/>
      </c>
      <c r="DD260" s="50" t="str">
        <f t="shared" si="59"/>
        <v/>
      </c>
    </row>
    <row r="261" spans="12:108" ht="14.25" customHeight="1">
      <c r="L261" s="99"/>
      <c r="M261" s="99"/>
      <c r="N261" s="99"/>
      <c r="O261" s="99"/>
      <c r="P261" s="100"/>
      <c r="Q261" s="101"/>
      <c r="R261" s="101"/>
      <c r="S261" s="101"/>
      <c r="T261" s="101"/>
      <c r="U261" s="99"/>
      <c r="V261" s="99"/>
      <c r="W261" s="100"/>
      <c r="X261" s="100"/>
      <c r="Y261" s="99"/>
      <c r="Z261" s="99"/>
      <c r="AA261" s="100"/>
      <c r="AB261" s="100"/>
      <c r="AC261" s="100"/>
      <c r="AD261" s="100"/>
      <c r="AE261" s="99"/>
      <c r="AF261" s="99"/>
      <c r="AG261" s="100"/>
      <c r="AH261" s="100"/>
      <c r="AI261" s="99"/>
      <c r="AJ261" s="99"/>
      <c r="AK261" s="100"/>
      <c r="AL261" s="100"/>
      <c r="AM261" s="101"/>
      <c r="AN261" s="101"/>
      <c r="AO261" s="101"/>
      <c r="AP261" s="101"/>
      <c r="AQ261" s="19"/>
      <c r="AR261" s="19"/>
      <c r="AS261" s="19"/>
      <c r="AT261" s="99"/>
      <c r="AU261" s="99"/>
      <c r="AV261" s="99"/>
      <c r="AW261" s="99"/>
      <c r="AX261" s="100"/>
      <c r="AY261" s="100"/>
      <c r="AZ261" s="100"/>
      <c r="BA261" s="100"/>
      <c r="BB261" s="100"/>
      <c r="BC261" s="100"/>
      <c r="CW261" s="1">
        <f t="shared" si="52"/>
        <v>0</v>
      </c>
      <c r="CX261" s="1">
        <f t="shared" si="53"/>
        <v>0</v>
      </c>
      <c r="CY261" s="43">
        <f t="shared" si="54"/>
        <v>0</v>
      </c>
      <c r="CZ261" s="43">
        <f t="shared" si="55"/>
        <v>0</v>
      </c>
      <c r="DA261" s="43">
        <f t="shared" si="56"/>
        <v>0</v>
      </c>
      <c r="DB261" s="43" t="str">
        <f t="shared" si="57"/>
        <v/>
      </c>
      <c r="DC261" s="50" t="str">
        <f t="shared" si="58"/>
        <v/>
      </c>
      <c r="DD261" s="50" t="str">
        <f t="shared" si="59"/>
        <v/>
      </c>
    </row>
    <row r="262" spans="12:108" ht="14.25" customHeight="1">
      <c r="L262" s="99"/>
      <c r="M262" s="99"/>
      <c r="N262" s="99"/>
      <c r="O262" s="99"/>
      <c r="P262" s="100"/>
      <c r="Q262" s="101"/>
      <c r="R262" s="101"/>
      <c r="S262" s="101"/>
      <c r="T262" s="101"/>
      <c r="U262" s="99"/>
      <c r="V262" s="99"/>
      <c r="W262" s="100"/>
      <c r="X262" s="100"/>
      <c r="Y262" s="99"/>
      <c r="Z262" s="99"/>
      <c r="AA262" s="100"/>
      <c r="AB262" s="100"/>
      <c r="AC262" s="100"/>
      <c r="AD262" s="100"/>
      <c r="AE262" s="99"/>
      <c r="AF262" s="99"/>
      <c r="AG262" s="100"/>
      <c r="AH262" s="100"/>
      <c r="AI262" s="99"/>
      <c r="AJ262" s="99"/>
      <c r="AK262" s="100"/>
      <c r="AL262" s="100"/>
      <c r="AM262" s="101"/>
      <c r="AN262" s="101"/>
      <c r="AO262" s="101"/>
      <c r="AP262" s="101"/>
      <c r="AQ262" s="19"/>
      <c r="AR262" s="19"/>
      <c r="AS262" s="19"/>
      <c r="AT262" s="99"/>
      <c r="AU262" s="99"/>
      <c r="AV262" s="99"/>
      <c r="AW262" s="99"/>
      <c r="AX262" s="100"/>
      <c r="AY262" s="100"/>
      <c r="AZ262" s="100"/>
      <c r="BA262" s="100"/>
      <c r="BB262" s="100"/>
      <c r="BC262" s="100"/>
      <c r="CW262" s="1">
        <f t="shared" si="52"/>
        <v>0</v>
      </c>
      <c r="CX262" s="1">
        <f t="shared" si="53"/>
        <v>0</v>
      </c>
      <c r="CY262" s="43">
        <f t="shared" si="54"/>
        <v>0</v>
      </c>
      <c r="CZ262" s="43">
        <f t="shared" si="55"/>
        <v>0</v>
      </c>
      <c r="DA262" s="43">
        <f t="shared" si="56"/>
        <v>0</v>
      </c>
      <c r="DB262" s="43" t="str">
        <f t="shared" si="57"/>
        <v/>
      </c>
      <c r="DC262" s="50" t="str">
        <f t="shared" si="58"/>
        <v/>
      </c>
      <c r="DD262" s="50" t="str">
        <f t="shared" si="59"/>
        <v/>
      </c>
    </row>
    <row r="263" spans="12:108" ht="14.25" customHeight="1">
      <c r="L263" s="99"/>
      <c r="M263" s="99"/>
      <c r="N263" s="99"/>
      <c r="O263" s="99"/>
      <c r="P263" s="100"/>
      <c r="Q263" s="101"/>
      <c r="R263" s="101"/>
      <c r="S263" s="101"/>
      <c r="T263" s="101"/>
      <c r="U263" s="47"/>
      <c r="V263" s="47"/>
      <c r="W263" s="47"/>
      <c r="X263" s="99"/>
      <c r="Y263" s="99"/>
      <c r="Z263" s="99"/>
      <c r="AA263" s="99"/>
      <c r="AB263" s="100"/>
      <c r="AC263" s="100"/>
      <c r="AD263" s="100"/>
      <c r="AE263" s="99"/>
      <c r="AF263" s="99"/>
      <c r="AG263" s="99"/>
      <c r="AH263" s="99"/>
      <c r="AI263" s="100"/>
      <c r="AJ263" s="100"/>
      <c r="AK263" s="100"/>
      <c r="AL263" s="47"/>
      <c r="AM263" s="101"/>
      <c r="AN263" s="101"/>
      <c r="AO263" s="101"/>
      <c r="AP263" s="101"/>
      <c r="AQ263" s="19"/>
      <c r="AR263" s="19"/>
      <c r="AS263" s="19"/>
      <c r="AT263" s="99"/>
      <c r="AU263" s="99"/>
      <c r="AV263" s="99"/>
      <c r="AW263" s="99"/>
      <c r="AX263" s="100"/>
      <c r="AY263" s="100"/>
      <c r="AZ263" s="100"/>
      <c r="BA263" s="100"/>
      <c r="BB263" s="100"/>
      <c r="BC263" s="100"/>
      <c r="CW263" s="1">
        <f t="shared" si="52"/>
        <v>0</v>
      </c>
      <c r="CX263" s="1">
        <f t="shared" si="53"/>
        <v>0</v>
      </c>
      <c r="CY263" s="43">
        <f t="shared" si="54"/>
        <v>0</v>
      </c>
      <c r="CZ263" s="43">
        <f t="shared" si="55"/>
        <v>0</v>
      </c>
      <c r="DA263" s="43">
        <f t="shared" si="56"/>
        <v>0</v>
      </c>
      <c r="DB263" s="43" t="str">
        <f t="shared" si="57"/>
        <v/>
      </c>
      <c r="DC263" s="50" t="str">
        <f t="shared" si="58"/>
        <v/>
      </c>
      <c r="DD263" s="50" t="str">
        <f t="shared" si="59"/>
        <v/>
      </c>
    </row>
    <row r="264" spans="12:108" ht="14.25" customHeight="1">
      <c r="L264" s="99"/>
      <c r="M264" s="99"/>
      <c r="N264" s="99"/>
      <c r="O264" s="99"/>
      <c r="P264" s="100"/>
      <c r="Q264" s="101"/>
      <c r="R264" s="101"/>
      <c r="S264" s="101"/>
      <c r="T264" s="101"/>
      <c r="U264" s="19"/>
      <c r="V264" s="19"/>
      <c r="W264" s="19"/>
      <c r="X264" s="99"/>
      <c r="Y264" s="99"/>
      <c r="Z264" s="99"/>
      <c r="AA264" s="99"/>
      <c r="AB264" s="100"/>
      <c r="AC264" s="100"/>
      <c r="AD264" s="100"/>
      <c r="AE264" s="99"/>
      <c r="AF264" s="99"/>
      <c r="AG264" s="99"/>
      <c r="AH264" s="99"/>
      <c r="AI264" s="100"/>
      <c r="AJ264" s="100"/>
      <c r="AK264" s="100"/>
      <c r="AL264" s="19"/>
      <c r="AM264" s="101"/>
      <c r="AN264" s="101"/>
      <c r="AO264" s="101"/>
      <c r="AP264" s="101"/>
      <c r="AQ264" s="19"/>
      <c r="AR264" s="19"/>
      <c r="AS264" s="19"/>
      <c r="AT264" s="99"/>
      <c r="AU264" s="99"/>
      <c r="AV264" s="99"/>
      <c r="AW264" s="99"/>
      <c r="AX264" s="100"/>
      <c r="AY264" s="100"/>
      <c r="AZ264" s="100"/>
      <c r="BA264" s="100"/>
      <c r="BB264" s="100"/>
      <c r="BC264" s="100"/>
      <c r="CW264" s="1">
        <f t="shared" si="52"/>
        <v>0</v>
      </c>
      <c r="CX264" s="1">
        <f t="shared" si="53"/>
        <v>0</v>
      </c>
      <c r="CY264" s="43">
        <f t="shared" si="54"/>
        <v>0</v>
      </c>
      <c r="CZ264" s="43">
        <f t="shared" si="55"/>
        <v>0</v>
      </c>
      <c r="DA264" s="43">
        <f t="shared" si="56"/>
        <v>0</v>
      </c>
      <c r="DB264" s="43" t="str">
        <f t="shared" si="57"/>
        <v/>
      </c>
      <c r="DC264" s="50" t="str">
        <f t="shared" si="58"/>
        <v/>
      </c>
      <c r="DD264" s="50" t="str">
        <f t="shared" si="59"/>
        <v/>
      </c>
    </row>
    <row r="265" spans="12:108" ht="14.25" customHeight="1">
      <c r="L265" s="99"/>
      <c r="M265" s="99"/>
      <c r="N265" s="99"/>
      <c r="O265" s="99"/>
      <c r="P265" s="100"/>
      <c r="Q265" s="101"/>
      <c r="R265" s="101"/>
      <c r="S265" s="101"/>
      <c r="T265" s="101"/>
      <c r="U265" s="19"/>
      <c r="V265" s="19"/>
      <c r="W265" s="19"/>
      <c r="X265" s="99"/>
      <c r="Y265" s="99"/>
      <c r="Z265" s="99"/>
      <c r="AA265" s="99"/>
      <c r="AB265" s="100"/>
      <c r="AC265" s="100"/>
      <c r="AD265" s="100"/>
      <c r="AE265" s="99"/>
      <c r="AF265" s="99"/>
      <c r="AG265" s="99"/>
      <c r="AH265" s="99"/>
      <c r="AI265" s="100"/>
      <c r="AJ265" s="100"/>
      <c r="AK265" s="100"/>
      <c r="AL265" s="19"/>
      <c r="AM265" s="101"/>
      <c r="AN265" s="101"/>
      <c r="AO265" s="101"/>
      <c r="AP265" s="101"/>
      <c r="AQ265" s="19"/>
      <c r="AR265" s="19"/>
      <c r="AS265" s="19"/>
      <c r="AT265" s="99"/>
      <c r="AU265" s="99"/>
      <c r="AV265" s="99"/>
      <c r="AW265" s="99"/>
      <c r="AX265" s="100"/>
      <c r="AY265" s="100"/>
      <c r="AZ265" s="100"/>
      <c r="BA265" s="100"/>
      <c r="BB265" s="100"/>
      <c r="BC265" s="100"/>
      <c r="CW265" s="1">
        <f t="shared" si="52"/>
        <v>0</v>
      </c>
      <c r="CX265" s="1">
        <f t="shared" si="53"/>
        <v>0</v>
      </c>
      <c r="CY265" s="43">
        <f t="shared" si="54"/>
        <v>0</v>
      </c>
      <c r="CZ265" s="43">
        <f t="shared" si="55"/>
        <v>0</v>
      </c>
      <c r="DA265" s="43">
        <f t="shared" si="56"/>
        <v>0</v>
      </c>
      <c r="DB265" s="43" t="str">
        <f t="shared" si="57"/>
        <v/>
      </c>
      <c r="DC265" s="50" t="str">
        <f t="shared" si="58"/>
        <v/>
      </c>
      <c r="DD265" s="50" t="str">
        <f t="shared" si="59"/>
        <v/>
      </c>
    </row>
    <row r="266" spans="12:108" ht="30.9" customHeight="1">
      <c r="L266" s="120"/>
      <c r="M266" s="120"/>
      <c r="N266" s="120"/>
      <c r="O266" s="121"/>
      <c r="P266" s="121"/>
      <c r="Q266" s="100"/>
      <c r="R266" s="100"/>
      <c r="S266" s="100"/>
      <c r="T266" s="100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  <c r="AH266" s="122"/>
      <c r="AI266" s="122"/>
      <c r="AJ266" s="122"/>
      <c r="AK266" s="122"/>
      <c r="AL266" s="122"/>
      <c r="AM266" s="122"/>
      <c r="AN266" s="122"/>
      <c r="AO266" s="122"/>
      <c r="AP266" s="122"/>
      <c r="AQ266" s="122"/>
      <c r="AR266" s="122"/>
      <c r="AS266" s="122"/>
      <c r="AT266" s="122"/>
      <c r="AU266" s="122"/>
      <c r="AV266" s="122"/>
      <c r="AW266" s="122"/>
      <c r="AX266" s="122"/>
      <c r="AY266" s="122"/>
      <c r="AZ266" s="122"/>
      <c r="BA266" s="122"/>
      <c r="BB266" s="122"/>
      <c r="BC266" s="122"/>
      <c r="CW266" s="1">
        <f t="shared" si="52"/>
        <v>0</v>
      </c>
      <c r="CX266" s="1">
        <f t="shared" si="53"/>
        <v>0</v>
      </c>
      <c r="CY266" s="43">
        <f t="shared" si="54"/>
        <v>0</v>
      </c>
      <c r="CZ266" s="43">
        <f t="shared" si="55"/>
        <v>0</v>
      </c>
      <c r="DA266" s="43">
        <f t="shared" si="56"/>
        <v>0</v>
      </c>
      <c r="DB266" s="43" t="str">
        <f t="shared" si="57"/>
        <v/>
      </c>
      <c r="DC266" s="50" t="str">
        <f t="shared" si="58"/>
        <v/>
      </c>
      <c r="DD266" s="50" t="str">
        <f t="shared" si="59"/>
        <v/>
      </c>
    </row>
    <row r="267" spans="12:108" ht="30.9" customHeight="1">
      <c r="L267" s="123"/>
      <c r="M267" s="123"/>
      <c r="O267" s="124"/>
      <c r="P267" s="124"/>
      <c r="Q267" s="100"/>
      <c r="R267" s="100"/>
      <c r="S267" s="100"/>
      <c r="T267" s="100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  <c r="AH267" s="122"/>
      <c r="AI267" s="122"/>
      <c r="AJ267" s="122"/>
      <c r="AK267" s="122"/>
      <c r="AL267" s="122"/>
      <c r="AM267" s="122"/>
      <c r="AN267" s="122"/>
      <c r="AO267" s="122"/>
      <c r="AP267" s="122"/>
      <c r="AQ267" s="122"/>
      <c r="AR267" s="122"/>
      <c r="AS267" s="122"/>
      <c r="AT267" s="122"/>
      <c r="AU267" s="122"/>
      <c r="AV267" s="122"/>
      <c r="AW267" s="122"/>
      <c r="AX267" s="122"/>
      <c r="AY267" s="122"/>
      <c r="AZ267" s="122"/>
      <c r="BA267" s="122"/>
      <c r="BB267" s="122"/>
      <c r="BC267" s="122"/>
      <c r="CW267" s="1">
        <f t="shared" si="52"/>
        <v>0</v>
      </c>
      <c r="CX267" s="1">
        <f t="shared" si="53"/>
        <v>0</v>
      </c>
      <c r="CY267" s="43">
        <f t="shared" si="54"/>
        <v>0</v>
      </c>
      <c r="CZ267" s="43">
        <f t="shared" si="55"/>
        <v>0</v>
      </c>
      <c r="DA267" s="43">
        <f t="shared" si="56"/>
        <v>0</v>
      </c>
      <c r="DB267" s="43" t="str">
        <f t="shared" si="57"/>
        <v/>
      </c>
      <c r="DC267" s="50" t="str">
        <f t="shared" si="58"/>
        <v/>
      </c>
      <c r="DD267" s="50" t="str">
        <f t="shared" si="59"/>
        <v/>
      </c>
    </row>
    <row r="268" spans="12:108" ht="14.25" customHeight="1">
      <c r="L268" s="99"/>
      <c r="M268" s="99"/>
      <c r="N268" s="99"/>
      <c r="O268" s="99"/>
      <c r="P268" s="100"/>
      <c r="Q268" s="101"/>
      <c r="R268" s="101"/>
      <c r="S268" s="101"/>
      <c r="T268" s="101"/>
      <c r="U268" s="99"/>
      <c r="V268" s="99"/>
      <c r="W268" s="100"/>
      <c r="X268" s="100"/>
      <c r="Y268" s="99"/>
      <c r="Z268" s="99"/>
      <c r="AA268" s="100"/>
      <c r="AB268" s="100"/>
      <c r="AC268" s="100"/>
      <c r="AD268" s="100"/>
      <c r="AE268" s="99"/>
      <c r="AF268" s="99"/>
      <c r="AG268" s="100"/>
      <c r="AH268" s="100"/>
      <c r="AI268" s="99"/>
      <c r="AJ268" s="99"/>
      <c r="AK268" s="100"/>
      <c r="AL268" s="100"/>
      <c r="AM268" s="101"/>
      <c r="AN268" s="101"/>
      <c r="AO268" s="101"/>
      <c r="AP268" s="101"/>
      <c r="AQ268" s="19"/>
      <c r="AR268" s="19"/>
      <c r="AS268" s="19"/>
      <c r="AT268" s="99"/>
      <c r="AU268" s="99"/>
      <c r="AV268" s="99"/>
      <c r="AW268" s="99"/>
      <c r="AX268" s="100"/>
      <c r="AY268" s="100"/>
      <c r="AZ268" s="100"/>
      <c r="BA268" s="100"/>
      <c r="BB268" s="100"/>
      <c r="BC268" s="100"/>
      <c r="CW268" s="1">
        <f t="shared" si="52"/>
        <v>0</v>
      </c>
      <c r="CX268" s="1">
        <f t="shared" si="53"/>
        <v>0</v>
      </c>
      <c r="CY268" s="43">
        <f t="shared" si="54"/>
        <v>0</v>
      </c>
      <c r="CZ268" s="43">
        <f t="shared" si="55"/>
        <v>0</v>
      </c>
      <c r="DA268" s="43">
        <f t="shared" si="56"/>
        <v>0</v>
      </c>
      <c r="DB268" s="43" t="str">
        <f t="shared" si="57"/>
        <v/>
      </c>
      <c r="DC268" s="50" t="str">
        <f t="shared" si="58"/>
        <v/>
      </c>
      <c r="DD268" s="50" t="str">
        <f t="shared" si="59"/>
        <v/>
      </c>
    </row>
    <row r="269" spans="12:108" ht="14.25" customHeight="1">
      <c r="L269" s="99"/>
      <c r="M269" s="99"/>
      <c r="N269" s="99"/>
      <c r="O269" s="99"/>
      <c r="P269" s="100"/>
      <c r="Q269" s="101"/>
      <c r="R269" s="101"/>
      <c r="S269" s="101"/>
      <c r="T269" s="101"/>
      <c r="U269" s="99"/>
      <c r="V269" s="99"/>
      <c r="W269" s="100"/>
      <c r="X269" s="100"/>
      <c r="Y269" s="99"/>
      <c r="Z269" s="99"/>
      <c r="AA269" s="100"/>
      <c r="AB269" s="100"/>
      <c r="AC269" s="100"/>
      <c r="AD269" s="100"/>
      <c r="AE269" s="99"/>
      <c r="AF269" s="99"/>
      <c r="AG269" s="100"/>
      <c r="AH269" s="100"/>
      <c r="AI269" s="99"/>
      <c r="AJ269" s="99"/>
      <c r="AK269" s="100"/>
      <c r="AL269" s="100"/>
      <c r="AM269" s="101"/>
      <c r="AN269" s="101"/>
      <c r="AO269" s="101"/>
      <c r="AP269" s="101"/>
      <c r="AQ269" s="19"/>
      <c r="AR269" s="19"/>
      <c r="AS269" s="19"/>
      <c r="AT269" s="99"/>
      <c r="AU269" s="99"/>
      <c r="AV269" s="99"/>
      <c r="AW269" s="99"/>
      <c r="AX269" s="100"/>
      <c r="AY269" s="100"/>
      <c r="AZ269" s="100"/>
      <c r="BA269" s="100"/>
      <c r="BB269" s="100"/>
      <c r="BC269" s="100"/>
      <c r="CW269" s="1">
        <f t="shared" si="52"/>
        <v>0</v>
      </c>
      <c r="CX269" s="1">
        <f t="shared" si="53"/>
        <v>0</v>
      </c>
      <c r="CY269" s="43">
        <f t="shared" si="54"/>
        <v>0</v>
      </c>
      <c r="CZ269" s="43">
        <f t="shared" si="55"/>
        <v>0</v>
      </c>
      <c r="DA269" s="43">
        <f t="shared" si="56"/>
        <v>0</v>
      </c>
      <c r="DB269" s="43" t="str">
        <f t="shared" si="57"/>
        <v/>
      </c>
      <c r="DC269" s="50" t="str">
        <f t="shared" si="58"/>
        <v/>
      </c>
      <c r="DD269" s="50" t="str">
        <f t="shared" si="59"/>
        <v/>
      </c>
    </row>
    <row r="270" spans="12:108" ht="14.25" customHeight="1">
      <c r="L270" s="99"/>
      <c r="M270" s="99"/>
      <c r="N270" s="99"/>
      <c r="O270" s="99"/>
      <c r="P270" s="100"/>
      <c r="Q270" s="101"/>
      <c r="R270" s="101"/>
      <c r="S270" s="101"/>
      <c r="T270" s="101"/>
      <c r="U270" s="99"/>
      <c r="V270" s="99"/>
      <c r="W270" s="100"/>
      <c r="X270" s="100"/>
      <c r="Y270" s="99"/>
      <c r="Z270" s="99"/>
      <c r="AA270" s="100"/>
      <c r="AB270" s="100"/>
      <c r="AC270" s="100"/>
      <c r="AD270" s="100"/>
      <c r="AE270" s="99"/>
      <c r="AF270" s="99"/>
      <c r="AG270" s="100"/>
      <c r="AH270" s="100"/>
      <c r="AI270" s="99"/>
      <c r="AJ270" s="99"/>
      <c r="AK270" s="100"/>
      <c r="AL270" s="100"/>
      <c r="AM270" s="101"/>
      <c r="AN270" s="101"/>
      <c r="AO270" s="101"/>
      <c r="AP270" s="101"/>
      <c r="AQ270" s="19"/>
      <c r="AR270" s="19"/>
      <c r="AS270" s="19"/>
      <c r="AT270" s="99"/>
      <c r="AU270" s="99"/>
      <c r="AV270" s="99"/>
      <c r="AW270" s="99"/>
      <c r="AX270" s="100"/>
      <c r="AY270" s="100"/>
      <c r="AZ270" s="100"/>
      <c r="BA270" s="100"/>
      <c r="BB270" s="100"/>
      <c r="BC270" s="100"/>
      <c r="CW270" s="1">
        <f t="shared" si="52"/>
        <v>0</v>
      </c>
      <c r="CX270" s="1">
        <f t="shared" si="53"/>
        <v>0</v>
      </c>
      <c r="CY270" s="43">
        <f t="shared" si="54"/>
        <v>0</v>
      </c>
      <c r="CZ270" s="43">
        <f t="shared" si="55"/>
        <v>0</v>
      </c>
      <c r="DA270" s="43">
        <f t="shared" si="56"/>
        <v>0</v>
      </c>
      <c r="DB270" s="43" t="str">
        <f t="shared" si="57"/>
        <v/>
      </c>
      <c r="DC270" s="50" t="str">
        <f t="shared" si="58"/>
        <v/>
      </c>
      <c r="DD270" s="50" t="str">
        <f t="shared" si="59"/>
        <v/>
      </c>
    </row>
    <row r="271" spans="12:108" ht="14.25" customHeight="1">
      <c r="L271" s="99"/>
      <c r="M271" s="99"/>
      <c r="N271" s="99"/>
      <c r="O271" s="99"/>
      <c r="P271" s="100"/>
      <c r="Q271" s="101"/>
      <c r="R271" s="101"/>
      <c r="S271" s="101"/>
      <c r="T271" s="101"/>
      <c r="U271" s="47"/>
      <c r="V271" s="47"/>
      <c r="W271" s="47"/>
      <c r="X271" s="99"/>
      <c r="Y271" s="99"/>
      <c r="Z271" s="99"/>
      <c r="AA271" s="99"/>
      <c r="AB271" s="100"/>
      <c r="AC271" s="100"/>
      <c r="AD271" s="100"/>
      <c r="AE271" s="99"/>
      <c r="AF271" s="99"/>
      <c r="AG271" s="99"/>
      <c r="AH271" s="99"/>
      <c r="AI271" s="100"/>
      <c r="AJ271" s="100"/>
      <c r="AK271" s="100"/>
      <c r="AL271" s="47"/>
      <c r="AM271" s="101"/>
      <c r="AN271" s="101"/>
      <c r="AO271" s="101"/>
      <c r="AP271" s="101"/>
      <c r="AQ271" s="19"/>
      <c r="AR271" s="19"/>
      <c r="AS271" s="19"/>
      <c r="AT271" s="99"/>
      <c r="AU271" s="99"/>
      <c r="AV271" s="99"/>
      <c r="AW271" s="99"/>
      <c r="AX271" s="100"/>
      <c r="AY271" s="100"/>
      <c r="AZ271" s="100"/>
      <c r="BA271" s="100"/>
      <c r="BB271" s="100"/>
      <c r="BC271" s="100"/>
      <c r="CW271" s="1">
        <f t="shared" si="52"/>
        <v>0</v>
      </c>
      <c r="CX271" s="1">
        <f t="shared" si="53"/>
        <v>0</v>
      </c>
      <c r="CY271" s="43">
        <f t="shared" si="54"/>
        <v>0</v>
      </c>
      <c r="CZ271" s="43">
        <f t="shared" si="55"/>
        <v>0</v>
      </c>
      <c r="DA271" s="43">
        <f t="shared" si="56"/>
        <v>0</v>
      </c>
      <c r="DB271" s="43" t="str">
        <f t="shared" si="57"/>
        <v/>
      </c>
      <c r="DC271" s="50" t="str">
        <f t="shared" si="58"/>
        <v/>
      </c>
      <c r="DD271" s="50" t="str">
        <f t="shared" si="59"/>
        <v/>
      </c>
    </row>
    <row r="272" spans="12:108" ht="14.25" customHeight="1">
      <c r="L272" s="99"/>
      <c r="M272" s="99"/>
      <c r="N272" s="99"/>
      <c r="O272" s="99"/>
      <c r="P272" s="100"/>
      <c r="Q272" s="101"/>
      <c r="R272" s="101"/>
      <c r="S272" s="101"/>
      <c r="T272" s="101"/>
      <c r="U272" s="19"/>
      <c r="V272" s="19"/>
      <c r="W272" s="19"/>
      <c r="X272" s="99"/>
      <c r="Y272" s="99"/>
      <c r="Z272" s="99"/>
      <c r="AA272" s="99"/>
      <c r="AB272" s="100"/>
      <c r="AC272" s="100"/>
      <c r="AD272" s="100"/>
      <c r="AE272" s="99"/>
      <c r="AF272" s="99"/>
      <c r="AG272" s="99"/>
      <c r="AH272" s="99"/>
      <c r="AI272" s="100"/>
      <c r="AJ272" s="100"/>
      <c r="AK272" s="100"/>
      <c r="AL272" s="19"/>
      <c r="AM272" s="101"/>
      <c r="AN272" s="101"/>
      <c r="AO272" s="101"/>
      <c r="AP272" s="101"/>
      <c r="AQ272" s="19"/>
      <c r="AR272" s="19"/>
      <c r="AS272" s="19"/>
      <c r="AT272" s="99"/>
      <c r="AU272" s="99"/>
      <c r="AV272" s="99"/>
      <c r="AW272" s="99"/>
      <c r="AX272" s="100"/>
      <c r="AY272" s="100"/>
      <c r="AZ272" s="100"/>
      <c r="BA272" s="100"/>
      <c r="BB272" s="100"/>
      <c r="BC272" s="100"/>
      <c r="CW272" s="1">
        <f t="shared" si="52"/>
        <v>0</v>
      </c>
      <c r="CX272" s="1">
        <f t="shared" si="53"/>
        <v>0</v>
      </c>
      <c r="CY272" s="43">
        <f t="shared" si="54"/>
        <v>0</v>
      </c>
      <c r="CZ272" s="43">
        <f t="shared" si="55"/>
        <v>0</v>
      </c>
      <c r="DA272" s="43">
        <f t="shared" si="56"/>
        <v>0</v>
      </c>
      <c r="DB272" s="43" t="str">
        <f t="shared" si="57"/>
        <v/>
      </c>
      <c r="DC272" s="50" t="str">
        <f t="shared" si="58"/>
        <v/>
      </c>
      <c r="DD272" s="50" t="str">
        <f t="shared" si="59"/>
        <v/>
      </c>
    </row>
    <row r="273" spans="12:108" ht="14.25" customHeight="1">
      <c r="L273" s="99"/>
      <c r="M273" s="99"/>
      <c r="N273" s="99"/>
      <c r="O273" s="99"/>
      <c r="P273" s="100"/>
      <c r="Q273" s="101"/>
      <c r="R273" s="101"/>
      <c r="S273" s="101"/>
      <c r="T273" s="101"/>
      <c r="U273" s="19"/>
      <c r="V273" s="19"/>
      <c r="W273" s="19"/>
      <c r="X273" s="99"/>
      <c r="Y273" s="99"/>
      <c r="Z273" s="99"/>
      <c r="AA273" s="99"/>
      <c r="AB273" s="100"/>
      <c r="AC273" s="100"/>
      <c r="AD273" s="100"/>
      <c r="AE273" s="99"/>
      <c r="AF273" s="99"/>
      <c r="AG273" s="99"/>
      <c r="AH273" s="99"/>
      <c r="AI273" s="100"/>
      <c r="AJ273" s="100"/>
      <c r="AK273" s="100"/>
      <c r="AL273" s="19"/>
      <c r="AM273" s="101"/>
      <c r="AN273" s="101"/>
      <c r="AO273" s="101"/>
      <c r="AP273" s="101"/>
      <c r="AQ273" s="19"/>
      <c r="AR273" s="19"/>
      <c r="AS273" s="19"/>
      <c r="AT273" s="99"/>
      <c r="AU273" s="99"/>
      <c r="AV273" s="99"/>
      <c r="AW273" s="99"/>
      <c r="AX273" s="100"/>
      <c r="AY273" s="100"/>
      <c r="AZ273" s="100"/>
      <c r="BA273" s="100"/>
      <c r="BB273" s="100"/>
      <c r="BC273" s="100"/>
      <c r="CW273" s="1">
        <f t="shared" si="52"/>
        <v>0</v>
      </c>
      <c r="CX273" s="1">
        <f t="shared" si="53"/>
        <v>0</v>
      </c>
      <c r="CY273" s="43">
        <f t="shared" si="54"/>
        <v>0</v>
      </c>
      <c r="CZ273" s="43">
        <f t="shared" si="55"/>
        <v>0</v>
      </c>
      <c r="DA273" s="43">
        <f t="shared" si="56"/>
        <v>0</v>
      </c>
      <c r="DB273" s="43" t="str">
        <f t="shared" si="57"/>
        <v/>
      </c>
      <c r="DC273" s="50" t="str">
        <f t="shared" si="58"/>
        <v/>
      </c>
      <c r="DD273" s="50" t="str">
        <f t="shared" si="59"/>
        <v/>
      </c>
    </row>
    <row r="274" spans="12:108" ht="30.9" customHeight="1">
      <c r="L274" s="120"/>
      <c r="M274" s="120"/>
      <c r="N274" s="120"/>
      <c r="O274" s="121"/>
      <c r="P274" s="121"/>
      <c r="Q274" s="100"/>
      <c r="R274" s="100"/>
      <c r="S274" s="100"/>
      <c r="T274" s="100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  <c r="AH274" s="122"/>
      <c r="AI274" s="122"/>
      <c r="AJ274" s="122"/>
      <c r="AK274" s="122"/>
      <c r="AL274" s="122"/>
      <c r="AM274" s="122"/>
      <c r="AN274" s="122"/>
      <c r="AO274" s="122"/>
      <c r="AP274" s="122"/>
      <c r="AQ274" s="122"/>
      <c r="AR274" s="122"/>
      <c r="AS274" s="122"/>
      <c r="AT274" s="122"/>
      <c r="AU274" s="122"/>
      <c r="AV274" s="122"/>
      <c r="AW274" s="122"/>
      <c r="AX274" s="122"/>
      <c r="AY274" s="122"/>
      <c r="AZ274" s="122"/>
      <c r="BA274" s="122"/>
      <c r="BB274" s="122"/>
      <c r="BC274" s="122"/>
      <c r="CW274" s="1">
        <f t="shared" si="52"/>
        <v>0</v>
      </c>
      <c r="CX274" s="1">
        <f t="shared" si="53"/>
        <v>0</v>
      </c>
      <c r="CY274" s="43">
        <f t="shared" si="54"/>
        <v>0</v>
      </c>
      <c r="CZ274" s="43">
        <f t="shared" si="55"/>
        <v>0</v>
      </c>
      <c r="DA274" s="43">
        <f t="shared" si="56"/>
        <v>0</v>
      </c>
      <c r="DB274" s="43" t="str">
        <f t="shared" si="57"/>
        <v/>
      </c>
      <c r="DC274" s="50" t="str">
        <f t="shared" si="58"/>
        <v/>
      </c>
      <c r="DD274" s="50" t="str">
        <f t="shared" si="59"/>
        <v/>
      </c>
    </row>
    <row r="275" spans="12:108" ht="30.9" customHeight="1">
      <c r="L275" s="123"/>
      <c r="M275" s="123"/>
      <c r="O275" s="124"/>
      <c r="P275" s="124"/>
      <c r="Q275" s="100"/>
      <c r="R275" s="100"/>
      <c r="S275" s="100"/>
      <c r="T275" s="100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  <c r="AH275" s="122"/>
      <c r="AI275" s="122"/>
      <c r="AJ275" s="122"/>
      <c r="AK275" s="122"/>
      <c r="AL275" s="122"/>
      <c r="AM275" s="122"/>
      <c r="AN275" s="122"/>
      <c r="AO275" s="122"/>
      <c r="AP275" s="122"/>
      <c r="AQ275" s="122"/>
      <c r="AR275" s="122"/>
      <c r="AS275" s="122"/>
      <c r="AT275" s="122"/>
      <c r="AU275" s="122"/>
      <c r="AV275" s="122"/>
      <c r="AW275" s="122"/>
      <c r="AX275" s="122"/>
      <c r="AY275" s="122"/>
      <c r="AZ275" s="122"/>
      <c r="BA275" s="122"/>
      <c r="BB275" s="122"/>
      <c r="BC275" s="122"/>
      <c r="CW275" s="1">
        <f t="shared" si="52"/>
        <v>0</v>
      </c>
      <c r="CX275" s="1">
        <f t="shared" si="53"/>
        <v>0</v>
      </c>
      <c r="CY275" s="43">
        <f t="shared" si="54"/>
        <v>0</v>
      </c>
      <c r="CZ275" s="43">
        <f t="shared" si="55"/>
        <v>0</v>
      </c>
      <c r="DA275" s="43">
        <f t="shared" si="56"/>
        <v>0</v>
      </c>
      <c r="DB275" s="43" t="str">
        <f t="shared" si="57"/>
        <v/>
      </c>
      <c r="DC275" s="50" t="str">
        <f t="shared" si="58"/>
        <v/>
      </c>
      <c r="DD275" s="50" t="str">
        <f t="shared" si="59"/>
        <v/>
      </c>
    </row>
    <row r="276" spans="12:108" ht="12" customHeight="1">
      <c r="CW276" s="1">
        <f t="shared" si="52"/>
        <v>0</v>
      </c>
      <c r="CX276" s="1">
        <f t="shared" si="53"/>
        <v>0</v>
      </c>
      <c r="CY276" s="43">
        <f t="shared" si="54"/>
        <v>0</v>
      </c>
      <c r="CZ276" s="43">
        <f t="shared" si="55"/>
        <v>0</v>
      </c>
      <c r="DA276" s="43">
        <f t="shared" si="56"/>
        <v>0</v>
      </c>
      <c r="DB276" s="43" t="str">
        <f t="shared" si="57"/>
        <v/>
      </c>
      <c r="DC276" s="50" t="str">
        <f t="shared" si="58"/>
        <v/>
      </c>
      <c r="DD276" s="50" t="str">
        <f t="shared" si="59"/>
        <v/>
      </c>
    </row>
    <row r="277" spans="12:108" ht="15" customHeight="1">
      <c r="L277" s="5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17"/>
      <c r="AF277" s="17"/>
      <c r="AG277" s="17"/>
      <c r="AH277" s="17"/>
      <c r="AI277" s="17"/>
      <c r="AJ277" s="17"/>
      <c r="AK277" s="17"/>
      <c r="AL277" s="17"/>
      <c r="AM277" s="17"/>
      <c r="AN277" s="17"/>
      <c r="AO277" s="17"/>
      <c r="AP277" s="17"/>
      <c r="AQ277" s="17"/>
      <c r="AR277" s="17"/>
      <c r="AS277" s="17"/>
      <c r="AT277" s="17"/>
      <c r="AU277" s="17"/>
      <c r="AV277" s="17"/>
      <c r="AW277" s="17"/>
      <c r="AX277" s="17"/>
      <c r="AY277" s="17"/>
      <c r="AZ277" s="17"/>
      <c r="BA277" s="75"/>
      <c r="BB277" s="17"/>
      <c r="BC277" s="17"/>
      <c r="CW277" s="1">
        <f t="shared" si="52"/>
        <v>0</v>
      </c>
      <c r="CX277" s="1">
        <f t="shared" si="53"/>
        <v>0</v>
      </c>
      <c r="CY277" s="43">
        <f t="shared" si="54"/>
        <v>0</v>
      </c>
      <c r="CZ277" s="43">
        <f t="shared" si="55"/>
        <v>0</v>
      </c>
      <c r="DA277" s="43">
        <f t="shared" si="56"/>
        <v>0</v>
      </c>
      <c r="DB277" s="43" t="str">
        <f t="shared" si="57"/>
        <v/>
      </c>
      <c r="DC277" s="50" t="str">
        <f t="shared" si="58"/>
        <v/>
      </c>
      <c r="DD277" s="50" t="str">
        <f t="shared" si="59"/>
        <v/>
      </c>
    </row>
    <row r="278" spans="12:108" ht="22.5" customHeight="1">
      <c r="L278" s="91"/>
      <c r="M278" s="91"/>
      <c r="N278" s="91"/>
      <c r="O278" s="91"/>
      <c r="P278" s="91"/>
      <c r="Q278" s="91"/>
      <c r="R278" s="91"/>
      <c r="S278" s="91"/>
      <c r="T278" s="91"/>
      <c r="U278" s="91"/>
      <c r="V278" s="91"/>
      <c r="W278" s="91"/>
      <c r="X278" s="91"/>
      <c r="Y278" s="91"/>
      <c r="Z278" s="91"/>
      <c r="AA278" s="91"/>
      <c r="AB278" s="91"/>
      <c r="AC278" s="91"/>
      <c r="AD278" s="91"/>
      <c r="AE278" s="18"/>
      <c r="AF278" s="18"/>
      <c r="AG278" s="18"/>
      <c r="AH278" s="18"/>
      <c r="AI278" s="18"/>
      <c r="AJ278" s="18"/>
      <c r="AK278" s="18"/>
      <c r="AL278" s="18"/>
      <c r="AM278" s="18"/>
      <c r="AN278" s="18"/>
      <c r="AO278" s="18"/>
      <c r="AP278" s="18"/>
      <c r="AQ278" s="18"/>
      <c r="AR278" s="18"/>
      <c r="AS278" s="18"/>
      <c r="AT278" s="18"/>
      <c r="AU278" s="18"/>
      <c r="AV278" s="18"/>
      <c r="AW278" s="18"/>
      <c r="AX278" s="18"/>
      <c r="AY278" s="18"/>
      <c r="AZ278" s="18"/>
      <c r="BA278" s="18"/>
      <c r="BB278" s="18"/>
      <c r="BC278" s="18"/>
      <c r="CW278" s="1">
        <f t="shared" si="52"/>
        <v>0</v>
      </c>
      <c r="CX278" s="1">
        <f t="shared" si="53"/>
        <v>0</v>
      </c>
      <c r="CY278" s="43">
        <f t="shared" si="54"/>
        <v>0</v>
      </c>
      <c r="CZ278" s="43">
        <f t="shared" si="55"/>
        <v>0</v>
      </c>
      <c r="DA278" s="43">
        <f t="shared" si="56"/>
        <v>0</v>
      </c>
      <c r="DB278" s="43" t="str">
        <f t="shared" si="57"/>
        <v/>
      </c>
      <c r="DC278" s="50" t="str">
        <f t="shared" si="58"/>
        <v/>
      </c>
      <c r="DD278" s="50" t="str">
        <f t="shared" si="59"/>
        <v/>
      </c>
    </row>
    <row r="279" spans="12:108" ht="22.5" customHeight="1">
      <c r="L279" s="51"/>
      <c r="M279" s="91"/>
      <c r="N279" s="94"/>
      <c r="O279" s="94"/>
      <c r="P279" s="94"/>
      <c r="Q279" s="91"/>
      <c r="R279" s="117"/>
      <c r="S279" s="117"/>
      <c r="T279" s="117"/>
      <c r="U279" s="117"/>
      <c r="V279" s="117"/>
      <c r="W279" s="117"/>
      <c r="X279" s="117"/>
      <c r="Y279" s="117"/>
      <c r="Z279" s="117"/>
      <c r="AA279" s="117"/>
      <c r="AB279" s="117"/>
      <c r="AC279" s="117"/>
      <c r="AD279" s="117"/>
      <c r="AE279" s="117"/>
      <c r="AF279" s="117"/>
      <c r="AG279" s="117"/>
      <c r="AH279" s="117"/>
      <c r="AI279" s="117"/>
      <c r="AJ279" s="51"/>
      <c r="AK279" s="91"/>
      <c r="AL279" s="94"/>
      <c r="AM279" s="94"/>
      <c r="AN279" s="94"/>
      <c r="AO279" s="94"/>
      <c r="AP279" s="94"/>
      <c r="AQ279" s="91"/>
      <c r="AR279" s="94"/>
      <c r="AS279" s="94"/>
      <c r="AT279" s="94"/>
      <c r="AU279" s="94"/>
      <c r="AV279" s="94"/>
      <c r="AW279" s="94"/>
      <c r="AX279" s="94"/>
      <c r="AY279" s="94"/>
      <c r="AZ279" s="94"/>
      <c r="BA279" s="94"/>
      <c r="BB279" s="94"/>
      <c r="BC279" s="94"/>
      <c r="CW279" s="1">
        <f t="shared" si="52"/>
        <v>0</v>
      </c>
      <c r="CX279" s="1">
        <f t="shared" si="53"/>
        <v>0</v>
      </c>
      <c r="CY279" s="43">
        <f t="shared" si="54"/>
        <v>0</v>
      </c>
      <c r="CZ279" s="43">
        <f t="shared" si="55"/>
        <v>0</v>
      </c>
      <c r="DA279" s="43">
        <f t="shared" si="56"/>
        <v>0</v>
      </c>
      <c r="DB279" s="43" t="str">
        <f t="shared" si="57"/>
        <v/>
      </c>
      <c r="DC279" s="50" t="str">
        <f t="shared" si="58"/>
        <v/>
      </c>
      <c r="DD279" s="50" t="str">
        <f t="shared" si="59"/>
        <v/>
      </c>
    </row>
    <row r="280" spans="12:108" ht="21.75" customHeight="1">
      <c r="L280" s="41"/>
      <c r="M280" s="94"/>
      <c r="N280" s="94"/>
      <c r="O280" s="94"/>
      <c r="P280" s="94"/>
      <c r="Q280" s="117"/>
      <c r="R280" s="117"/>
      <c r="S280" s="117"/>
      <c r="T280" s="117"/>
      <c r="U280" s="117"/>
      <c r="V280" s="117"/>
      <c r="W280" s="117"/>
      <c r="X280" s="117"/>
      <c r="Y280" s="117"/>
      <c r="Z280" s="117"/>
      <c r="AA280" s="117"/>
      <c r="AB280" s="117"/>
      <c r="AC280" s="117"/>
      <c r="AD280" s="117"/>
      <c r="AE280" s="117"/>
      <c r="AF280" s="117"/>
      <c r="AG280" s="117"/>
      <c r="AH280" s="117"/>
      <c r="AI280" s="117"/>
      <c r="AJ280" s="41"/>
      <c r="AK280" s="94"/>
      <c r="AL280" s="94"/>
      <c r="AM280" s="94"/>
      <c r="AN280" s="94"/>
      <c r="AO280" s="94"/>
      <c r="AP280" s="94"/>
      <c r="AQ280" s="94"/>
      <c r="AR280" s="94"/>
      <c r="AS280" s="94"/>
      <c r="AT280" s="94"/>
      <c r="AU280" s="94"/>
      <c r="AV280" s="94"/>
      <c r="AW280" s="94"/>
      <c r="AX280" s="94"/>
      <c r="AY280" s="94"/>
      <c r="AZ280" s="94"/>
      <c r="BA280" s="94"/>
      <c r="BB280" s="94"/>
      <c r="BC280" s="94"/>
      <c r="CW280" s="1">
        <f t="shared" si="52"/>
        <v>0</v>
      </c>
      <c r="CX280" s="1">
        <f t="shared" si="53"/>
        <v>0</v>
      </c>
      <c r="CY280" s="43">
        <f t="shared" si="54"/>
        <v>0</v>
      </c>
      <c r="CZ280" s="43">
        <f t="shared" si="55"/>
        <v>0</v>
      </c>
      <c r="DA280" s="43">
        <f t="shared" si="56"/>
        <v>0</v>
      </c>
      <c r="DB280" s="43" t="str">
        <f t="shared" si="57"/>
        <v/>
      </c>
      <c r="DC280" s="50" t="str">
        <f t="shared" si="58"/>
        <v/>
      </c>
      <c r="DD280" s="50" t="str">
        <f t="shared" si="59"/>
        <v/>
      </c>
    </row>
    <row r="281" spans="12:108" ht="14.4">
      <c r="L281" s="52"/>
      <c r="M281" s="96"/>
      <c r="N281" s="96"/>
      <c r="O281" s="96"/>
      <c r="P281" s="96"/>
      <c r="Q281" s="60"/>
      <c r="R281" s="96"/>
      <c r="S281" s="96"/>
      <c r="T281" s="96"/>
      <c r="U281" s="96"/>
      <c r="V281" s="96"/>
      <c r="W281" s="96"/>
      <c r="X281" s="96"/>
      <c r="Y281" s="96"/>
      <c r="Z281" s="96"/>
      <c r="AA281" s="96"/>
      <c r="AB281" s="96"/>
      <c r="AC281" s="96"/>
      <c r="AD281" s="96"/>
      <c r="AE281" s="96"/>
      <c r="AF281" s="96"/>
      <c r="AG281" s="96"/>
      <c r="AH281" s="96"/>
      <c r="AI281" s="96"/>
      <c r="AJ281" s="96"/>
      <c r="AK281" s="96"/>
      <c r="AL281" s="96"/>
      <c r="AM281" s="96"/>
      <c r="AN281" s="96"/>
      <c r="AO281" s="96"/>
      <c r="AP281" s="96"/>
      <c r="AQ281" s="96"/>
      <c r="AR281" s="96"/>
      <c r="AS281" s="96"/>
      <c r="AT281" s="96"/>
      <c r="AU281" s="96"/>
      <c r="AV281" s="96"/>
      <c r="AW281" s="96"/>
      <c r="AX281" s="96"/>
      <c r="AY281" s="96"/>
      <c r="AZ281" s="96"/>
      <c r="BA281" s="96"/>
      <c r="BB281" s="96"/>
      <c r="BC281" s="96"/>
      <c r="BD281" s="20"/>
      <c r="BE281" s="20"/>
      <c r="BF281" s="20"/>
      <c r="BG281" s="20"/>
      <c r="BH281" s="20"/>
      <c r="CW281" s="1">
        <f t="shared" si="52"/>
        <v>0</v>
      </c>
      <c r="CX281" s="1">
        <f t="shared" si="53"/>
        <v>0</v>
      </c>
      <c r="CY281" s="43">
        <f t="shared" si="54"/>
        <v>0</v>
      </c>
      <c r="CZ281" s="43">
        <f t="shared" si="55"/>
        <v>0</v>
      </c>
      <c r="DA281" s="43">
        <f t="shared" si="56"/>
        <v>0</v>
      </c>
      <c r="DB281" s="43" t="str">
        <f t="shared" si="57"/>
        <v/>
      </c>
      <c r="DC281" s="50" t="str">
        <f t="shared" si="58"/>
        <v/>
      </c>
      <c r="DD281" s="50" t="str">
        <f t="shared" si="59"/>
        <v/>
      </c>
    </row>
    <row r="282" spans="12:108" ht="14.4">
      <c r="L282" s="54"/>
      <c r="M282" s="96"/>
      <c r="N282" s="96"/>
      <c r="O282" s="96"/>
      <c r="P282" s="96"/>
      <c r="Q282" s="61"/>
      <c r="R282" s="96"/>
      <c r="S282" s="96"/>
      <c r="T282" s="96"/>
      <c r="U282" s="96"/>
      <c r="V282" s="96"/>
      <c r="W282" s="96"/>
      <c r="X282" s="96"/>
      <c r="Y282" s="96"/>
      <c r="Z282" s="96"/>
      <c r="AA282" s="96"/>
      <c r="AB282" s="96"/>
      <c r="AC282" s="96"/>
      <c r="AD282" s="96"/>
      <c r="AE282" s="96"/>
      <c r="AF282" s="96"/>
      <c r="AG282" s="96"/>
      <c r="AH282" s="96"/>
      <c r="AI282" s="96"/>
      <c r="AJ282" s="96"/>
      <c r="AK282" s="96"/>
      <c r="AL282" s="96"/>
      <c r="AM282" s="96"/>
      <c r="AN282" s="96"/>
      <c r="AO282" s="96"/>
      <c r="AP282" s="96"/>
      <c r="AQ282" s="96"/>
      <c r="AR282" s="96"/>
      <c r="AS282" s="96"/>
      <c r="AT282" s="96"/>
      <c r="AU282" s="96"/>
      <c r="AV282" s="96"/>
      <c r="AW282" s="96"/>
      <c r="AX282" s="96"/>
      <c r="AY282" s="96"/>
      <c r="AZ282" s="96"/>
      <c r="BA282" s="96"/>
      <c r="BB282" s="96"/>
      <c r="BC282" s="96"/>
      <c r="BD282" s="20"/>
      <c r="BE282" s="20"/>
      <c r="BF282" s="20"/>
      <c r="BG282" s="20"/>
      <c r="BH282" s="20"/>
      <c r="CW282" s="1">
        <f t="shared" si="52"/>
        <v>0</v>
      </c>
      <c r="CX282" s="1">
        <f t="shared" si="53"/>
        <v>0</v>
      </c>
      <c r="CY282" s="43">
        <f t="shared" si="54"/>
        <v>0</v>
      </c>
      <c r="CZ282" s="43">
        <f t="shared" si="55"/>
        <v>0</v>
      </c>
      <c r="DA282" s="43">
        <f t="shared" si="56"/>
        <v>0</v>
      </c>
      <c r="DB282" s="43" t="str">
        <f t="shared" si="57"/>
        <v/>
      </c>
      <c r="DC282" s="50" t="str">
        <f t="shared" si="58"/>
        <v/>
      </c>
      <c r="DD282" s="50" t="str">
        <f t="shared" si="59"/>
        <v/>
      </c>
    </row>
    <row r="283" spans="12:108" ht="15" customHeight="1">
      <c r="L283" s="99"/>
      <c r="M283" s="99"/>
      <c r="N283" s="99"/>
      <c r="O283" s="99"/>
      <c r="P283" s="100"/>
      <c r="Q283" s="101"/>
      <c r="R283" s="101"/>
      <c r="S283" s="101"/>
      <c r="T283" s="101"/>
      <c r="U283" s="99"/>
      <c r="V283" s="99"/>
      <c r="W283" s="100"/>
      <c r="X283" s="100"/>
      <c r="Y283" s="99"/>
      <c r="Z283" s="99"/>
      <c r="AA283" s="100"/>
      <c r="AB283" s="100"/>
      <c r="AC283" s="100"/>
      <c r="AD283" s="100"/>
      <c r="AE283" s="99"/>
      <c r="AF283" s="99"/>
      <c r="AG283" s="100"/>
      <c r="AH283" s="100"/>
      <c r="AI283" s="99"/>
      <c r="AJ283" s="99"/>
      <c r="AK283" s="100"/>
      <c r="AL283" s="100"/>
      <c r="AM283" s="101"/>
      <c r="AN283" s="101"/>
      <c r="AO283" s="101"/>
      <c r="AP283" s="101"/>
      <c r="AQ283" s="19"/>
      <c r="AR283" s="19"/>
      <c r="AS283" s="19"/>
      <c r="AT283" s="99"/>
      <c r="AU283" s="99"/>
      <c r="AV283" s="99"/>
      <c r="AW283" s="99"/>
      <c r="AX283" s="100"/>
      <c r="AY283" s="100"/>
      <c r="AZ283" s="100"/>
      <c r="BA283" s="100"/>
      <c r="BB283" s="100"/>
      <c r="BC283" s="100"/>
      <c r="CW283" s="1">
        <f t="shared" si="52"/>
        <v>0</v>
      </c>
      <c r="CX283" s="1">
        <f t="shared" si="53"/>
        <v>0</v>
      </c>
      <c r="CY283" s="43">
        <f t="shared" si="54"/>
        <v>0</v>
      </c>
      <c r="CZ283" s="43">
        <f t="shared" si="55"/>
        <v>0</v>
      </c>
      <c r="DA283" s="43">
        <f t="shared" si="56"/>
        <v>0</v>
      </c>
      <c r="DB283" s="43" t="str">
        <f t="shared" si="57"/>
        <v/>
      </c>
      <c r="DC283" s="50" t="str">
        <f t="shared" si="58"/>
        <v/>
      </c>
      <c r="DD283" s="50" t="str">
        <f t="shared" si="59"/>
        <v/>
      </c>
    </row>
    <row r="284" spans="12:108" ht="14.25" customHeight="1">
      <c r="L284" s="99"/>
      <c r="M284" s="99"/>
      <c r="N284" s="99"/>
      <c r="O284" s="99"/>
      <c r="P284" s="100"/>
      <c r="Q284" s="101"/>
      <c r="R284" s="101"/>
      <c r="S284" s="101"/>
      <c r="T284" s="101"/>
      <c r="U284" s="99"/>
      <c r="V284" s="99"/>
      <c r="W284" s="100"/>
      <c r="X284" s="100"/>
      <c r="Y284" s="99"/>
      <c r="Z284" s="99"/>
      <c r="AA284" s="100"/>
      <c r="AB284" s="100"/>
      <c r="AC284" s="100"/>
      <c r="AD284" s="100"/>
      <c r="AE284" s="99"/>
      <c r="AF284" s="99"/>
      <c r="AG284" s="100"/>
      <c r="AH284" s="100"/>
      <c r="AI284" s="99"/>
      <c r="AJ284" s="99"/>
      <c r="AK284" s="100"/>
      <c r="AL284" s="100"/>
      <c r="AM284" s="101"/>
      <c r="AN284" s="101"/>
      <c r="AO284" s="101"/>
      <c r="AP284" s="101"/>
      <c r="AQ284" s="19"/>
      <c r="AR284" s="19"/>
      <c r="AS284" s="19"/>
      <c r="AT284" s="99"/>
      <c r="AU284" s="99"/>
      <c r="AV284" s="99"/>
      <c r="AW284" s="99"/>
      <c r="AX284" s="100"/>
      <c r="AY284" s="100"/>
      <c r="AZ284" s="100"/>
      <c r="BA284" s="100"/>
      <c r="BB284" s="100"/>
      <c r="BC284" s="100"/>
      <c r="CW284" s="1">
        <f t="shared" si="52"/>
        <v>0</v>
      </c>
      <c r="CX284" s="1">
        <f t="shared" si="53"/>
        <v>0</v>
      </c>
      <c r="CY284" s="43">
        <f t="shared" si="54"/>
        <v>0</v>
      </c>
      <c r="CZ284" s="43">
        <f t="shared" si="55"/>
        <v>0</v>
      </c>
      <c r="DA284" s="43">
        <f t="shared" si="56"/>
        <v>0</v>
      </c>
      <c r="DB284" s="43" t="str">
        <f t="shared" si="57"/>
        <v/>
      </c>
      <c r="DC284" s="50" t="str">
        <f t="shared" si="58"/>
        <v/>
      </c>
      <c r="DD284" s="50" t="str">
        <f t="shared" si="59"/>
        <v/>
      </c>
    </row>
    <row r="285" spans="12:108" ht="14.25" customHeight="1">
      <c r="L285" s="99"/>
      <c r="M285" s="99"/>
      <c r="N285" s="99"/>
      <c r="O285" s="99"/>
      <c r="P285" s="100"/>
      <c r="Q285" s="101"/>
      <c r="R285" s="101"/>
      <c r="S285" s="101"/>
      <c r="T285" s="101"/>
      <c r="U285" s="99"/>
      <c r="V285" s="99"/>
      <c r="W285" s="100"/>
      <c r="X285" s="100"/>
      <c r="Y285" s="99"/>
      <c r="Z285" s="99"/>
      <c r="AA285" s="100"/>
      <c r="AB285" s="100"/>
      <c r="AC285" s="100"/>
      <c r="AD285" s="100"/>
      <c r="AE285" s="99"/>
      <c r="AF285" s="99"/>
      <c r="AG285" s="100"/>
      <c r="AH285" s="100"/>
      <c r="AI285" s="99"/>
      <c r="AJ285" s="99"/>
      <c r="AK285" s="100"/>
      <c r="AL285" s="100"/>
      <c r="AM285" s="101"/>
      <c r="AN285" s="101"/>
      <c r="AO285" s="101"/>
      <c r="AP285" s="101"/>
      <c r="AQ285" s="19"/>
      <c r="AR285" s="19"/>
      <c r="AS285" s="19"/>
      <c r="AT285" s="99"/>
      <c r="AU285" s="99"/>
      <c r="AV285" s="99"/>
      <c r="AW285" s="99"/>
      <c r="AX285" s="100"/>
      <c r="AY285" s="100"/>
      <c r="AZ285" s="100"/>
      <c r="BA285" s="100"/>
      <c r="BB285" s="100"/>
      <c r="BC285" s="100"/>
      <c r="CW285" s="1">
        <f t="shared" si="52"/>
        <v>0</v>
      </c>
      <c r="CX285" s="1">
        <f t="shared" si="53"/>
        <v>0</v>
      </c>
      <c r="CY285" s="43">
        <f t="shared" si="54"/>
        <v>0</v>
      </c>
      <c r="CZ285" s="43">
        <f t="shared" si="55"/>
        <v>0</v>
      </c>
      <c r="DA285" s="43">
        <f t="shared" si="56"/>
        <v>0</v>
      </c>
      <c r="DB285" s="43" t="str">
        <f t="shared" si="57"/>
        <v/>
      </c>
      <c r="DC285" s="50" t="str">
        <f t="shared" si="58"/>
        <v/>
      </c>
      <c r="DD285" s="50" t="str">
        <f t="shared" si="59"/>
        <v/>
      </c>
    </row>
    <row r="286" spans="12:108" ht="14.25" customHeight="1">
      <c r="L286" s="99"/>
      <c r="M286" s="99"/>
      <c r="N286" s="99"/>
      <c r="O286" s="99"/>
      <c r="P286" s="100"/>
      <c r="Q286" s="101"/>
      <c r="R286" s="101"/>
      <c r="S286" s="101"/>
      <c r="T286" s="101"/>
      <c r="U286" s="47"/>
      <c r="V286" s="47"/>
      <c r="W286" s="47"/>
      <c r="X286" s="99"/>
      <c r="Y286" s="99"/>
      <c r="Z286" s="99"/>
      <c r="AA286" s="99"/>
      <c r="AB286" s="100"/>
      <c r="AC286" s="100"/>
      <c r="AD286" s="100"/>
      <c r="AE286" s="99"/>
      <c r="AF286" s="99"/>
      <c r="AG286" s="99"/>
      <c r="AH286" s="99"/>
      <c r="AI286" s="100"/>
      <c r="AJ286" s="100"/>
      <c r="AK286" s="100"/>
      <c r="AL286" s="47"/>
      <c r="AM286" s="101"/>
      <c r="AN286" s="101"/>
      <c r="AO286" s="101"/>
      <c r="AP286" s="101"/>
      <c r="AQ286" s="19"/>
      <c r="AR286" s="19"/>
      <c r="AS286" s="19"/>
      <c r="AT286" s="99"/>
      <c r="AU286" s="99"/>
      <c r="AV286" s="99"/>
      <c r="AW286" s="99"/>
      <c r="AX286" s="100"/>
      <c r="AY286" s="100"/>
      <c r="AZ286" s="100"/>
      <c r="BA286" s="100"/>
      <c r="BB286" s="100"/>
      <c r="BC286" s="100"/>
      <c r="CW286" s="1">
        <f t="shared" si="52"/>
        <v>0</v>
      </c>
      <c r="CX286" s="1">
        <f t="shared" si="53"/>
        <v>0</v>
      </c>
      <c r="CY286" s="43">
        <f t="shared" si="54"/>
        <v>0</v>
      </c>
      <c r="CZ286" s="43">
        <f t="shared" si="55"/>
        <v>0</v>
      </c>
      <c r="DA286" s="43">
        <f t="shared" si="56"/>
        <v>0</v>
      </c>
      <c r="DB286" s="43" t="str">
        <f t="shared" si="57"/>
        <v/>
      </c>
      <c r="DC286" s="50" t="str">
        <f t="shared" si="58"/>
        <v/>
      </c>
      <c r="DD286" s="50" t="str">
        <f t="shared" si="59"/>
        <v/>
      </c>
    </row>
    <row r="287" spans="12:108" ht="14.25" customHeight="1">
      <c r="L287" s="99"/>
      <c r="M287" s="99"/>
      <c r="N287" s="99"/>
      <c r="O287" s="99"/>
      <c r="P287" s="100"/>
      <c r="Q287" s="101"/>
      <c r="R287" s="101"/>
      <c r="S287" s="101"/>
      <c r="T287" s="101"/>
      <c r="U287" s="19"/>
      <c r="V287" s="19"/>
      <c r="W287" s="19"/>
      <c r="X287" s="99"/>
      <c r="Y287" s="99"/>
      <c r="Z287" s="99"/>
      <c r="AA287" s="99"/>
      <c r="AB287" s="100"/>
      <c r="AC287" s="100"/>
      <c r="AD287" s="100"/>
      <c r="AE287" s="99"/>
      <c r="AF287" s="99"/>
      <c r="AG287" s="99"/>
      <c r="AH287" s="99"/>
      <c r="AI287" s="100"/>
      <c r="AJ287" s="100"/>
      <c r="AK287" s="100"/>
      <c r="AL287" s="19"/>
      <c r="AM287" s="101"/>
      <c r="AN287" s="101"/>
      <c r="AO287" s="101"/>
      <c r="AP287" s="101"/>
      <c r="AQ287" s="19"/>
      <c r="AR287" s="19"/>
      <c r="AS287" s="19"/>
      <c r="AT287" s="99"/>
      <c r="AU287" s="99"/>
      <c r="AV287" s="99"/>
      <c r="AW287" s="99"/>
      <c r="AX287" s="100"/>
      <c r="AY287" s="100"/>
      <c r="AZ287" s="100"/>
      <c r="BA287" s="100"/>
      <c r="BB287" s="100"/>
      <c r="BC287" s="100"/>
      <c r="CW287" s="1">
        <f t="shared" si="52"/>
        <v>0</v>
      </c>
      <c r="CX287" s="1">
        <f t="shared" si="53"/>
        <v>0</v>
      </c>
      <c r="CY287" s="43">
        <f t="shared" si="54"/>
        <v>0</v>
      </c>
      <c r="CZ287" s="43">
        <f t="shared" si="55"/>
        <v>0</v>
      </c>
      <c r="DA287" s="43">
        <f t="shared" si="56"/>
        <v>0</v>
      </c>
      <c r="DB287" s="43" t="str">
        <f t="shared" si="57"/>
        <v/>
      </c>
      <c r="DC287" s="50" t="str">
        <f t="shared" si="58"/>
        <v/>
      </c>
      <c r="DD287" s="50" t="str">
        <f t="shared" si="59"/>
        <v/>
      </c>
    </row>
    <row r="288" spans="12:108" ht="14.25" customHeight="1">
      <c r="L288" s="99"/>
      <c r="M288" s="99"/>
      <c r="N288" s="99"/>
      <c r="O288" s="99"/>
      <c r="P288" s="100"/>
      <c r="Q288" s="101"/>
      <c r="R288" s="101"/>
      <c r="S288" s="101"/>
      <c r="T288" s="101"/>
      <c r="U288" s="19"/>
      <c r="V288" s="19"/>
      <c r="W288" s="19"/>
      <c r="X288" s="99"/>
      <c r="Y288" s="99"/>
      <c r="Z288" s="99"/>
      <c r="AA288" s="99"/>
      <c r="AB288" s="100"/>
      <c r="AC288" s="100"/>
      <c r="AD288" s="100"/>
      <c r="AE288" s="99"/>
      <c r="AF288" s="99"/>
      <c r="AG288" s="99"/>
      <c r="AH288" s="99"/>
      <c r="AI288" s="100"/>
      <c r="AJ288" s="100"/>
      <c r="AK288" s="100"/>
      <c r="AL288" s="19"/>
      <c r="AM288" s="101"/>
      <c r="AN288" s="101"/>
      <c r="AO288" s="101"/>
      <c r="AP288" s="101"/>
      <c r="AQ288" s="19"/>
      <c r="AR288" s="19"/>
      <c r="AS288" s="19"/>
      <c r="AT288" s="99"/>
      <c r="AU288" s="99"/>
      <c r="AV288" s="99"/>
      <c r="AW288" s="99"/>
      <c r="AX288" s="100"/>
      <c r="AY288" s="100"/>
      <c r="AZ288" s="100"/>
      <c r="BA288" s="100"/>
      <c r="BB288" s="100"/>
      <c r="BC288" s="100"/>
      <c r="CW288" s="1">
        <f t="shared" si="52"/>
        <v>0</v>
      </c>
      <c r="CX288" s="1">
        <f t="shared" si="53"/>
        <v>0</v>
      </c>
      <c r="CY288" s="43">
        <f t="shared" si="54"/>
        <v>0</v>
      </c>
      <c r="CZ288" s="43">
        <f t="shared" si="55"/>
        <v>0</v>
      </c>
      <c r="DA288" s="43">
        <f t="shared" si="56"/>
        <v>0</v>
      </c>
      <c r="DB288" s="43" t="str">
        <f t="shared" si="57"/>
        <v/>
      </c>
      <c r="DC288" s="50" t="str">
        <f t="shared" si="58"/>
        <v/>
      </c>
      <c r="DD288" s="50" t="str">
        <f t="shared" si="59"/>
        <v/>
      </c>
    </row>
    <row r="289" spans="12:108" ht="30.9" customHeight="1">
      <c r="L289" s="120"/>
      <c r="M289" s="120"/>
      <c r="N289" s="120"/>
      <c r="O289" s="121"/>
      <c r="P289" s="121"/>
      <c r="Q289" s="100"/>
      <c r="R289" s="100"/>
      <c r="S289" s="100"/>
      <c r="T289" s="100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  <c r="AH289" s="122"/>
      <c r="AI289" s="122"/>
      <c r="AJ289" s="122"/>
      <c r="AK289" s="122"/>
      <c r="AL289" s="122"/>
      <c r="AM289" s="122"/>
      <c r="AN289" s="122"/>
      <c r="AO289" s="122"/>
      <c r="AP289" s="122"/>
      <c r="AQ289" s="122"/>
      <c r="AR289" s="122"/>
      <c r="AS289" s="122"/>
      <c r="AT289" s="122"/>
      <c r="AU289" s="122"/>
      <c r="AV289" s="122"/>
      <c r="AW289" s="122"/>
      <c r="AX289" s="122"/>
      <c r="AY289" s="122"/>
      <c r="AZ289" s="122"/>
      <c r="BA289" s="122"/>
      <c r="BB289" s="122"/>
      <c r="BC289" s="122"/>
      <c r="CW289" s="1">
        <f t="shared" si="52"/>
        <v>0</v>
      </c>
      <c r="CX289" s="1">
        <f t="shared" si="53"/>
        <v>0</v>
      </c>
      <c r="CY289" s="43">
        <f t="shared" si="54"/>
        <v>0</v>
      </c>
      <c r="CZ289" s="43">
        <f t="shared" si="55"/>
        <v>0</v>
      </c>
      <c r="DA289" s="43">
        <f t="shared" si="56"/>
        <v>0</v>
      </c>
      <c r="DB289" s="43" t="str">
        <f t="shared" si="57"/>
        <v/>
      </c>
      <c r="DC289" s="50" t="str">
        <f t="shared" si="58"/>
        <v/>
      </c>
      <c r="DD289" s="50" t="str">
        <f t="shared" si="59"/>
        <v/>
      </c>
    </row>
    <row r="290" spans="12:108" ht="30.9" customHeight="1">
      <c r="L290" s="123"/>
      <c r="M290" s="123"/>
      <c r="O290" s="124"/>
      <c r="P290" s="124"/>
      <c r="Q290" s="100"/>
      <c r="R290" s="100"/>
      <c r="S290" s="100"/>
      <c r="T290" s="100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  <c r="AH290" s="122"/>
      <c r="AI290" s="122"/>
      <c r="AJ290" s="122"/>
      <c r="AK290" s="122"/>
      <c r="AL290" s="122"/>
      <c r="AM290" s="122"/>
      <c r="AN290" s="122"/>
      <c r="AO290" s="122"/>
      <c r="AP290" s="122"/>
      <c r="AQ290" s="122"/>
      <c r="AR290" s="122"/>
      <c r="AS290" s="122"/>
      <c r="AT290" s="122"/>
      <c r="AU290" s="122"/>
      <c r="AV290" s="122"/>
      <c r="AW290" s="122"/>
      <c r="AX290" s="122"/>
      <c r="AY290" s="122"/>
      <c r="AZ290" s="122"/>
      <c r="BA290" s="122"/>
      <c r="BB290" s="122"/>
      <c r="BC290" s="122"/>
      <c r="CW290" s="1">
        <f t="shared" si="52"/>
        <v>0</v>
      </c>
      <c r="CX290" s="1">
        <f t="shared" si="53"/>
        <v>0</v>
      </c>
      <c r="CY290" s="43">
        <f t="shared" si="54"/>
        <v>0</v>
      </c>
      <c r="CZ290" s="43">
        <f t="shared" si="55"/>
        <v>0</v>
      </c>
      <c r="DA290" s="43">
        <f t="shared" si="56"/>
        <v>0</v>
      </c>
      <c r="DB290" s="43" t="str">
        <f t="shared" si="57"/>
        <v/>
      </c>
      <c r="DC290" s="50" t="str">
        <f t="shared" si="58"/>
        <v/>
      </c>
      <c r="DD290" s="50" t="str">
        <f t="shared" si="59"/>
        <v/>
      </c>
    </row>
    <row r="291" spans="12:108" ht="15" customHeight="1">
      <c r="L291" s="99"/>
      <c r="M291" s="99"/>
      <c r="N291" s="99"/>
      <c r="O291" s="99"/>
      <c r="P291" s="100"/>
      <c r="Q291" s="101"/>
      <c r="R291" s="101"/>
      <c r="S291" s="101"/>
      <c r="T291" s="101"/>
      <c r="U291" s="99"/>
      <c r="V291" s="99"/>
      <c r="W291" s="100"/>
      <c r="X291" s="100"/>
      <c r="Y291" s="99"/>
      <c r="Z291" s="99"/>
      <c r="AA291" s="100"/>
      <c r="AB291" s="100"/>
      <c r="AC291" s="100"/>
      <c r="AD291" s="100"/>
      <c r="AE291" s="99"/>
      <c r="AF291" s="99"/>
      <c r="AG291" s="100"/>
      <c r="AH291" s="100"/>
      <c r="AI291" s="99"/>
      <c r="AJ291" s="99"/>
      <c r="AK291" s="100"/>
      <c r="AL291" s="100"/>
      <c r="AM291" s="101"/>
      <c r="AN291" s="101"/>
      <c r="AO291" s="101"/>
      <c r="AP291" s="101"/>
      <c r="AQ291" s="19"/>
      <c r="AR291" s="19"/>
      <c r="AS291" s="19"/>
      <c r="AT291" s="99"/>
      <c r="AU291" s="99"/>
      <c r="AV291" s="99"/>
      <c r="AW291" s="99"/>
      <c r="AX291" s="100"/>
      <c r="AY291" s="100"/>
      <c r="AZ291" s="100"/>
      <c r="BA291" s="100"/>
      <c r="BB291" s="100"/>
      <c r="BC291" s="100"/>
      <c r="CW291" s="1">
        <f t="shared" si="52"/>
        <v>0</v>
      </c>
      <c r="CX291" s="1">
        <f t="shared" si="53"/>
        <v>0</v>
      </c>
      <c r="CY291" s="43">
        <f t="shared" si="54"/>
        <v>0</v>
      </c>
      <c r="CZ291" s="43">
        <f t="shared" si="55"/>
        <v>0</v>
      </c>
      <c r="DA291" s="43">
        <f t="shared" si="56"/>
        <v>0</v>
      </c>
      <c r="DB291" s="43" t="str">
        <f t="shared" si="57"/>
        <v/>
      </c>
      <c r="DC291" s="50" t="str">
        <f t="shared" si="58"/>
        <v/>
      </c>
      <c r="DD291" s="50" t="str">
        <f t="shared" si="59"/>
        <v/>
      </c>
    </row>
    <row r="292" spans="12:108" ht="14.25" customHeight="1">
      <c r="L292" s="99"/>
      <c r="M292" s="99"/>
      <c r="N292" s="99"/>
      <c r="O292" s="99"/>
      <c r="P292" s="100"/>
      <c r="Q292" s="101"/>
      <c r="R292" s="101"/>
      <c r="S292" s="101"/>
      <c r="T292" s="101"/>
      <c r="U292" s="99"/>
      <c r="V292" s="99"/>
      <c r="W292" s="100"/>
      <c r="X292" s="100"/>
      <c r="Y292" s="99"/>
      <c r="Z292" s="99"/>
      <c r="AA292" s="100"/>
      <c r="AB292" s="100"/>
      <c r="AC292" s="100"/>
      <c r="AD292" s="100"/>
      <c r="AE292" s="99"/>
      <c r="AF292" s="99"/>
      <c r="AG292" s="100"/>
      <c r="AH292" s="100"/>
      <c r="AI292" s="99"/>
      <c r="AJ292" s="99"/>
      <c r="AK292" s="100"/>
      <c r="AL292" s="100"/>
      <c r="AM292" s="101"/>
      <c r="AN292" s="101"/>
      <c r="AO292" s="101"/>
      <c r="AP292" s="101"/>
      <c r="AQ292" s="19"/>
      <c r="AR292" s="19"/>
      <c r="AS292" s="19"/>
      <c r="AT292" s="99"/>
      <c r="AU292" s="99"/>
      <c r="AV292" s="99"/>
      <c r="AW292" s="99"/>
      <c r="AX292" s="100"/>
      <c r="AY292" s="100"/>
      <c r="AZ292" s="100"/>
      <c r="BA292" s="100"/>
      <c r="BB292" s="100"/>
      <c r="BC292" s="100"/>
      <c r="CW292" s="1">
        <f t="shared" si="52"/>
        <v>0</v>
      </c>
      <c r="CX292" s="1">
        <f t="shared" si="53"/>
        <v>0</v>
      </c>
      <c r="CY292" s="43">
        <f t="shared" si="54"/>
        <v>0</v>
      </c>
      <c r="CZ292" s="43">
        <f t="shared" si="55"/>
        <v>0</v>
      </c>
      <c r="DA292" s="43">
        <f t="shared" si="56"/>
        <v>0</v>
      </c>
      <c r="DB292" s="43" t="str">
        <f t="shared" si="57"/>
        <v/>
      </c>
      <c r="DC292" s="50" t="str">
        <f t="shared" si="58"/>
        <v/>
      </c>
      <c r="DD292" s="50" t="str">
        <f t="shared" si="59"/>
        <v/>
      </c>
    </row>
    <row r="293" spans="12:108" ht="14.25" customHeight="1">
      <c r="L293" s="99"/>
      <c r="M293" s="99"/>
      <c r="N293" s="99"/>
      <c r="O293" s="99"/>
      <c r="P293" s="100"/>
      <c r="Q293" s="101"/>
      <c r="R293" s="101"/>
      <c r="S293" s="101"/>
      <c r="T293" s="101"/>
      <c r="U293" s="99"/>
      <c r="V293" s="99"/>
      <c r="W293" s="100"/>
      <c r="X293" s="100"/>
      <c r="Y293" s="99"/>
      <c r="Z293" s="99"/>
      <c r="AA293" s="100"/>
      <c r="AB293" s="100"/>
      <c r="AC293" s="100"/>
      <c r="AD293" s="100"/>
      <c r="AE293" s="99"/>
      <c r="AF293" s="99"/>
      <c r="AG293" s="100"/>
      <c r="AH293" s="100"/>
      <c r="AI293" s="99"/>
      <c r="AJ293" s="99"/>
      <c r="AK293" s="100"/>
      <c r="AL293" s="100"/>
      <c r="AM293" s="101"/>
      <c r="AN293" s="101"/>
      <c r="AO293" s="101"/>
      <c r="AP293" s="101"/>
      <c r="AQ293" s="19"/>
      <c r="AR293" s="19"/>
      <c r="AS293" s="19"/>
      <c r="AT293" s="99"/>
      <c r="AU293" s="99"/>
      <c r="AV293" s="99"/>
      <c r="AW293" s="99"/>
      <c r="AX293" s="100"/>
      <c r="AY293" s="100"/>
      <c r="AZ293" s="100"/>
      <c r="BA293" s="100"/>
      <c r="BB293" s="100"/>
      <c r="BC293" s="100"/>
      <c r="CW293" s="1">
        <f t="shared" si="52"/>
        <v>0</v>
      </c>
      <c r="CX293" s="1">
        <f t="shared" si="53"/>
        <v>0</v>
      </c>
      <c r="CY293" s="43">
        <f t="shared" si="54"/>
        <v>0</v>
      </c>
      <c r="CZ293" s="43">
        <f t="shared" si="55"/>
        <v>0</v>
      </c>
      <c r="DA293" s="43">
        <f t="shared" si="56"/>
        <v>0</v>
      </c>
      <c r="DB293" s="43" t="str">
        <f t="shared" si="57"/>
        <v/>
      </c>
      <c r="DC293" s="50" t="str">
        <f t="shared" si="58"/>
        <v/>
      </c>
      <c r="DD293" s="50" t="str">
        <f t="shared" si="59"/>
        <v/>
      </c>
    </row>
    <row r="294" spans="12:108" ht="14.25" customHeight="1">
      <c r="L294" s="99"/>
      <c r="M294" s="99"/>
      <c r="N294" s="99"/>
      <c r="O294" s="99"/>
      <c r="P294" s="100"/>
      <c r="Q294" s="101"/>
      <c r="R294" s="101"/>
      <c r="S294" s="101"/>
      <c r="T294" s="101"/>
      <c r="U294" s="47"/>
      <c r="V294" s="47"/>
      <c r="W294" s="47"/>
      <c r="X294" s="99"/>
      <c r="Y294" s="99"/>
      <c r="Z294" s="99"/>
      <c r="AA294" s="99"/>
      <c r="AB294" s="100"/>
      <c r="AC294" s="100"/>
      <c r="AD294" s="100"/>
      <c r="AE294" s="99"/>
      <c r="AF294" s="99"/>
      <c r="AG294" s="99"/>
      <c r="AH294" s="99"/>
      <c r="AI294" s="100"/>
      <c r="AJ294" s="100"/>
      <c r="AK294" s="100"/>
      <c r="AL294" s="47"/>
      <c r="AM294" s="101"/>
      <c r="AN294" s="101"/>
      <c r="AO294" s="101"/>
      <c r="AP294" s="101"/>
      <c r="AQ294" s="19"/>
      <c r="AR294" s="19"/>
      <c r="AS294" s="19"/>
      <c r="AT294" s="99"/>
      <c r="AU294" s="99"/>
      <c r="AV294" s="99"/>
      <c r="AW294" s="99"/>
      <c r="AX294" s="100"/>
      <c r="AY294" s="100"/>
      <c r="AZ294" s="100"/>
      <c r="BA294" s="100"/>
      <c r="BB294" s="100"/>
      <c r="BC294" s="100"/>
      <c r="CW294" s="1">
        <f t="shared" si="52"/>
        <v>0</v>
      </c>
      <c r="CX294" s="1">
        <f t="shared" si="53"/>
        <v>0</v>
      </c>
      <c r="CY294" s="43">
        <f t="shared" si="54"/>
        <v>0</v>
      </c>
      <c r="CZ294" s="43">
        <f t="shared" si="55"/>
        <v>0</v>
      </c>
      <c r="DA294" s="43">
        <f t="shared" si="56"/>
        <v>0</v>
      </c>
      <c r="DB294" s="43" t="str">
        <f t="shared" si="57"/>
        <v/>
      </c>
      <c r="DC294" s="50" t="str">
        <f t="shared" si="58"/>
        <v/>
      </c>
      <c r="DD294" s="50" t="str">
        <f t="shared" si="59"/>
        <v/>
      </c>
    </row>
    <row r="295" spans="12:108" ht="14.25" customHeight="1">
      <c r="L295" s="99"/>
      <c r="M295" s="99"/>
      <c r="N295" s="99"/>
      <c r="O295" s="99"/>
      <c r="P295" s="100"/>
      <c r="Q295" s="101"/>
      <c r="R295" s="101"/>
      <c r="S295" s="101"/>
      <c r="T295" s="101"/>
      <c r="U295" s="19"/>
      <c r="V295" s="19"/>
      <c r="W295" s="19"/>
      <c r="X295" s="99"/>
      <c r="Y295" s="99"/>
      <c r="Z295" s="99"/>
      <c r="AA295" s="99"/>
      <c r="AB295" s="100"/>
      <c r="AC295" s="100"/>
      <c r="AD295" s="100"/>
      <c r="AE295" s="99"/>
      <c r="AF295" s="99"/>
      <c r="AG295" s="99"/>
      <c r="AH295" s="99"/>
      <c r="AI295" s="100"/>
      <c r="AJ295" s="100"/>
      <c r="AK295" s="100"/>
      <c r="AL295" s="19"/>
      <c r="AM295" s="101"/>
      <c r="AN295" s="101"/>
      <c r="AO295" s="101"/>
      <c r="AP295" s="101"/>
      <c r="AQ295" s="19"/>
      <c r="AR295" s="19"/>
      <c r="AS295" s="19"/>
      <c r="AT295" s="99"/>
      <c r="AU295" s="99"/>
      <c r="AV295" s="99"/>
      <c r="AW295" s="99"/>
      <c r="AX295" s="100"/>
      <c r="AY295" s="100"/>
      <c r="AZ295" s="100"/>
      <c r="BA295" s="100"/>
      <c r="BB295" s="100"/>
      <c r="BC295" s="100"/>
      <c r="CW295" s="1">
        <f t="shared" si="52"/>
        <v>0</v>
      </c>
      <c r="CX295" s="1">
        <f t="shared" si="53"/>
        <v>0</v>
      </c>
      <c r="CY295" s="43">
        <f t="shared" si="54"/>
        <v>0</v>
      </c>
      <c r="CZ295" s="43">
        <f t="shared" si="55"/>
        <v>0</v>
      </c>
      <c r="DA295" s="43">
        <f t="shared" si="56"/>
        <v>0</v>
      </c>
      <c r="DB295" s="43" t="str">
        <f t="shared" si="57"/>
        <v/>
      </c>
      <c r="DC295" s="50" t="str">
        <f t="shared" si="58"/>
        <v/>
      </c>
      <c r="DD295" s="50" t="str">
        <f t="shared" si="59"/>
        <v/>
      </c>
    </row>
    <row r="296" spans="12:108" ht="14.25" customHeight="1">
      <c r="L296" s="99"/>
      <c r="M296" s="99"/>
      <c r="N296" s="99"/>
      <c r="O296" s="99"/>
      <c r="P296" s="100"/>
      <c r="Q296" s="101"/>
      <c r="R296" s="101"/>
      <c r="S296" s="101"/>
      <c r="T296" s="101"/>
      <c r="U296" s="19"/>
      <c r="V296" s="19"/>
      <c r="W296" s="19"/>
      <c r="X296" s="99"/>
      <c r="Y296" s="99"/>
      <c r="Z296" s="99"/>
      <c r="AA296" s="99"/>
      <c r="AB296" s="100"/>
      <c r="AC296" s="100"/>
      <c r="AD296" s="100"/>
      <c r="AE296" s="99"/>
      <c r="AF296" s="99"/>
      <c r="AG296" s="99"/>
      <c r="AH296" s="99"/>
      <c r="AI296" s="100"/>
      <c r="AJ296" s="100"/>
      <c r="AK296" s="100"/>
      <c r="AL296" s="19"/>
      <c r="AM296" s="101"/>
      <c r="AN296" s="101"/>
      <c r="AO296" s="101"/>
      <c r="AP296" s="101"/>
      <c r="AQ296" s="19"/>
      <c r="AR296" s="19"/>
      <c r="AS296" s="19"/>
      <c r="AT296" s="99"/>
      <c r="AU296" s="99"/>
      <c r="AV296" s="99"/>
      <c r="AW296" s="99"/>
      <c r="AX296" s="100"/>
      <c r="AY296" s="100"/>
      <c r="AZ296" s="100"/>
      <c r="BA296" s="100"/>
      <c r="BB296" s="100"/>
      <c r="BC296" s="100"/>
      <c r="CW296" s="1">
        <f t="shared" si="52"/>
        <v>0</v>
      </c>
      <c r="CX296" s="1">
        <f t="shared" si="53"/>
        <v>0</v>
      </c>
      <c r="CY296" s="43">
        <f t="shared" si="54"/>
        <v>0</v>
      </c>
      <c r="CZ296" s="43">
        <f t="shared" si="55"/>
        <v>0</v>
      </c>
      <c r="DA296" s="43">
        <f t="shared" si="56"/>
        <v>0</v>
      </c>
      <c r="DB296" s="43" t="str">
        <f t="shared" si="57"/>
        <v/>
      </c>
      <c r="DC296" s="50" t="str">
        <f t="shared" si="58"/>
        <v/>
      </c>
      <c r="DD296" s="50" t="str">
        <f t="shared" si="59"/>
        <v/>
      </c>
    </row>
    <row r="297" spans="12:108" ht="30.9" customHeight="1">
      <c r="L297" s="120"/>
      <c r="M297" s="120"/>
      <c r="N297" s="120"/>
      <c r="O297" s="121"/>
      <c r="P297" s="121"/>
      <c r="Q297" s="100"/>
      <c r="R297" s="100"/>
      <c r="S297" s="100"/>
      <c r="T297" s="100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  <c r="AH297" s="122"/>
      <c r="AI297" s="122"/>
      <c r="AJ297" s="122"/>
      <c r="AK297" s="122"/>
      <c r="AL297" s="122"/>
      <c r="AM297" s="122"/>
      <c r="AN297" s="122"/>
      <c r="AO297" s="122"/>
      <c r="AP297" s="122"/>
      <c r="AQ297" s="122"/>
      <c r="AR297" s="122"/>
      <c r="AS297" s="122"/>
      <c r="AT297" s="122"/>
      <c r="AU297" s="122"/>
      <c r="AV297" s="122"/>
      <c r="AW297" s="122"/>
      <c r="AX297" s="122"/>
      <c r="AY297" s="122"/>
      <c r="AZ297" s="122"/>
      <c r="BA297" s="122"/>
      <c r="BB297" s="122"/>
      <c r="BC297" s="122"/>
      <c r="CW297" s="1">
        <f t="shared" si="52"/>
        <v>0</v>
      </c>
      <c r="CX297" s="1">
        <f t="shared" si="53"/>
        <v>0</v>
      </c>
      <c r="CY297" s="43">
        <f t="shared" si="54"/>
        <v>0</v>
      </c>
      <c r="CZ297" s="43">
        <f t="shared" si="55"/>
        <v>0</v>
      </c>
      <c r="DA297" s="43">
        <f t="shared" si="56"/>
        <v>0</v>
      </c>
      <c r="DB297" s="43" t="str">
        <f t="shared" si="57"/>
        <v/>
      </c>
      <c r="DC297" s="50" t="str">
        <f t="shared" si="58"/>
        <v/>
      </c>
      <c r="DD297" s="50" t="str">
        <f t="shared" si="59"/>
        <v/>
      </c>
    </row>
    <row r="298" spans="12:108" ht="30.9" customHeight="1">
      <c r="L298" s="123"/>
      <c r="M298" s="123"/>
      <c r="O298" s="124"/>
      <c r="P298" s="124"/>
      <c r="Q298" s="100"/>
      <c r="R298" s="100"/>
      <c r="S298" s="100"/>
      <c r="T298" s="100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  <c r="AH298" s="122"/>
      <c r="AI298" s="122"/>
      <c r="AJ298" s="122"/>
      <c r="AK298" s="122"/>
      <c r="AL298" s="122"/>
      <c r="AM298" s="122"/>
      <c r="AN298" s="122"/>
      <c r="AO298" s="122"/>
      <c r="AP298" s="122"/>
      <c r="AQ298" s="122"/>
      <c r="AR298" s="122"/>
      <c r="AS298" s="122"/>
      <c r="AT298" s="122"/>
      <c r="AU298" s="122"/>
      <c r="AV298" s="122"/>
      <c r="AW298" s="122"/>
      <c r="AX298" s="122"/>
      <c r="AY298" s="122"/>
      <c r="AZ298" s="122"/>
      <c r="BA298" s="122"/>
      <c r="BB298" s="122"/>
      <c r="BC298" s="122"/>
      <c r="CW298" s="1">
        <f t="shared" si="52"/>
        <v>0</v>
      </c>
      <c r="CX298" s="1">
        <f t="shared" si="53"/>
        <v>0</v>
      </c>
      <c r="CY298" s="43">
        <f t="shared" si="54"/>
        <v>0</v>
      </c>
      <c r="CZ298" s="43">
        <f t="shared" si="55"/>
        <v>0</v>
      </c>
      <c r="DA298" s="43">
        <f t="shared" si="56"/>
        <v>0</v>
      </c>
      <c r="DB298" s="43" t="str">
        <f t="shared" si="57"/>
        <v/>
      </c>
      <c r="DC298" s="50" t="str">
        <f t="shared" si="58"/>
        <v/>
      </c>
      <c r="DD298" s="50" t="str">
        <f t="shared" si="59"/>
        <v/>
      </c>
    </row>
    <row r="299" spans="12:108" ht="14.25" customHeight="1">
      <c r="L299" s="99"/>
      <c r="M299" s="99"/>
      <c r="N299" s="99"/>
      <c r="O299" s="99"/>
      <c r="P299" s="100"/>
      <c r="Q299" s="101"/>
      <c r="R299" s="101"/>
      <c r="S299" s="101"/>
      <c r="T299" s="101"/>
      <c r="U299" s="99"/>
      <c r="V299" s="99"/>
      <c r="W299" s="100"/>
      <c r="X299" s="100"/>
      <c r="Y299" s="99"/>
      <c r="Z299" s="99"/>
      <c r="AA299" s="100"/>
      <c r="AB299" s="100"/>
      <c r="AC299" s="100"/>
      <c r="AD299" s="100"/>
      <c r="AE299" s="99"/>
      <c r="AF299" s="99"/>
      <c r="AG299" s="100"/>
      <c r="AH299" s="100"/>
      <c r="AI299" s="99"/>
      <c r="AJ299" s="99"/>
      <c r="AK299" s="100"/>
      <c r="AL299" s="100"/>
      <c r="AM299" s="101"/>
      <c r="AN299" s="101"/>
      <c r="AO299" s="101"/>
      <c r="AP299" s="101"/>
      <c r="AQ299" s="19"/>
      <c r="AR299" s="19"/>
      <c r="AS299" s="19"/>
      <c r="AT299" s="99"/>
      <c r="AU299" s="99"/>
      <c r="AV299" s="99"/>
      <c r="AW299" s="99"/>
      <c r="AX299" s="100"/>
      <c r="AY299" s="100"/>
      <c r="AZ299" s="100"/>
      <c r="BA299" s="100"/>
      <c r="BB299" s="100"/>
      <c r="BC299" s="100"/>
      <c r="CW299" s="1">
        <f t="shared" si="52"/>
        <v>0</v>
      </c>
      <c r="CX299" s="1">
        <f t="shared" si="53"/>
        <v>0</v>
      </c>
      <c r="CY299" s="43">
        <f t="shared" si="54"/>
        <v>0</v>
      </c>
      <c r="CZ299" s="43">
        <f t="shared" si="55"/>
        <v>0</v>
      </c>
      <c r="DA299" s="43">
        <f t="shared" si="56"/>
        <v>0</v>
      </c>
      <c r="DB299" s="43" t="str">
        <f t="shared" si="57"/>
        <v/>
      </c>
      <c r="DC299" s="50" t="str">
        <f t="shared" si="58"/>
        <v/>
      </c>
      <c r="DD299" s="50" t="str">
        <f t="shared" si="59"/>
        <v/>
      </c>
    </row>
    <row r="300" spans="12:108" ht="14.25" customHeight="1">
      <c r="L300" s="99"/>
      <c r="M300" s="99"/>
      <c r="N300" s="99"/>
      <c r="O300" s="99"/>
      <c r="P300" s="100"/>
      <c r="Q300" s="101"/>
      <c r="R300" s="101"/>
      <c r="S300" s="101"/>
      <c r="T300" s="101"/>
      <c r="U300" s="99"/>
      <c r="V300" s="99"/>
      <c r="W300" s="100"/>
      <c r="X300" s="100"/>
      <c r="Y300" s="99"/>
      <c r="Z300" s="99"/>
      <c r="AA300" s="100"/>
      <c r="AB300" s="100"/>
      <c r="AC300" s="100"/>
      <c r="AD300" s="100"/>
      <c r="AE300" s="99"/>
      <c r="AF300" s="99"/>
      <c r="AG300" s="100"/>
      <c r="AH300" s="100"/>
      <c r="AI300" s="99"/>
      <c r="AJ300" s="99"/>
      <c r="AK300" s="100"/>
      <c r="AL300" s="100"/>
      <c r="AM300" s="101"/>
      <c r="AN300" s="101"/>
      <c r="AO300" s="101"/>
      <c r="AP300" s="101"/>
      <c r="AQ300" s="19"/>
      <c r="AR300" s="19"/>
      <c r="AS300" s="19"/>
      <c r="AT300" s="99"/>
      <c r="AU300" s="99"/>
      <c r="AV300" s="99"/>
      <c r="AW300" s="99"/>
      <c r="AX300" s="100"/>
      <c r="AY300" s="100"/>
      <c r="AZ300" s="100"/>
      <c r="BA300" s="100"/>
      <c r="BB300" s="100"/>
      <c r="BC300" s="100"/>
      <c r="CW300" s="1">
        <f t="shared" si="52"/>
        <v>0</v>
      </c>
      <c r="CX300" s="1">
        <f t="shared" si="53"/>
        <v>0</v>
      </c>
      <c r="CY300" s="43">
        <f t="shared" si="54"/>
        <v>0</v>
      </c>
      <c r="CZ300" s="43">
        <f t="shared" si="55"/>
        <v>0</v>
      </c>
      <c r="DA300" s="43">
        <f t="shared" si="56"/>
        <v>0</v>
      </c>
      <c r="DB300" s="43" t="str">
        <f t="shared" si="57"/>
        <v/>
      </c>
      <c r="DC300" s="50" t="str">
        <f t="shared" si="58"/>
        <v/>
      </c>
      <c r="DD300" s="50" t="str">
        <f t="shared" si="59"/>
        <v/>
      </c>
    </row>
    <row r="301" spans="12:108" ht="14.25" customHeight="1">
      <c r="L301" s="99"/>
      <c r="M301" s="99"/>
      <c r="N301" s="99"/>
      <c r="O301" s="99"/>
      <c r="P301" s="100"/>
      <c r="Q301" s="101"/>
      <c r="R301" s="101"/>
      <c r="S301" s="101"/>
      <c r="T301" s="101"/>
      <c r="U301" s="99"/>
      <c r="V301" s="99"/>
      <c r="W301" s="100"/>
      <c r="X301" s="100"/>
      <c r="Y301" s="99"/>
      <c r="Z301" s="99"/>
      <c r="AA301" s="100"/>
      <c r="AB301" s="100"/>
      <c r="AC301" s="100"/>
      <c r="AD301" s="100"/>
      <c r="AE301" s="99"/>
      <c r="AF301" s="99"/>
      <c r="AG301" s="100"/>
      <c r="AH301" s="100"/>
      <c r="AI301" s="99"/>
      <c r="AJ301" s="99"/>
      <c r="AK301" s="100"/>
      <c r="AL301" s="100"/>
      <c r="AM301" s="101"/>
      <c r="AN301" s="101"/>
      <c r="AO301" s="101"/>
      <c r="AP301" s="101"/>
      <c r="AQ301" s="19"/>
      <c r="AR301" s="19"/>
      <c r="AS301" s="19"/>
      <c r="AT301" s="99"/>
      <c r="AU301" s="99"/>
      <c r="AV301" s="99"/>
      <c r="AW301" s="99"/>
      <c r="AX301" s="100"/>
      <c r="AY301" s="100"/>
      <c r="AZ301" s="100"/>
      <c r="BA301" s="100"/>
      <c r="BB301" s="100"/>
      <c r="BC301" s="100"/>
    </row>
    <row r="302" spans="12:108" ht="14.25" customHeight="1">
      <c r="L302" s="99"/>
      <c r="M302" s="99"/>
      <c r="N302" s="99"/>
      <c r="O302" s="99"/>
      <c r="P302" s="100"/>
      <c r="Q302" s="101"/>
      <c r="R302" s="101"/>
      <c r="S302" s="101"/>
      <c r="T302" s="101"/>
      <c r="U302" s="47"/>
      <c r="V302" s="47"/>
      <c r="W302" s="47"/>
      <c r="X302" s="99"/>
      <c r="Y302" s="99"/>
      <c r="Z302" s="99"/>
      <c r="AA302" s="99"/>
      <c r="AB302" s="100"/>
      <c r="AC302" s="100"/>
      <c r="AD302" s="100"/>
      <c r="AE302" s="99"/>
      <c r="AF302" s="99"/>
      <c r="AG302" s="99"/>
      <c r="AH302" s="99"/>
      <c r="AI302" s="100"/>
      <c r="AJ302" s="100"/>
      <c r="AK302" s="100"/>
      <c r="AL302" s="47"/>
      <c r="AM302" s="101"/>
      <c r="AN302" s="101"/>
      <c r="AO302" s="101"/>
      <c r="AP302" s="101"/>
      <c r="AQ302" s="19"/>
      <c r="AR302" s="19"/>
      <c r="AS302" s="19"/>
      <c r="AT302" s="99"/>
      <c r="AU302" s="99"/>
      <c r="AV302" s="99"/>
      <c r="AW302" s="99"/>
      <c r="AX302" s="100"/>
      <c r="AY302" s="100"/>
      <c r="AZ302" s="100"/>
      <c r="BA302" s="100"/>
      <c r="BB302" s="100"/>
      <c r="BC302" s="100"/>
    </row>
    <row r="303" spans="12:108" ht="14.25" customHeight="1">
      <c r="L303" s="99"/>
      <c r="M303" s="99"/>
      <c r="N303" s="99"/>
      <c r="O303" s="99"/>
      <c r="P303" s="100"/>
      <c r="Q303" s="101"/>
      <c r="R303" s="101"/>
      <c r="S303" s="101"/>
      <c r="T303" s="101"/>
      <c r="U303" s="19"/>
      <c r="V303" s="19"/>
      <c r="W303" s="19"/>
      <c r="X303" s="99"/>
      <c r="Y303" s="99"/>
      <c r="Z303" s="99"/>
      <c r="AA303" s="99"/>
      <c r="AB303" s="100"/>
      <c r="AC303" s="100"/>
      <c r="AD303" s="100"/>
      <c r="AE303" s="99"/>
      <c r="AF303" s="99"/>
      <c r="AG303" s="99"/>
      <c r="AH303" s="99"/>
      <c r="AI303" s="100"/>
      <c r="AJ303" s="100"/>
      <c r="AK303" s="100"/>
      <c r="AL303" s="19"/>
      <c r="AM303" s="101"/>
      <c r="AN303" s="101"/>
      <c r="AO303" s="101"/>
      <c r="AP303" s="101"/>
      <c r="AQ303" s="19"/>
      <c r="AR303" s="19"/>
      <c r="AS303" s="19"/>
      <c r="AT303" s="99"/>
      <c r="AU303" s="99"/>
      <c r="AV303" s="99"/>
      <c r="AW303" s="99"/>
      <c r="AX303" s="100"/>
      <c r="AY303" s="100"/>
      <c r="AZ303" s="100"/>
      <c r="BA303" s="100"/>
      <c r="BB303" s="100"/>
      <c r="BC303" s="100"/>
    </row>
    <row r="304" spans="12:108" ht="14.25" customHeight="1">
      <c r="L304" s="99"/>
      <c r="M304" s="99"/>
      <c r="N304" s="99"/>
      <c r="O304" s="99"/>
      <c r="P304" s="100"/>
      <c r="Q304" s="101"/>
      <c r="R304" s="101"/>
      <c r="S304" s="101"/>
      <c r="T304" s="101"/>
      <c r="U304" s="19"/>
      <c r="V304" s="19"/>
      <c r="W304" s="19"/>
      <c r="X304" s="99"/>
      <c r="Y304" s="99"/>
      <c r="Z304" s="99"/>
      <c r="AA304" s="99"/>
      <c r="AB304" s="100"/>
      <c r="AC304" s="100"/>
      <c r="AD304" s="100"/>
      <c r="AE304" s="99"/>
      <c r="AF304" s="99"/>
      <c r="AG304" s="99"/>
      <c r="AH304" s="99"/>
      <c r="AI304" s="100"/>
      <c r="AJ304" s="100"/>
      <c r="AK304" s="100"/>
      <c r="AL304" s="19"/>
      <c r="AM304" s="101"/>
      <c r="AN304" s="101"/>
      <c r="AO304" s="101"/>
      <c r="AP304" s="101"/>
      <c r="AQ304" s="19"/>
      <c r="AR304" s="19"/>
      <c r="AS304" s="19"/>
      <c r="AT304" s="99"/>
      <c r="AU304" s="99"/>
      <c r="AV304" s="99"/>
      <c r="AW304" s="99"/>
      <c r="AX304" s="100"/>
      <c r="AY304" s="100"/>
      <c r="AZ304" s="100"/>
      <c r="BA304" s="100"/>
      <c r="BB304" s="100"/>
      <c r="BC304" s="100"/>
    </row>
    <row r="305" spans="12:55" ht="30.9" customHeight="1">
      <c r="L305" s="120"/>
      <c r="M305" s="120"/>
      <c r="N305" s="120"/>
      <c r="O305" s="121"/>
      <c r="P305" s="121"/>
      <c r="Q305" s="100"/>
      <c r="R305" s="100"/>
      <c r="S305" s="100"/>
      <c r="T305" s="100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  <c r="AH305" s="122"/>
      <c r="AI305" s="122"/>
      <c r="AJ305" s="122"/>
      <c r="AK305" s="122"/>
      <c r="AL305" s="122"/>
      <c r="AM305" s="122"/>
      <c r="AN305" s="122"/>
      <c r="AO305" s="122"/>
      <c r="AP305" s="122"/>
      <c r="AQ305" s="122"/>
      <c r="AR305" s="122"/>
      <c r="AS305" s="122"/>
      <c r="AT305" s="122"/>
      <c r="AU305" s="122"/>
      <c r="AV305" s="122"/>
      <c r="AW305" s="122"/>
      <c r="AX305" s="122"/>
      <c r="AY305" s="122"/>
      <c r="AZ305" s="122"/>
      <c r="BA305" s="122"/>
      <c r="BB305" s="122"/>
      <c r="BC305" s="122"/>
    </row>
    <row r="306" spans="12:55" ht="30.9" customHeight="1">
      <c r="L306" s="123"/>
      <c r="M306" s="123"/>
      <c r="O306" s="124"/>
      <c r="P306" s="124"/>
      <c r="Q306" s="100"/>
      <c r="R306" s="100"/>
      <c r="S306" s="100"/>
      <c r="T306" s="100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  <c r="AH306" s="122"/>
      <c r="AI306" s="122"/>
      <c r="AJ306" s="122"/>
      <c r="AK306" s="122"/>
      <c r="AL306" s="122"/>
      <c r="AM306" s="122"/>
      <c r="AN306" s="122"/>
      <c r="AO306" s="122"/>
      <c r="AP306" s="122"/>
      <c r="AQ306" s="122"/>
      <c r="AR306" s="122"/>
      <c r="AS306" s="122"/>
      <c r="AT306" s="122"/>
      <c r="AU306" s="122"/>
      <c r="AV306" s="122"/>
      <c r="AW306" s="122"/>
      <c r="AX306" s="122"/>
      <c r="AY306" s="122"/>
      <c r="AZ306" s="122"/>
      <c r="BA306" s="122"/>
      <c r="BB306" s="122"/>
      <c r="BC306" s="122"/>
    </row>
    <row r="307" spans="12:55" ht="14.25" customHeight="1">
      <c r="L307" s="99"/>
      <c r="M307" s="99"/>
      <c r="N307" s="99"/>
      <c r="O307" s="99"/>
      <c r="P307" s="100"/>
      <c r="Q307" s="101"/>
      <c r="R307" s="101"/>
      <c r="S307" s="101"/>
      <c r="T307" s="101"/>
      <c r="U307" s="99"/>
      <c r="V307" s="99"/>
      <c r="W307" s="100"/>
      <c r="X307" s="100"/>
      <c r="Y307" s="99"/>
      <c r="Z307" s="99"/>
      <c r="AA307" s="100"/>
      <c r="AB307" s="100"/>
      <c r="AC307" s="100"/>
      <c r="AD307" s="100"/>
      <c r="AE307" s="99"/>
      <c r="AF307" s="99"/>
      <c r="AG307" s="100"/>
      <c r="AH307" s="100"/>
      <c r="AI307" s="99"/>
      <c r="AJ307" s="99"/>
      <c r="AK307" s="100"/>
      <c r="AL307" s="100"/>
      <c r="AM307" s="101"/>
      <c r="AN307" s="101"/>
      <c r="AO307" s="101"/>
      <c r="AP307" s="101"/>
      <c r="AQ307" s="19"/>
      <c r="AR307" s="19"/>
      <c r="AS307" s="19"/>
      <c r="AT307" s="99"/>
      <c r="AU307" s="99"/>
      <c r="AV307" s="99"/>
      <c r="AW307" s="99"/>
      <c r="AX307" s="100"/>
      <c r="AY307" s="100"/>
      <c r="AZ307" s="100"/>
      <c r="BA307" s="100"/>
      <c r="BB307" s="100"/>
      <c r="BC307" s="100"/>
    </row>
    <row r="308" spans="12:55" ht="14.25" customHeight="1">
      <c r="L308" s="99"/>
      <c r="M308" s="99"/>
      <c r="N308" s="99"/>
      <c r="O308" s="99"/>
      <c r="P308" s="100"/>
      <c r="Q308" s="101"/>
      <c r="R308" s="101"/>
      <c r="S308" s="101"/>
      <c r="T308" s="101"/>
      <c r="U308" s="99"/>
      <c r="V308" s="99"/>
      <c r="W308" s="100"/>
      <c r="X308" s="100"/>
      <c r="Y308" s="99"/>
      <c r="Z308" s="99"/>
      <c r="AA308" s="100"/>
      <c r="AB308" s="100"/>
      <c r="AC308" s="100"/>
      <c r="AD308" s="100"/>
      <c r="AE308" s="99"/>
      <c r="AF308" s="99"/>
      <c r="AG308" s="100"/>
      <c r="AH308" s="100"/>
      <c r="AI308" s="99"/>
      <c r="AJ308" s="99"/>
      <c r="AK308" s="100"/>
      <c r="AL308" s="100"/>
      <c r="AM308" s="101"/>
      <c r="AN308" s="101"/>
      <c r="AO308" s="101"/>
      <c r="AP308" s="101"/>
      <c r="AQ308" s="19"/>
      <c r="AR308" s="19"/>
      <c r="AS308" s="19"/>
      <c r="AT308" s="99"/>
      <c r="AU308" s="99"/>
      <c r="AV308" s="99"/>
      <c r="AW308" s="99"/>
      <c r="AX308" s="100"/>
      <c r="AY308" s="100"/>
      <c r="AZ308" s="100"/>
      <c r="BA308" s="100"/>
      <c r="BB308" s="100"/>
      <c r="BC308" s="100"/>
    </row>
    <row r="309" spans="12:55" ht="14.25" customHeight="1">
      <c r="L309" s="99"/>
      <c r="M309" s="99"/>
      <c r="N309" s="99"/>
      <c r="O309" s="99"/>
      <c r="P309" s="100"/>
      <c r="Q309" s="101"/>
      <c r="R309" s="101"/>
      <c r="S309" s="101"/>
      <c r="T309" s="101"/>
      <c r="U309" s="99"/>
      <c r="V309" s="99"/>
      <c r="W309" s="100"/>
      <c r="X309" s="100"/>
      <c r="Y309" s="99"/>
      <c r="Z309" s="99"/>
      <c r="AA309" s="100"/>
      <c r="AB309" s="100"/>
      <c r="AC309" s="100"/>
      <c r="AD309" s="100"/>
      <c r="AE309" s="99"/>
      <c r="AF309" s="99"/>
      <c r="AG309" s="100"/>
      <c r="AH309" s="100"/>
      <c r="AI309" s="99"/>
      <c r="AJ309" s="99"/>
      <c r="AK309" s="100"/>
      <c r="AL309" s="100"/>
      <c r="AM309" s="101"/>
      <c r="AN309" s="101"/>
      <c r="AO309" s="101"/>
      <c r="AP309" s="101"/>
      <c r="AQ309" s="19"/>
      <c r="AR309" s="19"/>
      <c r="AS309" s="19"/>
      <c r="AT309" s="99"/>
      <c r="AU309" s="99"/>
      <c r="AV309" s="99"/>
      <c r="AW309" s="99"/>
      <c r="AX309" s="100"/>
      <c r="AY309" s="100"/>
      <c r="AZ309" s="100"/>
      <c r="BA309" s="100"/>
      <c r="BB309" s="100"/>
      <c r="BC309" s="100"/>
    </row>
    <row r="310" spans="12:55" ht="14.25" customHeight="1">
      <c r="L310" s="99"/>
      <c r="M310" s="99"/>
      <c r="N310" s="99"/>
      <c r="O310" s="99"/>
      <c r="P310" s="100"/>
      <c r="Q310" s="101"/>
      <c r="R310" s="101"/>
      <c r="S310" s="101"/>
      <c r="T310" s="101"/>
      <c r="U310" s="47"/>
      <c r="V310" s="47"/>
      <c r="W310" s="47"/>
      <c r="X310" s="99"/>
      <c r="Y310" s="99"/>
      <c r="Z310" s="99"/>
      <c r="AA310" s="99"/>
      <c r="AB310" s="100"/>
      <c r="AC310" s="100"/>
      <c r="AD310" s="100"/>
      <c r="AE310" s="99"/>
      <c r="AF310" s="99"/>
      <c r="AG310" s="99"/>
      <c r="AH310" s="99"/>
      <c r="AI310" s="100"/>
      <c r="AJ310" s="100"/>
      <c r="AK310" s="100"/>
      <c r="AL310" s="47"/>
      <c r="AM310" s="101"/>
      <c r="AN310" s="101"/>
      <c r="AO310" s="101"/>
      <c r="AP310" s="101"/>
      <c r="AQ310" s="19"/>
      <c r="AR310" s="19"/>
      <c r="AS310" s="19"/>
      <c r="AT310" s="99"/>
      <c r="AU310" s="99"/>
      <c r="AV310" s="99"/>
      <c r="AW310" s="99"/>
      <c r="AX310" s="100"/>
      <c r="AY310" s="100"/>
      <c r="AZ310" s="100"/>
      <c r="BA310" s="100"/>
      <c r="BB310" s="100"/>
      <c r="BC310" s="100"/>
    </row>
    <row r="311" spans="12:55" ht="14.25" customHeight="1">
      <c r="L311" s="99"/>
      <c r="M311" s="99"/>
      <c r="N311" s="99"/>
      <c r="O311" s="99"/>
      <c r="P311" s="100"/>
      <c r="Q311" s="101"/>
      <c r="R311" s="101"/>
      <c r="S311" s="101"/>
      <c r="T311" s="101"/>
      <c r="U311" s="19"/>
      <c r="V311" s="19"/>
      <c r="W311" s="19"/>
      <c r="X311" s="99"/>
      <c r="Y311" s="99"/>
      <c r="Z311" s="99"/>
      <c r="AA311" s="99"/>
      <c r="AB311" s="100"/>
      <c r="AC311" s="100"/>
      <c r="AD311" s="100"/>
      <c r="AE311" s="99"/>
      <c r="AF311" s="99"/>
      <c r="AG311" s="99"/>
      <c r="AH311" s="99"/>
      <c r="AI311" s="100"/>
      <c r="AJ311" s="100"/>
      <c r="AK311" s="100"/>
      <c r="AL311" s="19"/>
      <c r="AM311" s="101"/>
      <c r="AN311" s="101"/>
      <c r="AO311" s="101"/>
      <c r="AP311" s="101"/>
      <c r="AQ311" s="19"/>
      <c r="AR311" s="19"/>
      <c r="AS311" s="19"/>
      <c r="AT311" s="99"/>
      <c r="AU311" s="99"/>
      <c r="AV311" s="99"/>
      <c r="AW311" s="99"/>
      <c r="AX311" s="100"/>
      <c r="AY311" s="100"/>
      <c r="AZ311" s="100"/>
      <c r="BA311" s="100"/>
      <c r="BB311" s="100"/>
      <c r="BC311" s="100"/>
    </row>
    <row r="312" spans="12:55" ht="14.25" customHeight="1">
      <c r="L312" s="99"/>
      <c r="M312" s="99"/>
      <c r="N312" s="99"/>
      <c r="O312" s="99"/>
      <c r="P312" s="100"/>
      <c r="Q312" s="101"/>
      <c r="R312" s="101"/>
      <c r="S312" s="101"/>
      <c r="T312" s="101"/>
      <c r="U312" s="19"/>
      <c r="V312" s="19"/>
      <c r="W312" s="19"/>
      <c r="X312" s="99"/>
      <c r="Y312" s="99"/>
      <c r="Z312" s="99"/>
      <c r="AA312" s="99"/>
      <c r="AB312" s="100"/>
      <c r="AC312" s="100"/>
      <c r="AD312" s="100"/>
      <c r="AE312" s="99"/>
      <c r="AF312" s="99"/>
      <c r="AG312" s="99"/>
      <c r="AH312" s="99"/>
      <c r="AI312" s="100"/>
      <c r="AJ312" s="100"/>
      <c r="AK312" s="100"/>
      <c r="AL312" s="19"/>
      <c r="AM312" s="101"/>
      <c r="AN312" s="101"/>
      <c r="AO312" s="101"/>
      <c r="AP312" s="101"/>
      <c r="AQ312" s="19"/>
      <c r="AR312" s="19"/>
      <c r="AS312" s="19"/>
      <c r="AT312" s="99"/>
      <c r="AU312" s="99"/>
      <c r="AV312" s="99"/>
      <c r="AW312" s="99"/>
      <c r="AX312" s="100"/>
      <c r="AY312" s="100"/>
      <c r="AZ312" s="100"/>
      <c r="BA312" s="100"/>
      <c r="BB312" s="100"/>
      <c r="BC312" s="100"/>
    </row>
    <row r="313" spans="12:55" ht="30.9" customHeight="1">
      <c r="L313" s="120"/>
      <c r="M313" s="120"/>
      <c r="N313" s="120"/>
      <c r="O313" s="121"/>
      <c r="P313" s="121"/>
      <c r="Q313" s="100"/>
      <c r="R313" s="100"/>
      <c r="S313" s="100"/>
      <c r="T313" s="100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  <c r="AH313" s="122"/>
      <c r="AI313" s="122"/>
      <c r="AJ313" s="122"/>
      <c r="AK313" s="122"/>
      <c r="AL313" s="122"/>
      <c r="AM313" s="122"/>
      <c r="AN313" s="122"/>
      <c r="AO313" s="122"/>
      <c r="AP313" s="122"/>
      <c r="AQ313" s="122"/>
      <c r="AR313" s="122"/>
      <c r="AS313" s="122"/>
      <c r="AT313" s="122"/>
      <c r="AU313" s="122"/>
      <c r="AV313" s="122"/>
      <c r="AW313" s="122"/>
      <c r="AX313" s="122"/>
      <c r="AY313" s="122"/>
      <c r="AZ313" s="122"/>
      <c r="BA313" s="122"/>
      <c r="BB313" s="122"/>
      <c r="BC313" s="122"/>
    </row>
    <row r="314" spans="12:55" ht="30.9" customHeight="1">
      <c r="L314" s="123"/>
      <c r="M314" s="123"/>
      <c r="O314" s="124"/>
      <c r="P314" s="124"/>
      <c r="Q314" s="100"/>
      <c r="R314" s="100"/>
      <c r="S314" s="100"/>
      <c r="T314" s="100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  <c r="AH314" s="122"/>
      <c r="AI314" s="122"/>
      <c r="AJ314" s="122"/>
      <c r="AK314" s="122"/>
      <c r="AL314" s="122"/>
      <c r="AM314" s="122"/>
      <c r="AN314" s="122"/>
      <c r="AO314" s="122"/>
      <c r="AP314" s="122"/>
      <c r="AQ314" s="122"/>
      <c r="AR314" s="122"/>
      <c r="AS314" s="122"/>
      <c r="AT314" s="122"/>
      <c r="AU314" s="122"/>
      <c r="AV314" s="122"/>
      <c r="AW314" s="122"/>
      <c r="AX314" s="122"/>
      <c r="AY314" s="122"/>
      <c r="AZ314" s="122"/>
      <c r="BA314" s="122"/>
      <c r="BB314" s="122"/>
      <c r="BC314" s="122"/>
    </row>
    <row r="315" spans="12:55" ht="14.25" customHeight="1">
      <c r="L315" s="99"/>
      <c r="M315" s="99"/>
      <c r="N315" s="99"/>
      <c r="O315" s="99"/>
      <c r="P315" s="100"/>
      <c r="Q315" s="101"/>
      <c r="R315" s="101"/>
      <c r="S315" s="101"/>
      <c r="T315" s="101"/>
      <c r="U315" s="99"/>
      <c r="V315" s="99"/>
      <c r="W315" s="100"/>
      <c r="X315" s="100"/>
      <c r="Y315" s="99"/>
      <c r="Z315" s="99"/>
      <c r="AA315" s="100"/>
      <c r="AB315" s="100"/>
      <c r="AC315" s="100"/>
      <c r="AD315" s="100"/>
      <c r="AE315" s="99"/>
      <c r="AF315" s="99"/>
      <c r="AG315" s="100"/>
      <c r="AH315" s="100"/>
      <c r="AI315" s="99"/>
      <c r="AJ315" s="99"/>
      <c r="AK315" s="100"/>
      <c r="AL315" s="100"/>
      <c r="AM315" s="101"/>
      <c r="AN315" s="101"/>
      <c r="AO315" s="101"/>
      <c r="AP315" s="101"/>
      <c r="AQ315" s="19"/>
      <c r="AR315" s="19"/>
      <c r="AS315" s="19"/>
      <c r="AT315" s="99"/>
      <c r="AU315" s="99"/>
      <c r="AV315" s="99"/>
      <c r="AW315" s="99"/>
      <c r="AX315" s="100"/>
      <c r="AY315" s="100"/>
      <c r="AZ315" s="100"/>
      <c r="BA315" s="100"/>
      <c r="BB315" s="100"/>
      <c r="BC315" s="100"/>
    </row>
    <row r="316" spans="12:55" ht="14.25" customHeight="1">
      <c r="L316" s="99"/>
      <c r="M316" s="99"/>
      <c r="N316" s="99"/>
      <c r="O316" s="99"/>
      <c r="P316" s="100"/>
      <c r="Q316" s="101"/>
      <c r="R316" s="101"/>
      <c r="S316" s="101"/>
      <c r="T316" s="101"/>
      <c r="U316" s="99"/>
      <c r="V316" s="99"/>
      <c r="W316" s="100"/>
      <c r="X316" s="100"/>
      <c r="Y316" s="99"/>
      <c r="Z316" s="99"/>
      <c r="AA316" s="100"/>
      <c r="AB316" s="100"/>
      <c r="AC316" s="100"/>
      <c r="AD316" s="100"/>
      <c r="AE316" s="99"/>
      <c r="AF316" s="99"/>
      <c r="AG316" s="100"/>
      <c r="AH316" s="100"/>
      <c r="AI316" s="99"/>
      <c r="AJ316" s="99"/>
      <c r="AK316" s="100"/>
      <c r="AL316" s="100"/>
      <c r="AM316" s="101"/>
      <c r="AN316" s="101"/>
      <c r="AO316" s="101"/>
      <c r="AP316" s="101"/>
      <c r="AQ316" s="19"/>
      <c r="AR316" s="19"/>
      <c r="AS316" s="19"/>
      <c r="AT316" s="99"/>
      <c r="AU316" s="99"/>
      <c r="AV316" s="99"/>
      <c r="AW316" s="99"/>
      <c r="AX316" s="100"/>
      <c r="AY316" s="100"/>
      <c r="AZ316" s="100"/>
      <c r="BA316" s="100"/>
      <c r="BB316" s="100"/>
      <c r="BC316" s="100"/>
    </row>
    <row r="317" spans="12:55" ht="14.25" customHeight="1">
      <c r="L317" s="99"/>
      <c r="M317" s="99"/>
      <c r="N317" s="99"/>
      <c r="O317" s="99"/>
      <c r="P317" s="100"/>
      <c r="Q317" s="101"/>
      <c r="R317" s="101"/>
      <c r="S317" s="101"/>
      <c r="T317" s="101"/>
      <c r="U317" s="99"/>
      <c r="V317" s="99"/>
      <c r="W317" s="100"/>
      <c r="X317" s="100"/>
      <c r="Y317" s="99"/>
      <c r="Z317" s="99"/>
      <c r="AA317" s="100"/>
      <c r="AB317" s="100"/>
      <c r="AC317" s="100"/>
      <c r="AD317" s="100"/>
      <c r="AE317" s="99"/>
      <c r="AF317" s="99"/>
      <c r="AG317" s="100"/>
      <c r="AH317" s="100"/>
      <c r="AI317" s="99"/>
      <c r="AJ317" s="99"/>
      <c r="AK317" s="100"/>
      <c r="AL317" s="100"/>
      <c r="AM317" s="101"/>
      <c r="AN317" s="101"/>
      <c r="AO317" s="101"/>
      <c r="AP317" s="101"/>
      <c r="AQ317" s="19"/>
      <c r="AR317" s="19"/>
      <c r="AS317" s="19"/>
      <c r="AT317" s="99"/>
      <c r="AU317" s="99"/>
      <c r="AV317" s="99"/>
      <c r="AW317" s="99"/>
      <c r="AX317" s="100"/>
      <c r="AY317" s="100"/>
      <c r="AZ317" s="100"/>
      <c r="BA317" s="100"/>
      <c r="BB317" s="100"/>
      <c r="BC317" s="100"/>
    </row>
    <row r="318" spans="12:55" ht="14.25" customHeight="1">
      <c r="L318" s="99"/>
      <c r="M318" s="99"/>
      <c r="N318" s="99"/>
      <c r="O318" s="99"/>
      <c r="P318" s="100"/>
      <c r="Q318" s="101"/>
      <c r="R318" s="101"/>
      <c r="S318" s="101"/>
      <c r="T318" s="101"/>
      <c r="U318" s="47"/>
      <c r="V318" s="47"/>
      <c r="W318" s="47"/>
      <c r="X318" s="99"/>
      <c r="Y318" s="99"/>
      <c r="Z318" s="99"/>
      <c r="AA318" s="99"/>
      <c r="AB318" s="100"/>
      <c r="AC318" s="100"/>
      <c r="AD318" s="100"/>
      <c r="AE318" s="99"/>
      <c r="AF318" s="99"/>
      <c r="AG318" s="99"/>
      <c r="AH318" s="99"/>
      <c r="AI318" s="100"/>
      <c r="AJ318" s="100"/>
      <c r="AK318" s="100"/>
      <c r="AL318" s="47"/>
      <c r="AM318" s="101"/>
      <c r="AN318" s="101"/>
      <c r="AO318" s="101"/>
      <c r="AP318" s="101"/>
      <c r="AQ318" s="19"/>
      <c r="AR318" s="19"/>
      <c r="AS318" s="19"/>
      <c r="AT318" s="99"/>
      <c r="AU318" s="99"/>
      <c r="AV318" s="99"/>
      <c r="AW318" s="99"/>
      <c r="AX318" s="100"/>
      <c r="AY318" s="100"/>
      <c r="AZ318" s="100"/>
      <c r="BA318" s="100"/>
      <c r="BB318" s="100"/>
      <c r="BC318" s="100"/>
    </row>
    <row r="319" spans="12:55" ht="14.25" customHeight="1">
      <c r="L319" s="99"/>
      <c r="M319" s="99"/>
      <c r="N319" s="99"/>
      <c r="O319" s="99"/>
      <c r="P319" s="100"/>
      <c r="Q319" s="101"/>
      <c r="R319" s="101"/>
      <c r="S319" s="101"/>
      <c r="T319" s="101"/>
      <c r="U319" s="19"/>
      <c r="V319" s="19"/>
      <c r="W319" s="19"/>
      <c r="X319" s="99"/>
      <c r="Y319" s="99"/>
      <c r="Z319" s="99"/>
      <c r="AA319" s="99"/>
      <c r="AB319" s="100"/>
      <c r="AC319" s="100"/>
      <c r="AD319" s="100"/>
      <c r="AE319" s="99"/>
      <c r="AF319" s="99"/>
      <c r="AG319" s="99"/>
      <c r="AH319" s="99"/>
      <c r="AI319" s="100"/>
      <c r="AJ319" s="100"/>
      <c r="AK319" s="100"/>
      <c r="AL319" s="19"/>
      <c r="AM319" s="101"/>
      <c r="AN319" s="101"/>
      <c r="AO319" s="101"/>
      <c r="AP319" s="101"/>
      <c r="AQ319" s="19"/>
      <c r="AR319" s="19"/>
      <c r="AS319" s="19"/>
      <c r="AT319" s="99"/>
      <c r="AU319" s="99"/>
      <c r="AV319" s="99"/>
      <c r="AW319" s="99"/>
      <c r="AX319" s="100"/>
      <c r="AY319" s="100"/>
      <c r="AZ319" s="100"/>
      <c r="BA319" s="100"/>
      <c r="BB319" s="100"/>
      <c r="BC319" s="100"/>
    </row>
    <row r="320" spans="12:55" ht="14.25" customHeight="1">
      <c r="L320" s="99"/>
      <c r="M320" s="99"/>
      <c r="N320" s="99"/>
      <c r="O320" s="99"/>
      <c r="P320" s="100"/>
      <c r="Q320" s="101"/>
      <c r="R320" s="101"/>
      <c r="S320" s="101"/>
      <c r="T320" s="101"/>
      <c r="U320" s="19"/>
      <c r="V320" s="19"/>
      <c r="W320" s="19"/>
      <c r="X320" s="99"/>
      <c r="Y320" s="99"/>
      <c r="Z320" s="99"/>
      <c r="AA320" s="99"/>
      <c r="AB320" s="100"/>
      <c r="AC320" s="100"/>
      <c r="AD320" s="100"/>
      <c r="AE320" s="99"/>
      <c r="AF320" s="99"/>
      <c r="AG320" s="99"/>
      <c r="AH320" s="99"/>
      <c r="AI320" s="100"/>
      <c r="AJ320" s="100"/>
      <c r="AK320" s="100"/>
      <c r="AL320" s="19"/>
      <c r="AM320" s="101"/>
      <c r="AN320" s="101"/>
      <c r="AO320" s="101"/>
      <c r="AP320" s="101"/>
      <c r="AQ320" s="19"/>
      <c r="AR320" s="19"/>
      <c r="AS320" s="19"/>
      <c r="AT320" s="99"/>
      <c r="AU320" s="99"/>
      <c r="AV320" s="99"/>
      <c r="AW320" s="99"/>
      <c r="AX320" s="100"/>
      <c r="AY320" s="100"/>
      <c r="AZ320" s="100"/>
      <c r="BA320" s="100"/>
      <c r="BB320" s="100"/>
      <c r="BC320" s="100"/>
    </row>
    <row r="321" spans="12:55" ht="30.9" customHeight="1">
      <c r="L321" s="120"/>
      <c r="M321" s="120"/>
      <c r="N321" s="120"/>
      <c r="O321" s="121"/>
      <c r="P321" s="121"/>
      <c r="Q321" s="100"/>
      <c r="R321" s="100"/>
      <c r="S321" s="100"/>
      <c r="T321" s="100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  <c r="AH321" s="122"/>
      <c r="AI321" s="122"/>
      <c r="AJ321" s="122"/>
      <c r="AK321" s="122"/>
      <c r="AL321" s="122"/>
      <c r="AM321" s="122"/>
      <c r="AN321" s="122"/>
      <c r="AO321" s="122"/>
      <c r="AP321" s="122"/>
      <c r="AQ321" s="122"/>
      <c r="AR321" s="122"/>
      <c r="AS321" s="122"/>
      <c r="AT321" s="122"/>
      <c r="AU321" s="122"/>
      <c r="AV321" s="122"/>
      <c r="AW321" s="122"/>
      <c r="AX321" s="122"/>
      <c r="AY321" s="122"/>
      <c r="AZ321" s="122"/>
      <c r="BA321" s="122"/>
      <c r="BB321" s="122"/>
      <c r="BC321" s="122"/>
    </row>
    <row r="322" spans="12:55" ht="30.9" customHeight="1">
      <c r="L322" s="123"/>
      <c r="M322" s="123"/>
      <c r="O322" s="124"/>
      <c r="P322" s="124"/>
      <c r="Q322" s="100"/>
      <c r="R322" s="100"/>
      <c r="S322" s="100"/>
      <c r="T322" s="100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  <c r="AH322" s="122"/>
      <c r="AI322" s="122"/>
      <c r="AJ322" s="122"/>
      <c r="AK322" s="122"/>
      <c r="AL322" s="122"/>
      <c r="AM322" s="122"/>
      <c r="AN322" s="122"/>
      <c r="AO322" s="122"/>
      <c r="AP322" s="122"/>
      <c r="AQ322" s="122"/>
      <c r="AR322" s="122"/>
      <c r="AS322" s="122"/>
      <c r="AT322" s="122"/>
      <c r="AU322" s="122"/>
      <c r="AV322" s="122"/>
      <c r="AW322" s="122"/>
      <c r="AX322" s="122"/>
      <c r="AY322" s="122"/>
      <c r="AZ322" s="122"/>
      <c r="BA322" s="122"/>
      <c r="BB322" s="122"/>
      <c r="BC322" s="122"/>
    </row>
    <row r="323" spans="12:55" ht="14.25" customHeight="1">
      <c r="L323" s="99"/>
      <c r="M323" s="99"/>
      <c r="N323" s="99"/>
      <c r="O323" s="99"/>
      <c r="P323" s="100"/>
      <c r="Q323" s="101"/>
      <c r="R323" s="101"/>
      <c r="S323" s="101"/>
      <c r="T323" s="101"/>
      <c r="U323" s="99"/>
      <c r="V323" s="99"/>
      <c r="W323" s="100"/>
      <c r="X323" s="100"/>
      <c r="Y323" s="99"/>
      <c r="Z323" s="99"/>
      <c r="AA323" s="100"/>
      <c r="AB323" s="100"/>
      <c r="AC323" s="100"/>
      <c r="AD323" s="100"/>
      <c r="AE323" s="99"/>
      <c r="AF323" s="99"/>
      <c r="AG323" s="100"/>
      <c r="AH323" s="100"/>
      <c r="AI323" s="99"/>
      <c r="AJ323" s="99"/>
      <c r="AK323" s="100"/>
      <c r="AL323" s="100"/>
      <c r="AM323" s="101"/>
      <c r="AN323" s="101"/>
      <c r="AO323" s="101"/>
      <c r="AP323" s="101"/>
      <c r="AQ323" s="19"/>
      <c r="AR323" s="19"/>
      <c r="AS323" s="19"/>
      <c r="AT323" s="99"/>
      <c r="AU323" s="99"/>
      <c r="AV323" s="99"/>
      <c r="AW323" s="99"/>
      <c r="AX323" s="100"/>
      <c r="AY323" s="100"/>
      <c r="AZ323" s="100"/>
      <c r="BA323" s="100"/>
      <c r="BB323" s="100"/>
      <c r="BC323" s="100"/>
    </row>
    <row r="324" spans="12:55" ht="14.25" customHeight="1">
      <c r="L324" s="99"/>
      <c r="M324" s="99"/>
      <c r="N324" s="99"/>
      <c r="O324" s="99"/>
      <c r="P324" s="100"/>
      <c r="Q324" s="101"/>
      <c r="R324" s="101"/>
      <c r="S324" s="101"/>
      <c r="T324" s="101"/>
      <c r="U324" s="99"/>
      <c r="V324" s="99"/>
      <c r="W324" s="100"/>
      <c r="X324" s="100"/>
      <c r="Y324" s="99"/>
      <c r="Z324" s="99"/>
      <c r="AA324" s="100"/>
      <c r="AB324" s="100"/>
      <c r="AC324" s="100"/>
      <c r="AD324" s="100"/>
      <c r="AE324" s="99"/>
      <c r="AF324" s="99"/>
      <c r="AG324" s="100"/>
      <c r="AH324" s="100"/>
      <c r="AI324" s="99"/>
      <c r="AJ324" s="99"/>
      <c r="AK324" s="100"/>
      <c r="AL324" s="100"/>
      <c r="AM324" s="101"/>
      <c r="AN324" s="101"/>
      <c r="AO324" s="101"/>
      <c r="AP324" s="101"/>
      <c r="AQ324" s="19"/>
      <c r="AR324" s="19"/>
      <c r="AS324" s="19"/>
      <c r="AT324" s="99"/>
      <c r="AU324" s="99"/>
      <c r="AV324" s="99"/>
      <c r="AW324" s="99"/>
      <c r="AX324" s="100"/>
      <c r="AY324" s="100"/>
      <c r="AZ324" s="100"/>
      <c r="BA324" s="100"/>
      <c r="BB324" s="100"/>
      <c r="BC324" s="100"/>
    </row>
    <row r="325" spans="12:55" ht="14.25" customHeight="1">
      <c r="L325" s="99"/>
      <c r="M325" s="99"/>
      <c r="N325" s="99"/>
      <c r="O325" s="99"/>
      <c r="P325" s="100"/>
      <c r="Q325" s="101"/>
      <c r="R325" s="101"/>
      <c r="S325" s="101"/>
      <c r="T325" s="101"/>
      <c r="U325" s="99"/>
      <c r="V325" s="99"/>
      <c r="W325" s="100"/>
      <c r="X325" s="100"/>
      <c r="Y325" s="99"/>
      <c r="Z325" s="99"/>
      <c r="AA325" s="100"/>
      <c r="AB325" s="100"/>
      <c r="AC325" s="100"/>
      <c r="AD325" s="100"/>
      <c r="AE325" s="99"/>
      <c r="AF325" s="99"/>
      <c r="AG325" s="100"/>
      <c r="AH325" s="100"/>
      <c r="AI325" s="99"/>
      <c r="AJ325" s="99"/>
      <c r="AK325" s="100"/>
      <c r="AL325" s="100"/>
      <c r="AM325" s="101"/>
      <c r="AN325" s="101"/>
      <c r="AO325" s="101"/>
      <c r="AP325" s="101"/>
      <c r="AQ325" s="19"/>
      <c r="AR325" s="19"/>
      <c r="AS325" s="19"/>
      <c r="AT325" s="99"/>
      <c r="AU325" s="99"/>
      <c r="AV325" s="99"/>
      <c r="AW325" s="99"/>
      <c r="AX325" s="100"/>
      <c r="AY325" s="100"/>
      <c r="AZ325" s="100"/>
      <c r="BA325" s="100"/>
      <c r="BB325" s="100"/>
      <c r="BC325" s="100"/>
    </row>
    <row r="326" spans="12:55" ht="14.25" customHeight="1">
      <c r="L326" s="99"/>
      <c r="M326" s="99"/>
      <c r="N326" s="99"/>
      <c r="O326" s="99"/>
      <c r="P326" s="100"/>
      <c r="Q326" s="101"/>
      <c r="R326" s="101"/>
      <c r="S326" s="101"/>
      <c r="T326" s="101"/>
      <c r="U326" s="47"/>
      <c r="V326" s="47"/>
      <c r="W326" s="47"/>
      <c r="X326" s="99"/>
      <c r="Y326" s="99"/>
      <c r="Z326" s="99"/>
      <c r="AA326" s="99"/>
      <c r="AB326" s="100"/>
      <c r="AC326" s="100"/>
      <c r="AD326" s="100"/>
      <c r="AE326" s="99"/>
      <c r="AF326" s="99"/>
      <c r="AG326" s="99"/>
      <c r="AH326" s="99"/>
      <c r="AI326" s="100"/>
      <c r="AJ326" s="100"/>
      <c r="AK326" s="100"/>
      <c r="AL326" s="47"/>
      <c r="AM326" s="101"/>
      <c r="AN326" s="101"/>
      <c r="AO326" s="101"/>
      <c r="AP326" s="101"/>
      <c r="AQ326" s="19"/>
      <c r="AR326" s="19"/>
      <c r="AS326" s="19"/>
      <c r="AT326" s="99"/>
      <c r="AU326" s="99"/>
      <c r="AV326" s="99"/>
      <c r="AW326" s="99"/>
      <c r="AX326" s="100"/>
      <c r="AY326" s="100"/>
      <c r="AZ326" s="100"/>
      <c r="BA326" s="100"/>
      <c r="BB326" s="100"/>
      <c r="BC326" s="100"/>
    </row>
    <row r="327" spans="12:55" ht="14.25" customHeight="1">
      <c r="L327" s="99"/>
      <c r="M327" s="99"/>
      <c r="N327" s="99"/>
      <c r="O327" s="99"/>
      <c r="P327" s="100"/>
      <c r="Q327" s="101"/>
      <c r="R327" s="101"/>
      <c r="S327" s="101"/>
      <c r="T327" s="101"/>
      <c r="U327" s="19"/>
      <c r="V327" s="19"/>
      <c r="W327" s="19"/>
      <c r="X327" s="99"/>
      <c r="Y327" s="99"/>
      <c r="Z327" s="99"/>
      <c r="AA327" s="99"/>
      <c r="AB327" s="100"/>
      <c r="AC327" s="100"/>
      <c r="AD327" s="100"/>
      <c r="AE327" s="99"/>
      <c r="AF327" s="99"/>
      <c r="AG327" s="99"/>
      <c r="AH327" s="99"/>
      <c r="AI327" s="100"/>
      <c r="AJ327" s="100"/>
      <c r="AK327" s="100"/>
      <c r="AL327" s="19"/>
      <c r="AM327" s="101"/>
      <c r="AN327" s="101"/>
      <c r="AO327" s="101"/>
      <c r="AP327" s="101"/>
      <c r="AQ327" s="19"/>
      <c r="AR327" s="19"/>
      <c r="AS327" s="19"/>
      <c r="AT327" s="99"/>
      <c r="AU327" s="99"/>
      <c r="AV327" s="99"/>
      <c r="AW327" s="99"/>
      <c r="AX327" s="100"/>
      <c r="AY327" s="100"/>
      <c r="AZ327" s="100"/>
      <c r="BA327" s="100"/>
      <c r="BB327" s="100"/>
      <c r="BC327" s="100"/>
    </row>
    <row r="328" spans="12:55" ht="14.25" customHeight="1">
      <c r="L328" s="99"/>
      <c r="M328" s="99"/>
      <c r="N328" s="99"/>
      <c r="O328" s="99"/>
      <c r="P328" s="100"/>
      <c r="Q328" s="101"/>
      <c r="R328" s="101"/>
      <c r="S328" s="101"/>
      <c r="T328" s="101"/>
      <c r="U328" s="19"/>
      <c r="V328" s="19"/>
      <c r="W328" s="19"/>
      <c r="X328" s="99"/>
      <c r="Y328" s="99"/>
      <c r="Z328" s="99"/>
      <c r="AA328" s="99"/>
      <c r="AB328" s="100"/>
      <c r="AC328" s="100"/>
      <c r="AD328" s="100"/>
      <c r="AE328" s="99"/>
      <c r="AF328" s="99"/>
      <c r="AG328" s="99"/>
      <c r="AH328" s="99"/>
      <c r="AI328" s="100"/>
      <c r="AJ328" s="100"/>
      <c r="AK328" s="100"/>
      <c r="AL328" s="19"/>
      <c r="AM328" s="101"/>
      <c r="AN328" s="101"/>
      <c r="AO328" s="101"/>
      <c r="AP328" s="101"/>
      <c r="AQ328" s="19"/>
      <c r="AR328" s="19"/>
      <c r="AS328" s="19"/>
      <c r="AT328" s="99"/>
      <c r="AU328" s="99"/>
      <c r="AV328" s="99"/>
      <c r="AW328" s="99"/>
      <c r="AX328" s="100"/>
      <c r="AY328" s="100"/>
      <c r="AZ328" s="100"/>
      <c r="BA328" s="100"/>
      <c r="BB328" s="100"/>
      <c r="BC328" s="100"/>
    </row>
    <row r="329" spans="12:55" ht="30.9" customHeight="1">
      <c r="L329" s="120"/>
      <c r="M329" s="120"/>
      <c r="N329" s="120"/>
      <c r="O329" s="121"/>
      <c r="P329" s="121"/>
      <c r="Q329" s="100"/>
      <c r="R329" s="100"/>
      <c r="S329" s="100"/>
      <c r="T329" s="100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  <c r="AH329" s="122"/>
      <c r="AI329" s="122"/>
      <c r="AJ329" s="122"/>
      <c r="AK329" s="122"/>
      <c r="AL329" s="122"/>
      <c r="AM329" s="122"/>
      <c r="AN329" s="122"/>
      <c r="AO329" s="122"/>
      <c r="AP329" s="122"/>
      <c r="AQ329" s="122"/>
      <c r="AR329" s="122"/>
      <c r="AS329" s="122"/>
      <c r="AT329" s="122"/>
      <c r="AU329" s="122"/>
      <c r="AV329" s="122"/>
      <c r="AW329" s="122"/>
      <c r="AX329" s="122"/>
      <c r="AY329" s="122"/>
      <c r="AZ329" s="122"/>
      <c r="BA329" s="122"/>
      <c r="BB329" s="122"/>
      <c r="BC329" s="122"/>
    </row>
    <row r="330" spans="12:55" ht="30.9" customHeight="1">
      <c r="L330" s="123"/>
      <c r="M330" s="123"/>
      <c r="O330" s="124"/>
      <c r="P330" s="124"/>
      <c r="Q330" s="100"/>
      <c r="R330" s="100"/>
      <c r="S330" s="100"/>
      <c r="T330" s="100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  <c r="AH330" s="122"/>
      <c r="AI330" s="122"/>
      <c r="AJ330" s="122"/>
      <c r="AK330" s="122"/>
      <c r="AL330" s="122"/>
      <c r="AM330" s="122"/>
      <c r="AN330" s="122"/>
      <c r="AO330" s="122"/>
      <c r="AP330" s="122"/>
      <c r="AQ330" s="122"/>
      <c r="AR330" s="122"/>
      <c r="AS330" s="122"/>
      <c r="AT330" s="122"/>
      <c r="AU330" s="122"/>
      <c r="AV330" s="122"/>
      <c r="AW330" s="122"/>
      <c r="AX330" s="122"/>
      <c r="AY330" s="122"/>
      <c r="AZ330" s="122"/>
      <c r="BA330" s="122"/>
      <c r="BB330" s="122"/>
      <c r="BC330" s="122"/>
    </row>
    <row r="331" spans="12:55" ht="14.25" customHeight="1">
      <c r="L331" s="99"/>
      <c r="M331" s="99"/>
      <c r="N331" s="99"/>
      <c r="O331" s="99"/>
      <c r="P331" s="100"/>
      <c r="Q331" s="101"/>
      <c r="R331" s="101"/>
      <c r="S331" s="101"/>
      <c r="T331" s="101"/>
      <c r="U331" s="99"/>
      <c r="V331" s="99"/>
      <c r="W331" s="100"/>
      <c r="X331" s="100"/>
      <c r="Y331" s="99"/>
      <c r="Z331" s="99"/>
      <c r="AA331" s="100"/>
      <c r="AB331" s="100"/>
      <c r="AC331" s="100"/>
      <c r="AD331" s="100"/>
      <c r="AE331" s="99"/>
      <c r="AF331" s="99"/>
      <c r="AG331" s="100"/>
      <c r="AH331" s="100"/>
      <c r="AI331" s="99"/>
      <c r="AJ331" s="99"/>
      <c r="AK331" s="100"/>
      <c r="AL331" s="100"/>
      <c r="AM331" s="101"/>
      <c r="AN331" s="101"/>
      <c r="AO331" s="101"/>
      <c r="AP331" s="101"/>
      <c r="AQ331" s="19"/>
      <c r="AR331" s="19"/>
      <c r="AS331" s="19"/>
      <c r="AT331" s="99"/>
      <c r="AU331" s="99"/>
      <c r="AV331" s="99"/>
      <c r="AW331" s="99"/>
      <c r="AX331" s="100"/>
      <c r="AY331" s="100"/>
      <c r="AZ331" s="100"/>
      <c r="BA331" s="100"/>
      <c r="BB331" s="100"/>
      <c r="BC331" s="100"/>
    </row>
    <row r="332" spans="12:55" ht="14.25" customHeight="1">
      <c r="L332" s="99"/>
      <c r="M332" s="99"/>
      <c r="N332" s="99"/>
      <c r="O332" s="99"/>
      <c r="P332" s="100"/>
      <c r="Q332" s="101"/>
      <c r="R332" s="101"/>
      <c r="S332" s="101"/>
      <c r="T332" s="101"/>
      <c r="U332" s="99"/>
      <c r="V332" s="99"/>
      <c r="W332" s="100"/>
      <c r="X332" s="100"/>
      <c r="Y332" s="99"/>
      <c r="Z332" s="99"/>
      <c r="AA332" s="100"/>
      <c r="AB332" s="100"/>
      <c r="AC332" s="100"/>
      <c r="AD332" s="100"/>
      <c r="AE332" s="99"/>
      <c r="AF332" s="99"/>
      <c r="AG332" s="100"/>
      <c r="AH332" s="100"/>
      <c r="AI332" s="99"/>
      <c r="AJ332" s="99"/>
      <c r="AK332" s="100"/>
      <c r="AL332" s="100"/>
      <c r="AM332" s="101"/>
      <c r="AN332" s="101"/>
      <c r="AO332" s="101"/>
      <c r="AP332" s="101"/>
      <c r="AQ332" s="19"/>
      <c r="AR332" s="19"/>
      <c r="AS332" s="19"/>
      <c r="AT332" s="99"/>
      <c r="AU332" s="99"/>
      <c r="AV332" s="99"/>
      <c r="AW332" s="99"/>
      <c r="AX332" s="100"/>
      <c r="AY332" s="100"/>
      <c r="AZ332" s="100"/>
      <c r="BA332" s="100"/>
      <c r="BB332" s="100"/>
      <c r="BC332" s="100"/>
    </row>
    <row r="333" spans="12:55" ht="14.25" customHeight="1">
      <c r="L333" s="99"/>
      <c r="M333" s="99"/>
      <c r="N333" s="99"/>
      <c r="O333" s="99"/>
      <c r="P333" s="100"/>
      <c r="Q333" s="101"/>
      <c r="R333" s="101"/>
      <c r="S333" s="101"/>
      <c r="T333" s="101"/>
      <c r="U333" s="99"/>
      <c r="V333" s="99"/>
      <c r="W333" s="100"/>
      <c r="X333" s="100"/>
      <c r="Y333" s="99"/>
      <c r="Z333" s="99"/>
      <c r="AA333" s="100"/>
      <c r="AB333" s="100"/>
      <c r="AC333" s="100"/>
      <c r="AD333" s="100"/>
      <c r="AE333" s="99"/>
      <c r="AF333" s="99"/>
      <c r="AG333" s="100"/>
      <c r="AH333" s="100"/>
      <c r="AI333" s="99"/>
      <c r="AJ333" s="99"/>
      <c r="AK333" s="100"/>
      <c r="AL333" s="100"/>
      <c r="AM333" s="101"/>
      <c r="AN333" s="101"/>
      <c r="AO333" s="101"/>
      <c r="AP333" s="101"/>
      <c r="AQ333" s="19"/>
      <c r="AR333" s="19"/>
      <c r="AS333" s="19"/>
      <c r="AT333" s="99"/>
      <c r="AU333" s="99"/>
      <c r="AV333" s="99"/>
      <c r="AW333" s="99"/>
      <c r="AX333" s="100"/>
      <c r="AY333" s="100"/>
      <c r="AZ333" s="100"/>
      <c r="BA333" s="100"/>
      <c r="BB333" s="100"/>
      <c r="BC333" s="100"/>
    </row>
    <row r="334" spans="12:55" ht="14.25" customHeight="1">
      <c r="L334" s="99"/>
      <c r="M334" s="99"/>
      <c r="N334" s="99"/>
      <c r="O334" s="99"/>
      <c r="P334" s="100"/>
      <c r="Q334" s="101"/>
      <c r="R334" s="101"/>
      <c r="S334" s="101"/>
      <c r="T334" s="101"/>
      <c r="U334" s="47"/>
      <c r="V334" s="47"/>
      <c r="W334" s="47"/>
      <c r="X334" s="99"/>
      <c r="Y334" s="99"/>
      <c r="Z334" s="99"/>
      <c r="AA334" s="99"/>
      <c r="AB334" s="100"/>
      <c r="AC334" s="100"/>
      <c r="AD334" s="100"/>
      <c r="AE334" s="99"/>
      <c r="AF334" s="99"/>
      <c r="AG334" s="99"/>
      <c r="AH334" s="99"/>
      <c r="AI334" s="100"/>
      <c r="AJ334" s="100"/>
      <c r="AK334" s="100"/>
      <c r="AL334" s="47"/>
      <c r="AM334" s="101"/>
      <c r="AN334" s="101"/>
      <c r="AO334" s="101"/>
      <c r="AP334" s="101"/>
      <c r="AQ334" s="19"/>
      <c r="AR334" s="19"/>
      <c r="AS334" s="19"/>
      <c r="AT334" s="99"/>
      <c r="AU334" s="99"/>
      <c r="AV334" s="99"/>
      <c r="AW334" s="99"/>
      <c r="AX334" s="100"/>
      <c r="AY334" s="100"/>
      <c r="AZ334" s="100"/>
      <c r="BA334" s="100"/>
      <c r="BB334" s="100"/>
      <c r="BC334" s="100"/>
    </row>
    <row r="335" spans="12:55" ht="14.25" customHeight="1">
      <c r="L335" s="99"/>
      <c r="M335" s="99"/>
      <c r="N335" s="99"/>
      <c r="O335" s="99"/>
      <c r="P335" s="100"/>
      <c r="Q335" s="101"/>
      <c r="R335" s="101"/>
      <c r="S335" s="101"/>
      <c r="T335" s="101"/>
      <c r="U335" s="19"/>
      <c r="V335" s="19"/>
      <c r="W335" s="19"/>
      <c r="X335" s="99"/>
      <c r="Y335" s="99"/>
      <c r="Z335" s="99"/>
      <c r="AA335" s="99"/>
      <c r="AB335" s="100"/>
      <c r="AC335" s="100"/>
      <c r="AD335" s="100"/>
      <c r="AE335" s="99"/>
      <c r="AF335" s="99"/>
      <c r="AG335" s="99"/>
      <c r="AH335" s="99"/>
      <c r="AI335" s="100"/>
      <c r="AJ335" s="100"/>
      <c r="AK335" s="100"/>
      <c r="AL335" s="19"/>
      <c r="AM335" s="101"/>
      <c r="AN335" s="101"/>
      <c r="AO335" s="101"/>
      <c r="AP335" s="101"/>
      <c r="AQ335" s="19"/>
      <c r="AR335" s="19"/>
      <c r="AS335" s="19"/>
      <c r="AT335" s="99"/>
      <c r="AU335" s="99"/>
      <c r="AV335" s="99"/>
      <c r="AW335" s="99"/>
      <c r="AX335" s="100"/>
      <c r="AY335" s="100"/>
      <c r="AZ335" s="100"/>
      <c r="BA335" s="100"/>
      <c r="BB335" s="100"/>
      <c r="BC335" s="100"/>
    </row>
    <row r="336" spans="12:55" ht="14.25" customHeight="1">
      <c r="L336" s="99"/>
      <c r="M336" s="99"/>
      <c r="N336" s="99"/>
      <c r="O336" s="99"/>
      <c r="P336" s="100"/>
      <c r="Q336" s="101"/>
      <c r="R336" s="101"/>
      <c r="S336" s="101"/>
      <c r="T336" s="101"/>
      <c r="U336" s="19"/>
      <c r="V336" s="19"/>
      <c r="W336" s="19"/>
      <c r="X336" s="99"/>
      <c r="Y336" s="99"/>
      <c r="Z336" s="99"/>
      <c r="AA336" s="99"/>
      <c r="AB336" s="100"/>
      <c r="AC336" s="100"/>
      <c r="AD336" s="100"/>
      <c r="AE336" s="99"/>
      <c r="AF336" s="99"/>
      <c r="AG336" s="99"/>
      <c r="AH336" s="99"/>
      <c r="AI336" s="100"/>
      <c r="AJ336" s="100"/>
      <c r="AK336" s="100"/>
      <c r="AL336" s="19"/>
      <c r="AM336" s="101"/>
      <c r="AN336" s="101"/>
      <c r="AO336" s="101"/>
      <c r="AP336" s="101"/>
      <c r="AQ336" s="19"/>
      <c r="AR336" s="19"/>
      <c r="AS336" s="19"/>
      <c r="AT336" s="99"/>
      <c r="AU336" s="99"/>
      <c r="AV336" s="99"/>
      <c r="AW336" s="99"/>
      <c r="AX336" s="100"/>
      <c r="AY336" s="100"/>
      <c r="AZ336" s="100"/>
      <c r="BA336" s="100"/>
      <c r="BB336" s="100"/>
      <c r="BC336" s="100"/>
    </row>
    <row r="337" spans="12:55" ht="30.9" customHeight="1">
      <c r="L337" s="120"/>
      <c r="M337" s="120"/>
      <c r="N337" s="120"/>
      <c r="O337" s="121"/>
      <c r="P337" s="121"/>
      <c r="Q337" s="100"/>
      <c r="R337" s="100"/>
      <c r="S337" s="100"/>
      <c r="T337" s="100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  <c r="AH337" s="122"/>
      <c r="AI337" s="122"/>
      <c r="AJ337" s="122"/>
      <c r="AK337" s="122"/>
      <c r="AL337" s="122"/>
      <c r="AM337" s="122"/>
      <c r="AN337" s="122"/>
      <c r="AO337" s="122"/>
      <c r="AP337" s="122"/>
      <c r="AQ337" s="122"/>
      <c r="AR337" s="122"/>
      <c r="AS337" s="122"/>
      <c r="AT337" s="122"/>
      <c r="AU337" s="122"/>
      <c r="AV337" s="122"/>
      <c r="AW337" s="122"/>
      <c r="AX337" s="122"/>
      <c r="AY337" s="122"/>
      <c r="AZ337" s="122"/>
      <c r="BA337" s="122"/>
      <c r="BB337" s="122"/>
      <c r="BC337" s="122"/>
    </row>
    <row r="338" spans="12:55" ht="30.9" customHeight="1">
      <c r="L338" s="123"/>
      <c r="M338" s="123"/>
      <c r="O338" s="124"/>
      <c r="P338" s="124"/>
      <c r="Q338" s="100"/>
      <c r="R338" s="100"/>
      <c r="S338" s="100"/>
      <c r="T338" s="100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  <c r="AH338" s="122"/>
      <c r="AI338" s="122"/>
      <c r="AJ338" s="122"/>
      <c r="AK338" s="122"/>
      <c r="AL338" s="122"/>
      <c r="AM338" s="122"/>
      <c r="AN338" s="122"/>
      <c r="AO338" s="122"/>
      <c r="AP338" s="122"/>
      <c r="AQ338" s="122"/>
      <c r="AR338" s="122"/>
      <c r="AS338" s="122"/>
      <c r="AT338" s="122"/>
      <c r="AU338" s="122"/>
      <c r="AV338" s="122"/>
      <c r="AW338" s="122"/>
      <c r="AX338" s="122"/>
      <c r="AY338" s="122"/>
      <c r="AZ338" s="122"/>
      <c r="BA338" s="122"/>
      <c r="BB338" s="122"/>
      <c r="BC338" s="122"/>
    </row>
    <row r="339" spans="12:55" ht="14.25" customHeight="1">
      <c r="L339" s="99"/>
      <c r="M339" s="99"/>
      <c r="N339" s="99"/>
      <c r="O339" s="99"/>
      <c r="P339" s="100"/>
      <c r="Q339" s="101"/>
      <c r="R339" s="101"/>
      <c r="S339" s="101"/>
      <c r="T339" s="101"/>
      <c r="U339" s="99"/>
      <c r="V339" s="99"/>
      <c r="W339" s="100"/>
      <c r="X339" s="100"/>
      <c r="Y339" s="99"/>
      <c r="Z339" s="99"/>
      <c r="AA339" s="100"/>
      <c r="AB339" s="100"/>
      <c r="AC339" s="100"/>
      <c r="AD339" s="100"/>
      <c r="AE339" s="99"/>
      <c r="AF339" s="99"/>
      <c r="AG339" s="100"/>
      <c r="AH339" s="100"/>
      <c r="AI339" s="99"/>
      <c r="AJ339" s="99"/>
      <c r="AK339" s="100"/>
      <c r="AL339" s="100"/>
      <c r="AM339" s="101"/>
      <c r="AN339" s="101"/>
      <c r="AO339" s="101"/>
      <c r="AP339" s="101"/>
      <c r="AQ339" s="19"/>
      <c r="AR339" s="19"/>
      <c r="AS339" s="19"/>
      <c r="AT339" s="99"/>
      <c r="AU339" s="99"/>
      <c r="AV339" s="99"/>
      <c r="AW339" s="99"/>
      <c r="AX339" s="100"/>
      <c r="AY339" s="100"/>
      <c r="AZ339" s="100"/>
      <c r="BA339" s="100"/>
      <c r="BB339" s="100"/>
      <c r="BC339" s="100"/>
    </row>
    <row r="340" spans="12:55" ht="14.25" customHeight="1">
      <c r="L340" s="99"/>
      <c r="M340" s="99"/>
      <c r="N340" s="99"/>
      <c r="O340" s="99"/>
      <c r="P340" s="100"/>
      <c r="Q340" s="101"/>
      <c r="R340" s="101"/>
      <c r="S340" s="101"/>
      <c r="T340" s="101"/>
      <c r="U340" s="99"/>
      <c r="V340" s="99"/>
      <c r="W340" s="100"/>
      <c r="X340" s="100"/>
      <c r="Y340" s="99"/>
      <c r="Z340" s="99"/>
      <c r="AA340" s="100"/>
      <c r="AB340" s="100"/>
      <c r="AC340" s="100"/>
      <c r="AD340" s="100"/>
      <c r="AE340" s="99"/>
      <c r="AF340" s="99"/>
      <c r="AG340" s="100"/>
      <c r="AH340" s="100"/>
      <c r="AI340" s="99"/>
      <c r="AJ340" s="99"/>
      <c r="AK340" s="100"/>
      <c r="AL340" s="100"/>
      <c r="AM340" s="101"/>
      <c r="AN340" s="101"/>
      <c r="AO340" s="101"/>
      <c r="AP340" s="101"/>
      <c r="AQ340" s="19"/>
      <c r="AR340" s="19"/>
      <c r="AS340" s="19"/>
      <c r="AT340" s="99"/>
      <c r="AU340" s="99"/>
      <c r="AV340" s="99"/>
      <c r="AW340" s="99"/>
      <c r="AX340" s="100"/>
      <c r="AY340" s="100"/>
      <c r="AZ340" s="100"/>
      <c r="BA340" s="100"/>
      <c r="BB340" s="100"/>
      <c r="BC340" s="100"/>
    </row>
    <row r="341" spans="12:55" ht="14.25" customHeight="1">
      <c r="L341" s="99"/>
      <c r="M341" s="99"/>
      <c r="N341" s="99"/>
      <c r="O341" s="99"/>
      <c r="P341" s="100"/>
      <c r="Q341" s="101"/>
      <c r="R341" s="101"/>
      <c r="S341" s="101"/>
      <c r="T341" s="101"/>
      <c r="U341" s="99"/>
      <c r="V341" s="99"/>
      <c r="W341" s="100"/>
      <c r="X341" s="100"/>
      <c r="Y341" s="99"/>
      <c r="Z341" s="99"/>
      <c r="AA341" s="100"/>
      <c r="AB341" s="100"/>
      <c r="AC341" s="100"/>
      <c r="AD341" s="100"/>
      <c r="AE341" s="99"/>
      <c r="AF341" s="99"/>
      <c r="AG341" s="100"/>
      <c r="AH341" s="100"/>
      <c r="AI341" s="99"/>
      <c r="AJ341" s="99"/>
      <c r="AK341" s="100"/>
      <c r="AL341" s="100"/>
      <c r="AM341" s="101"/>
      <c r="AN341" s="101"/>
      <c r="AO341" s="101"/>
      <c r="AP341" s="101"/>
      <c r="AQ341" s="19"/>
      <c r="AR341" s="19"/>
      <c r="AS341" s="19"/>
      <c r="AT341" s="99"/>
      <c r="AU341" s="99"/>
      <c r="AV341" s="99"/>
      <c r="AW341" s="99"/>
      <c r="AX341" s="100"/>
      <c r="AY341" s="100"/>
      <c r="AZ341" s="100"/>
      <c r="BA341" s="100"/>
      <c r="BB341" s="100"/>
      <c r="BC341" s="100"/>
    </row>
    <row r="342" spans="12:55" ht="14.25" customHeight="1">
      <c r="L342" s="99"/>
      <c r="M342" s="99"/>
      <c r="N342" s="99"/>
      <c r="O342" s="99"/>
      <c r="P342" s="100"/>
      <c r="Q342" s="101"/>
      <c r="R342" s="101"/>
      <c r="S342" s="101"/>
      <c r="T342" s="101"/>
      <c r="U342" s="47"/>
      <c r="V342" s="47"/>
      <c r="W342" s="47"/>
      <c r="X342" s="99"/>
      <c r="Y342" s="99"/>
      <c r="Z342" s="99"/>
      <c r="AA342" s="99"/>
      <c r="AB342" s="100"/>
      <c r="AC342" s="100"/>
      <c r="AD342" s="100"/>
      <c r="AE342" s="99"/>
      <c r="AF342" s="99"/>
      <c r="AG342" s="99"/>
      <c r="AH342" s="99"/>
      <c r="AI342" s="100"/>
      <c r="AJ342" s="100"/>
      <c r="AK342" s="100"/>
      <c r="AL342" s="47"/>
      <c r="AM342" s="101"/>
      <c r="AN342" s="101"/>
      <c r="AO342" s="101"/>
      <c r="AP342" s="101"/>
      <c r="AQ342" s="19"/>
      <c r="AR342" s="19"/>
      <c r="AS342" s="19"/>
      <c r="AT342" s="99"/>
      <c r="AU342" s="99"/>
      <c r="AV342" s="99"/>
      <c r="AW342" s="99"/>
      <c r="AX342" s="100"/>
      <c r="AY342" s="100"/>
      <c r="AZ342" s="100"/>
      <c r="BA342" s="100"/>
      <c r="BB342" s="100"/>
      <c r="BC342" s="100"/>
    </row>
    <row r="343" spans="12:55" ht="14.25" customHeight="1">
      <c r="L343" s="99"/>
      <c r="M343" s="99"/>
      <c r="N343" s="99"/>
      <c r="O343" s="99"/>
      <c r="P343" s="100"/>
      <c r="Q343" s="101"/>
      <c r="R343" s="101"/>
      <c r="S343" s="101"/>
      <c r="T343" s="101"/>
      <c r="U343" s="19"/>
      <c r="V343" s="19"/>
      <c r="W343" s="19"/>
      <c r="X343" s="99"/>
      <c r="Y343" s="99"/>
      <c r="Z343" s="99"/>
      <c r="AA343" s="99"/>
      <c r="AB343" s="100"/>
      <c r="AC343" s="100"/>
      <c r="AD343" s="100"/>
      <c r="AE343" s="99"/>
      <c r="AF343" s="99"/>
      <c r="AG343" s="99"/>
      <c r="AH343" s="99"/>
      <c r="AI343" s="100"/>
      <c r="AJ343" s="100"/>
      <c r="AK343" s="100"/>
      <c r="AL343" s="19"/>
      <c r="AM343" s="101"/>
      <c r="AN343" s="101"/>
      <c r="AO343" s="101"/>
      <c r="AP343" s="101"/>
      <c r="AQ343" s="19"/>
      <c r="AR343" s="19"/>
      <c r="AS343" s="19"/>
      <c r="AT343" s="99"/>
      <c r="AU343" s="99"/>
      <c r="AV343" s="99"/>
      <c r="AW343" s="99"/>
      <c r="AX343" s="100"/>
      <c r="AY343" s="100"/>
      <c r="AZ343" s="100"/>
      <c r="BA343" s="100"/>
      <c r="BB343" s="100"/>
      <c r="BC343" s="100"/>
    </row>
    <row r="344" spans="12:55" ht="14.25" customHeight="1">
      <c r="L344" s="99"/>
      <c r="M344" s="99"/>
      <c r="N344" s="99"/>
      <c r="O344" s="99"/>
      <c r="P344" s="100"/>
      <c r="Q344" s="101"/>
      <c r="R344" s="101"/>
      <c r="S344" s="101"/>
      <c r="T344" s="101"/>
      <c r="U344" s="19"/>
      <c r="V344" s="19"/>
      <c r="W344" s="19"/>
      <c r="X344" s="99"/>
      <c r="Y344" s="99"/>
      <c r="Z344" s="99"/>
      <c r="AA344" s="99"/>
      <c r="AB344" s="100"/>
      <c r="AC344" s="100"/>
      <c r="AD344" s="100"/>
      <c r="AE344" s="99"/>
      <c r="AF344" s="99"/>
      <c r="AG344" s="99"/>
      <c r="AH344" s="99"/>
      <c r="AI344" s="100"/>
      <c r="AJ344" s="100"/>
      <c r="AK344" s="100"/>
      <c r="AL344" s="19"/>
      <c r="AM344" s="101"/>
      <c r="AN344" s="101"/>
      <c r="AO344" s="101"/>
      <c r="AP344" s="101"/>
      <c r="AQ344" s="19"/>
      <c r="AR344" s="19"/>
      <c r="AS344" s="19"/>
      <c r="AT344" s="99"/>
      <c r="AU344" s="99"/>
      <c r="AV344" s="99"/>
      <c r="AW344" s="99"/>
      <c r="AX344" s="100"/>
      <c r="AY344" s="100"/>
      <c r="AZ344" s="100"/>
      <c r="BA344" s="100"/>
      <c r="BB344" s="100"/>
      <c r="BC344" s="100"/>
    </row>
    <row r="345" spans="12:55" ht="30.9" customHeight="1">
      <c r="L345" s="120"/>
      <c r="M345" s="120"/>
      <c r="N345" s="120"/>
      <c r="O345" s="121"/>
      <c r="P345" s="121"/>
      <c r="Q345" s="100"/>
      <c r="R345" s="100"/>
      <c r="S345" s="100"/>
      <c r="T345" s="100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  <c r="AH345" s="122"/>
      <c r="AI345" s="122"/>
      <c r="AJ345" s="122"/>
      <c r="AK345" s="122"/>
      <c r="AL345" s="122"/>
      <c r="AM345" s="122"/>
      <c r="AN345" s="122"/>
      <c r="AO345" s="122"/>
      <c r="AP345" s="122"/>
      <c r="AQ345" s="122"/>
      <c r="AR345" s="122"/>
      <c r="AS345" s="122"/>
      <c r="AT345" s="122"/>
      <c r="AU345" s="122"/>
      <c r="AV345" s="122"/>
      <c r="AW345" s="122"/>
      <c r="AX345" s="122"/>
      <c r="AY345" s="122"/>
      <c r="AZ345" s="122"/>
      <c r="BA345" s="122"/>
      <c r="BB345" s="122"/>
      <c r="BC345" s="122"/>
    </row>
    <row r="346" spans="12:55" ht="30.9" customHeight="1">
      <c r="L346" s="123"/>
      <c r="M346" s="123"/>
      <c r="O346" s="124"/>
      <c r="P346" s="124"/>
      <c r="Q346" s="100"/>
      <c r="R346" s="100"/>
      <c r="S346" s="100"/>
      <c r="T346" s="100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  <c r="AH346" s="122"/>
      <c r="AI346" s="122"/>
      <c r="AJ346" s="122"/>
      <c r="AK346" s="122"/>
      <c r="AL346" s="122"/>
      <c r="AM346" s="122"/>
      <c r="AN346" s="122"/>
      <c r="AO346" s="122"/>
      <c r="AP346" s="122"/>
      <c r="AQ346" s="122"/>
      <c r="AR346" s="122"/>
      <c r="AS346" s="122"/>
      <c r="AT346" s="122"/>
      <c r="AU346" s="122"/>
      <c r="AV346" s="122"/>
      <c r="AW346" s="122"/>
      <c r="AX346" s="122"/>
      <c r="AY346" s="122"/>
      <c r="AZ346" s="122"/>
      <c r="BA346" s="122"/>
      <c r="BB346" s="122"/>
      <c r="BC346" s="122"/>
    </row>
    <row r="347" spans="12:55" ht="14.25" customHeight="1">
      <c r="L347" s="99"/>
      <c r="M347" s="99"/>
      <c r="N347" s="99"/>
      <c r="O347" s="99"/>
      <c r="P347" s="100"/>
      <c r="Q347" s="101"/>
      <c r="R347" s="101"/>
      <c r="S347" s="101"/>
      <c r="T347" s="101"/>
      <c r="U347" s="99"/>
      <c r="V347" s="99"/>
      <c r="W347" s="100"/>
      <c r="X347" s="100"/>
      <c r="Y347" s="99"/>
      <c r="Z347" s="99"/>
      <c r="AA347" s="100"/>
      <c r="AB347" s="100"/>
      <c r="AC347" s="100"/>
      <c r="AD347" s="100"/>
      <c r="AE347" s="99"/>
      <c r="AF347" s="99"/>
      <c r="AG347" s="100"/>
      <c r="AH347" s="100"/>
      <c r="AI347" s="99"/>
      <c r="AJ347" s="99"/>
      <c r="AK347" s="100"/>
      <c r="AL347" s="100"/>
      <c r="AM347" s="101"/>
      <c r="AN347" s="101"/>
      <c r="AO347" s="101"/>
      <c r="AP347" s="101"/>
      <c r="AQ347" s="19"/>
      <c r="AR347" s="19"/>
      <c r="AS347" s="19"/>
      <c r="AT347" s="99"/>
      <c r="AU347" s="99"/>
      <c r="AV347" s="99"/>
      <c r="AW347" s="99"/>
      <c r="AX347" s="100"/>
      <c r="AY347" s="100"/>
      <c r="AZ347" s="100"/>
      <c r="BA347" s="100"/>
      <c r="BB347" s="100"/>
      <c r="BC347" s="100"/>
    </row>
    <row r="348" spans="12:55" ht="14.25" customHeight="1">
      <c r="L348" s="99"/>
      <c r="M348" s="99"/>
      <c r="N348" s="99"/>
      <c r="O348" s="99"/>
      <c r="P348" s="100"/>
      <c r="Q348" s="101"/>
      <c r="R348" s="101"/>
      <c r="S348" s="101"/>
      <c r="T348" s="101"/>
      <c r="U348" s="99"/>
      <c r="V348" s="99"/>
      <c r="W348" s="100"/>
      <c r="X348" s="100"/>
      <c r="Y348" s="99"/>
      <c r="Z348" s="99"/>
      <c r="AA348" s="100"/>
      <c r="AB348" s="100"/>
      <c r="AC348" s="100"/>
      <c r="AD348" s="100"/>
      <c r="AE348" s="99"/>
      <c r="AF348" s="99"/>
      <c r="AG348" s="100"/>
      <c r="AH348" s="100"/>
      <c r="AI348" s="99"/>
      <c r="AJ348" s="99"/>
      <c r="AK348" s="100"/>
      <c r="AL348" s="100"/>
      <c r="AM348" s="101"/>
      <c r="AN348" s="101"/>
      <c r="AO348" s="101"/>
      <c r="AP348" s="101"/>
      <c r="AQ348" s="19"/>
      <c r="AR348" s="19"/>
      <c r="AS348" s="19"/>
      <c r="AT348" s="99"/>
      <c r="AU348" s="99"/>
      <c r="AV348" s="99"/>
      <c r="AW348" s="99"/>
      <c r="AX348" s="100"/>
      <c r="AY348" s="100"/>
      <c r="AZ348" s="100"/>
      <c r="BA348" s="100"/>
      <c r="BB348" s="100"/>
      <c r="BC348" s="100"/>
    </row>
    <row r="349" spans="12:55" ht="14.25" customHeight="1">
      <c r="L349" s="99"/>
      <c r="M349" s="99"/>
      <c r="N349" s="99"/>
      <c r="O349" s="99"/>
      <c r="P349" s="100"/>
      <c r="Q349" s="101"/>
      <c r="R349" s="101"/>
      <c r="S349" s="101"/>
      <c r="T349" s="101"/>
      <c r="U349" s="99"/>
      <c r="V349" s="99"/>
      <c r="W349" s="100"/>
      <c r="X349" s="100"/>
      <c r="Y349" s="99"/>
      <c r="Z349" s="99"/>
      <c r="AA349" s="100"/>
      <c r="AB349" s="100"/>
      <c r="AC349" s="100"/>
      <c r="AD349" s="100"/>
      <c r="AE349" s="99"/>
      <c r="AF349" s="99"/>
      <c r="AG349" s="100"/>
      <c r="AH349" s="100"/>
      <c r="AI349" s="99"/>
      <c r="AJ349" s="99"/>
      <c r="AK349" s="100"/>
      <c r="AL349" s="100"/>
      <c r="AM349" s="101"/>
      <c r="AN349" s="101"/>
      <c r="AO349" s="101"/>
      <c r="AP349" s="101"/>
      <c r="AQ349" s="19"/>
      <c r="AR349" s="19"/>
      <c r="AS349" s="19"/>
      <c r="AT349" s="99"/>
      <c r="AU349" s="99"/>
      <c r="AV349" s="99"/>
      <c r="AW349" s="99"/>
      <c r="AX349" s="100"/>
      <c r="AY349" s="100"/>
      <c r="AZ349" s="100"/>
      <c r="BA349" s="100"/>
      <c r="BB349" s="100"/>
      <c r="BC349" s="100"/>
    </row>
    <row r="350" spans="12:55" ht="14.25" customHeight="1">
      <c r="L350" s="99"/>
      <c r="M350" s="99"/>
      <c r="N350" s="99"/>
      <c r="O350" s="99"/>
      <c r="P350" s="100"/>
      <c r="Q350" s="101"/>
      <c r="R350" s="101"/>
      <c r="S350" s="101"/>
      <c r="T350" s="101"/>
      <c r="U350" s="47"/>
      <c r="V350" s="47"/>
      <c r="W350" s="47"/>
      <c r="X350" s="99"/>
      <c r="Y350" s="99"/>
      <c r="Z350" s="99"/>
      <c r="AA350" s="99"/>
      <c r="AB350" s="100"/>
      <c r="AC350" s="100"/>
      <c r="AD350" s="100"/>
      <c r="AE350" s="99"/>
      <c r="AF350" s="99"/>
      <c r="AG350" s="99"/>
      <c r="AH350" s="99"/>
      <c r="AI350" s="100"/>
      <c r="AJ350" s="100"/>
      <c r="AK350" s="100"/>
      <c r="AL350" s="47"/>
      <c r="AM350" s="101"/>
      <c r="AN350" s="101"/>
      <c r="AO350" s="101"/>
      <c r="AP350" s="101"/>
      <c r="AQ350" s="19"/>
      <c r="AR350" s="19"/>
      <c r="AS350" s="19"/>
      <c r="AT350" s="99"/>
      <c r="AU350" s="99"/>
      <c r="AV350" s="99"/>
      <c r="AW350" s="99"/>
      <c r="AX350" s="100"/>
      <c r="AY350" s="100"/>
      <c r="AZ350" s="100"/>
      <c r="BA350" s="100"/>
      <c r="BB350" s="100"/>
      <c r="BC350" s="100"/>
    </row>
    <row r="351" spans="12:55" ht="14.25" customHeight="1">
      <c r="L351" s="99"/>
      <c r="M351" s="99"/>
      <c r="N351" s="99"/>
      <c r="O351" s="99"/>
      <c r="P351" s="100"/>
      <c r="Q351" s="101"/>
      <c r="R351" s="101"/>
      <c r="S351" s="101"/>
      <c r="T351" s="101"/>
      <c r="U351" s="19"/>
      <c r="V351" s="19"/>
      <c r="W351" s="19"/>
      <c r="X351" s="99"/>
      <c r="Y351" s="99"/>
      <c r="Z351" s="99"/>
      <c r="AA351" s="99"/>
      <c r="AB351" s="100"/>
      <c r="AC351" s="100"/>
      <c r="AD351" s="100"/>
      <c r="AE351" s="99"/>
      <c r="AF351" s="99"/>
      <c r="AG351" s="99"/>
      <c r="AH351" s="99"/>
      <c r="AI351" s="100"/>
      <c r="AJ351" s="100"/>
      <c r="AK351" s="100"/>
      <c r="AL351" s="19"/>
      <c r="AM351" s="101"/>
      <c r="AN351" s="101"/>
      <c r="AO351" s="101"/>
      <c r="AP351" s="101"/>
      <c r="AQ351" s="19"/>
      <c r="AR351" s="19"/>
      <c r="AS351" s="19"/>
      <c r="AT351" s="99"/>
      <c r="AU351" s="99"/>
      <c r="AV351" s="99"/>
      <c r="AW351" s="99"/>
      <c r="AX351" s="100"/>
      <c r="AY351" s="100"/>
      <c r="AZ351" s="100"/>
      <c r="BA351" s="100"/>
      <c r="BB351" s="100"/>
      <c r="BC351" s="100"/>
    </row>
    <row r="352" spans="12:55" ht="14.25" customHeight="1">
      <c r="L352" s="99"/>
      <c r="M352" s="99"/>
      <c r="N352" s="99"/>
      <c r="O352" s="99"/>
      <c r="P352" s="100"/>
      <c r="Q352" s="101"/>
      <c r="R352" s="101"/>
      <c r="S352" s="101"/>
      <c r="T352" s="101"/>
      <c r="U352" s="19"/>
      <c r="V352" s="19"/>
      <c r="W352" s="19"/>
      <c r="X352" s="99"/>
      <c r="Y352" s="99"/>
      <c r="Z352" s="99"/>
      <c r="AA352" s="99"/>
      <c r="AB352" s="100"/>
      <c r="AC352" s="100"/>
      <c r="AD352" s="100"/>
      <c r="AE352" s="99"/>
      <c r="AF352" s="99"/>
      <c r="AG352" s="99"/>
      <c r="AH352" s="99"/>
      <c r="AI352" s="100"/>
      <c r="AJ352" s="100"/>
      <c r="AK352" s="100"/>
      <c r="AL352" s="19"/>
      <c r="AM352" s="101"/>
      <c r="AN352" s="101"/>
      <c r="AO352" s="101"/>
      <c r="AP352" s="101"/>
      <c r="AQ352" s="19"/>
      <c r="AR352" s="19"/>
      <c r="AS352" s="19"/>
      <c r="AT352" s="99"/>
      <c r="AU352" s="99"/>
      <c r="AV352" s="99"/>
      <c r="AW352" s="99"/>
      <c r="AX352" s="100"/>
      <c r="AY352" s="100"/>
      <c r="AZ352" s="100"/>
      <c r="BA352" s="100"/>
      <c r="BB352" s="100"/>
      <c r="BC352" s="100"/>
    </row>
    <row r="353" spans="12:60" ht="30.9" customHeight="1">
      <c r="L353" s="120"/>
      <c r="M353" s="120"/>
      <c r="N353" s="120"/>
      <c r="O353" s="121"/>
      <c r="P353" s="121"/>
      <c r="Q353" s="100"/>
      <c r="R353" s="100"/>
      <c r="S353" s="100"/>
      <c r="T353" s="100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  <c r="AH353" s="122"/>
      <c r="AI353" s="122"/>
      <c r="AJ353" s="122"/>
      <c r="AK353" s="122"/>
      <c r="AL353" s="122"/>
      <c r="AM353" s="122"/>
      <c r="AN353" s="122"/>
      <c r="AO353" s="122"/>
      <c r="AP353" s="122"/>
      <c r="AQ353" s="122"/>
      <c r="AR353" s="122"/>
      <c r="AS353" s="122"/>
      <c r="AT353" s="122"/>
      <c r="AU353" s="122"/>
      <c r="AV353" s="122"/>
      <c r="AW353" s="122"/>
      <c r="AX353" s="122"/>
      <c r="AY353" s="122"/>
      <c r="AZ353" s="122"/>
      <c r="BA353" s="122"/>
      <c r="BB353" s="122"/>
      <c r="BC353" s="122"/>
    </row>
    <row r="354" spans="12:60" ht="30.9" customHeight="1">
      <c r="L354" s="123"/>
      <c r="M354" s="123"/>
      <c r="O354" s="124"/>
      <c r="P354" s="124"/>
      <c r="Q354" s="100"/>
      <c r="R354" s="100"/>
      <c r="S354" s="100"/>
      <c r="T354" s="100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  <c r="AH354" s="122"/>
      <c r="AI354" s="122"/>
      <c r="AJ354" s="122"/>
      <c r="AK354" s="122"/>
      <c r="AL354" s="122"/>
      <c r="AM354" s="122"/>
      <c r="AN354" s="122"/>
      <c r="AO354" s="122"/>
      <c r="AP354" s="122"/>
      <c r="AQ354" s="122"/>
      <c r="AR354" s="122"/>
      <c r="AS354" s="122"/>
      <c r="AT354" s="122"/>
      <c r="AU354" s="122"/>
      <c r="AV354" s="122"/>
      <c r="AW354" s="122"/>
      <c r="AX354" s="122"/>
      <c r="AY354" s="122"/>
      <c r="AZ354" s="122"/>
      <c r="BA354" s="122"/>
      <c r="BB354" s="122"/>
      <c r="BC354" s="122"/>
    </row>
    <row r="355" spans="12:60" ht="14.25" customHeight="1">
      <c r="L355" s="99"/>
      <c r="M355" s="99"/>
      <c r="N355" s="99"/>
      <c r="O355" s="99"/>
      <c r="P355" s="100"/>
      <c r="Q355" s="101"/>
      <c r="R355" s="101"/>
      <c r="S355" s="101"/>
      <c r="T355" s="101"/>
      <c r="U355" s="99"/>
      <c r="V355" s="99"/>
      <c r="W355" s="100"/>
      <c r="X355" s="100"/>
      <c r="Y355" s="99"/>
      <c r="Z355" s="99"/>
      <c r="AA355" s="100"/>
      <c r="AB355" s="100"/>
      <c r="AC355" s="100"/>
      <c r="AD355" s="100"/>
      <c r="AE355" s="99"/>
      <c r="AF355" s="99"/>
      <c r="AG355" s="100"/>
      <c r="AH355" s="100"/>
      <c r="AI355" s="99"/>
      <c r="AJ355" s="99"/>
      <c r="AK355" s="100"/>
      <c r="AL355" s="100"/>
      <c r="AM355" s="101"/>
      <c r="AN355" s="101"/>
      <c r="AO355" s="101"/>
      <c r="AP355" s="101"/>
      <c r="AQ355" s="19"/>
      <c r="AR355" s="19"/>
      <c r="AS355" s="19"/>
      <c r="AT355" s="99"/>
      <c r="AU355" s="99"/>
      <c r="AV355" s="99"/>
      <c r="AW355" s="99"/>
      <c r="AX355" s="100"/>
      <c r="AY355" s="100"/>
      <c r="AZ355" s="100"/>
      <c r="BA355" s="100"/>
      <c r="BB355" s="100"/>
      <c r="BC355" s="100"/>
    </row>
    <row r="356" spans="12:60" ht="14.25" customHeight="1">
      <c r="L356" s="99"/>
      <c r="M356" s="99"/>
      <c r="N356" s="99"/>
      <c r="O356" s="99"/>
      <c r="P356" s="100"/>
      <c r="Q356" s="101"/>
      <c r="R356" s="101"/>
      <c r="S356" s="101"/>
      <c r="T356" s="101"/>
      <c r="U356" s="99"/>
      <c r="V356" s="99"/>
      <c r="W356" s="100"/>
      <c r="X356" s="100"/>
      <c r="Y356" s="99"/>
      <c r="Z356" s="99"/>
      <c r="AA356" s="100"/>
      <c r="AB356" s="100"/>
      <c r="AC356" s="100"/>
      <c r="AD356" s="100"/>
      <c r="AE356" s="99"/>
      <c r="AF356" s="99"/>
      <c r="AG356" s="100"/>
      <c r="AH356" s="100"/>
      <c r="AI356" s="99"/>
      <c r="AJ356" s="99"/>
      <c r="AK356" s="100"/>
      <c r="AL356" s="100"/>
      <c r="AM356" s="101"/>
      <c r="AN356" s="101"/>
      <c r="AO356" s="101"/>
      <c r="AP356" s="101"/>
      <c r="AQ356" s="19"/>
      <c r="AR356" s="19"/>
      <c r="AS356" s="19"/>
      <c r="AT356" s="99"/>
      <c r="AU356" s="99"/>
      <c r="AV356" s="99"/>
      <c r="AW356" s="99"/>
      <c r="AX356" s="100"/>
      <c r="AY356" s="100"/>
      <c r="AZ356" s="100"/>
      <c r="BA356" s="100"/>
      <c r="BB356" s="100"/>
      <c r="BC356" s="100"/>
    </row>
    <row r="357" spans="12:60" ht="14.25" customHeight="1">
      <c r="L357" s="99"/>
      <c r="M357" s="99"/>
      <c r="N357" s="99"/>
      <c r="O357" s="99"/>
      <c r="P357" s="100"/>
      <c r="Q357" s="101"/>
      <c r="R357" s="101"/>
      <c r="S357" s="101"/>
      <c r="T357" s="101"/>
      <c r="U357" s="99"/>
      <c r="V357" s="99"/>
      <c r="W357" s="100"/>
      <c r="X357" s="100"/>
      <c r="Y357" s="99"/>
      <c r="Z357" s="99"/>
      <c r="AA357" s="100"/>
      <c r="AB357" s="100"/>
      <c r="AC357" s="100"/>
      <c r="AD357" s="100"/>
      <c r="AE357" s="99"/>
      <c r="AF357" s="99"/>
      <c r="AG357" s="100"/>
      <c r="AH357" s="100"/>
      <c r="AI357" s="99"/>
      <c r="AJ357" s="99"/>
      <c r="AK357" s="100"/>
      <c r="AL357" s="100"/>
      <c r="AM357" s="101"/>
      <c r="AN357" s="101"/>
      <c r="AO357" s="101"/>
      <c r="AP357" s="101"/>
      <c r="AQ357" s="19"/>
      <c r="AR357" s="19"/>
      <c r="AS357" s="19"/>
      <c r="AT357" s="99"/>
      <c r="AU357" s="99"/>
      <c r="AV357" s="99"/>
      <c r="AW357" s="99"/>
      <c r="AX357" s="100"/>
      <c r="AY357" s="100"/>
      <c r="AZ357" s="100"/>
      <c r="BA357" s="100"/>
      <c r="BB357" s="100"/>
      <c r="BC357" s="100"/>
    </row>
    <row r="358" spans="12:60" ht="14.25" customHeight="1">
      <c r="L358" s="99"/>
      <c r="M358" s="99"/>
      <c r="N358" s="99"/>
      <c r="O358" s="99"/>
      <c r="P358" s="100"/>
      <c r="Q358" s="101"/>
      <c r="R358" s="101"/>
      <c r="S358" s="101"/>
      <c r="T358" s="101"/>
      <c r="U358" s="47"/>
      <c r="V358" s="47"/>
      <c r="W358" s="47"/>
      <c r="X358" s="99"/>
      <c r="Y358" s="99"/>
      <c r="Z358" s="99"/>
      <c r="AA358" s="99"/>
      <c r="AB358" s="100"/>
      <c r="AC358" s="100"/>
      <c r="AD358" s="100"/>
      <c r="AE358" s="99"/>
      <c r="AF358" s="99"/>
      <c r="AG358" s="99"/>
      <c r="AH358" s="99"/>
      <c r="AI358" s="100"/>
      <c r="AJ358" s="100"/>
      <c r="AK358" s="100"/>
      <c r="AL358" s="47"/>
      <c r="AM358" s="101"/>
      <c r="AN358" s="101"/>
      <c r="AO358" s="101"/>
      <c r="AP358" s="101"/>
      <c r="AQ358" s="19"/>
      <c r="AR358" s="19"/>
      <c r="AS358" s="19"/>
      <c r="AT358" s="99"/>
      <c r="AU358" s="99"/>
      <c r="AV358" s="99"/>
      <c r="AW358" s="99"/>
      <c r="AX358" s="100"/>
      <c r="AY358" s="100"/>
      <c r="AZ358" s="100"/>
      <c r="BA358" s="100"/>
      <c r="BB358" s="100"/>
      <c r="BC358" s="100"/>
    </row>
    <row r="359" spans="12:60" ht="14.25" customHeight="1">
      <c r="L359" s="99"/>
      <c r="M359" s="99"/>
      <c r="N359" s="99"/>
      <c r="O359" s="99"/>
      <c r="P359" s="100"/>
      <c r="Q359" s="101"/>
      <c r="R359" s="101"/>
      <c r="S359" s="101"/>
      <c r="T359" s="101"/>
      <c r="U359" s="19"/>
      <c r="V359" s="19"/>
      <c r="W359" s="19"/>
      <c r="X359" s="99"/>
      <c r="Y359" s="99"/>
      <c r="Z359" s="99"/>
      <c r="AA359" s="99"/>
      <c r="AB359" s="100"/>
      <c r="AC359" s="100"/>
      <c r="AD359" s="100"/>
      <c r="AE359" s="99"/>
      <c r="AF359" s="99"/>
      <c r="AG359" s="99"/>
      <c r="AH359" s="99"/>
      <c r="AI359" s="100"/>
      <c r="AJ359" s="100"/>
      <c r="AK359" s="100"/>
      <c r="AL359" s="19"/>
      <c r="AM359" s="101"/>
      <c r="AN359" s="101"/>
      <c r="AO359" s="101"/>
      <c r="AP359" s="101"/>
      <c r="AQ359" s="19"/>
      <c r="AR359" s="19"/>
      <c r="AS359" s="19"/>
      <c r="AT359" s="99"/>
      <c r="AU359" s="99"/>
      <c r="AV359" s="99"/>
      <c r="AW359" s="99"/>
      <c r="AX359" s="100"/>
      <c r="AY359" s="100"/>
      <c r="AZ359" s="100"/>
      <c r="BA359" s="100"/>
      <c r="BB359" s="100"/>
      <c r="BC359" s="100"/>
    </row>
    <row r="360" spans="12:60" ht="14.25" customHeight="1">
      <c r="L360" s="99"/>
      <c r="M360" s="99"/>
      <c r="N360" s="99"/>
      <c r="O360" s="99"/>
      <c r="P360" s="100"/>
      <c r="Q360" s="101"/>
      <c r="R360" s="101"/>
      <c r="S360" s="101"/>
      <c r="T360" s="101"/>
      <c r="U360" s="19"/>
      <c r="V360" s="19"/>
      <c r="W360" s="19"/>
      <c r="X360" s="99"/>
      <c r="Y360" s="99"/>
      <c r="Z360" s="99"/>
      <c r="AA360" s="99"/>
      <c r="AB360" s="100"/>
      <c r="AC360" s="100"/>
      <c r="AD360" s="100"/>
      <c r="AE360" s="99"/>
      <c r="AF360" s="99"/>
      <c r="AG360" s="99"/>
      <c r="AH360" s="99"/>
      <c r="AI360" s="100"/>
      <c r="AJ360" s="100"/>
      <c r="AK360" s="100"/>
      <c r="AL360" s="19"/>
      <c r="AM360" s="101"/>
      <c r="AN360" s="101"/>
      <c r="AO360" s="101"/>
      <c r="AP360" s="101"/>
      <c r="AQ360" s="19"/>
      <c r="AR360" s="19"/>
      <c r="AS360" s="19"/>
      <c r="AT360" s="99"/>
      <c r="AU360" s="99"/>
      <c r="AV360" s="99"/>
      <c r="AW360" s="99"/>
      <c r="AX360" s="100"/>
      <c r="AY360" s="100"/>
      <c r="AZ360" s="100"/>
      <c r="BA360" s="100"/>
      <c r="BB360" s="100"/>
      <c r="BC360" s="100"/>
    </row>
    <row r="361" spans="12:60" ht="30.9" customHeight="1">
      <c r="L361" s="120"/>
      <c r="M361" s="120"/>
      <c r="N361" s="120"/>
      <c r="O361" s="121"/>
      <c r="P361" s="121"/>
      <c r="Q361" s="100"/>
      <c r="R361" s="100"/>
      <c r="S361" s="100"/>
      <c r="T361" s="100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  <c r="AH361" s="122"/>
      <c r="AI361" s="122"/>
      <c r="AJ361" s="122"/>
      <c r="AK361" s="122"/>
      <c r="AL361" s="122"/>
      <c r="AM361" s="122"/>
      <c r="AN361" s="122"/>
      <c r="AO361" s="122"/>
      <c r="AP361" s="122"/>
      <c r="AQ361" s="122"/>
      <c r="AR361" s="122"/>
      <c r="AS361" s="122"/>
      <c r="AT361" s="122"/>
      <c r="AU361" s="122"/>
      <c r="AV361" s="122"/>
      <c r="AW361" s="122"/>
      <c r="AX361" s="122"/>
      <c r="AY361" s="122"/>
      <c r="AZ361" s="122"/>
      <c r="BA361" s="122"/>
      <c r="BB361" s="122"/>
      <c r="BC361" s="122"/>
    </row>
    <row r="362" spans="12:60" ht="30.9" customHeight="1">
      <c r="L362" s="123"/>
      <c r="M362" s="123"/>
      <c r="O362" s="124"/>
      <c r="P362" s="124"/>
      <c r="Q362" s="100"/>
      <c r="R362" s="100"/>
      <c r="S362" s="100"/>
      <c r="T362" s="100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  <c r="AH362" s="122"/>
      <c r="AI362" s="122"/>
      <c r="AJ362" s="122"/>
      <c r="AK362" s="122"/>
      <c r="AL362" s="122"/>
      <c r="AM362" s="122"/>
      <c r="AN362" s="122"/>
      <c r="AO362" s="122"/>
      <c r="AP362" s="122"/>
      <c r="AQ362" s="122"/>
      <c r="AR362" s="122"/>
      <c r="AS362" s="122"/>
      <c r="AT362" s="122"/>
      <c r="AU362" s="122"/>
      <c r="AV362" s="122"/>
      <c r="AW362" s="122"/>
      <c r="AX362" s="122"/>
      <c r="AY362" s="122"/>
      <c r="AZ362" s="122"/>
      <c r="BA362" s="122"/>
      <c r="BB362" s="122"/>
      <c r="BC362" s="122"/>
    </row>
    <row r="364" spans="12:60" ht="15" customHeight="1">
      <c r="L364" s="5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17"/>
      <c r="AF364" s="17"/>
      <c r="AG364" s="17"/>
      <c r="AH364" s="17"/>
      <c r="AI364" s="17"/>
      <c r="AJ364" s="17"/>
      <c r="AK364" s="17"/>
      <c r="AL364" s="17"/>
      <c r="AM364" s="17"/>
      <c r="AN364" s="17"/>
      <c r="AO364" s="17"/>
      <c r="AP364" s="17"/>
      <c r="AQ364" s="17"/>
      <c r="AR364" s="17"/>
      <c r="AS364" s="17"/>
      <c r="AT364" s="17"/>
      <c r="AU364" s="17"/>
      <c r="AV364" s="17"/>
      <c r="AW364" s="17"/>
      <c r="AX364" s="17"/>
      <c r="AY364" s="17"/>
      <c r="AZ364" s="17"/>
      <c r="BA364" s="75"/>
      <c r="BB364" s="17"/>
      <c r="BC364" s="17"/>
    </row>
    <row r="365" spans="12:60" ht="22.5" customHeight="1">
      <c r="L365" s="91"/>
      <c r="M365" s="91"/>
      <c r="N365" s="91"/>
      <c r="O365" s="91"/>
      <c r="P365" s="91"/>
      <c r="Q365" s="91"/>
      <c r="R365" s="91"/>
      <c r="S365" s="91"/>
      <c r="T365" s="91"/>
      <c r="U365" s="91"/>
      <c r="V365" s="91"/>
      <c r="W365" s="91"/>
      <c r="X365" s="91"/>
      <c r="Y365" s="91"/>
      <c r="Z365" s="91"/>
      <c r="AA365" s="91"/>
      <c r="AB365" s="91"/>
      <c r="AC365" s="91"/>
      <c r="AD365" s="91"/>
      <c r="AE365" s="18"/>
      <c r="AF365" s="18"/>
      <c r="AG365" s="18"/>
      <c r="AH365" s="18"/>
      <c r="AI365" s="18"/>
      <c r="AJ365" s="18"/>
      <c r="AK365" s="18"/>
      <c r="AL365" s="18"/>
      <c r="AM365" s="18"/>
      <c r="AN365" s="18"/>
      <c r="AO365" s="18"/>
      <c r="AP365" s="18"/>
      <c r="AQ365" s="18"/>
      <c r="AR365" s="18"/>
      <c r="AS365" s="18"/>
      <c r="AT365" s="18"/>
      <c r="AU365" s="18"/>
      <c r="AV365" s="18"/>
      <c r="AW365" s="18"/>
      <c r="AX365" s="18"/>
      <c r="AY365" s="18"/>
      <c r="AZ365" s="18"/>
      <c r="BA365" s="18"/>
      <c r="BB365" s="18"/>
      <c r="BC365" s="18"/>
    </row>
    <row r="366" spans="12:60" ht="22.5" customHeight="1">
      <c r="L366" s="51"/>
      <c r="M366" s="91"/>
      <c r="N366" s="94"/>
      <c r="O366" s="94"/>
      <c r="P366" s="94"/>
      <c r="Q366" s="91"/>
      <c r="R366" s="117"/>
      <c r="S366" s="117"/>
      <c r="T366" s="117"/>
      <c r="U366" s="117"/>
      <c r="V366" s="117"/>
      <c r="W366" s="117"/>
      <c r="X366" s="117"/>
      <c r="Y366" s="117"/>
      <c r="Z366" s="117"/>
      <c r="AA366" s="117"/>
      <c r="AB366" s="117"/>
      <c r="AC366" s="117"/>
      <c r="AD366" s="117"/>
      <c r="AE366" s="117"/>
      <c r="AF366" s="117"/>
      <c r="AG366" s="117"/>
      <c r="AH366" s="117"/>
      <c r="AI366" s="117"/>
      <c r="AJ366" s="51"/>
      <c r="AK366" s="91"/>
      <c r="AL366" s="94"/>
      <c r="AM366" s="94"/>
      <c r="AN366" s="94"/>
      <c r="AO366" s="94"/>
      <c r="AP366" s="94"/>
      <c r="AQ366" s="91"/>
      <c r="AR366" s="94"/>
      <c r="AS366" s="94"/>
      <c r="AT366" s="94"/>
      <c r="AU366" s="94"/>
      <c r="AV366" s="94"/>
      <c r="AW366" s="94"/>
      <c r="AX366" s="94"/>
      <c r="AY366" s="94"/>
      <c r="AZ366" s="94"/>
      <c r="BA366" s="94"/>
      <c r="BB366" s="94"/>
      <c r="BC366" s="94"/>
    </row>
    <row r="367" spans="12:60" ht="21.75" customHeight="1">
      <c r="L367" s="41"/>
      <c r="M367" s="94"/>
      <c r="N367" s="94"/>
      <c r="O367" s="94"/>
      <c r="P367" s="94"/>
      <c r="Q367" s="117"/>
      <c r="R367" s="117"/>
      <c r="S367" s="117"/>
      <c r="T367" s="117"/>
      <c r="U367" s="117"/>
      <c r="V367" s="117"/>
      <c r="W367" s="117"/>
      <c r="X367" s="117"/>
      <c r="Y367" s="117"/>
      <c r="Z367" s="117"/>
      <c r="AA367" s="117"/>
      <c r="AB367" s="117"/>
      <c r="AC367" s="117"/>
      <c r="AD367" s="117"/>
      <c r="AE367" s="117"/>
      <c r="AF367" s="117"/>
      <c r="AG367" s="117"/>
      <c r="AH367" s="117"/>
      <c r="AI367" s="117"/>
      <c r="AJ367" s="41"/>
      <c r="AK367" s="94"/>
      <c r="AL367" s="94"/>
      <c r="AM367" s="94"/>
      <c r="AN367" s="94"/>
      <c r="AO367" s="94"/>
      <c r="AP367" s="94"/>
      <c r="AQ367" s="94"/>
      <c r="AR367" s="94"/>
      <c r="AS367" s="94"/>
      <c r="AT367" s="94"/>
      <c r="AU367" s="94"/>
      <c r="AV367" s="94"/>
      <c r="AW367" s="94"/>
      <c r="AX367" s="94"/>
      <c r="AY367" s="94"/>
      <c r="AZ367" s="94"/>
      <c r="BA367" s="94"/>
      <c r="BB367" s="94"/>
      <c r="BC367" s="94"/>
    </row>
    <row r="368" spans="12:60" ht="14.4">
      <c r="L368" s="52"/>
      <c r="M368" s="96"/>
      <c r="N368" s="96"/>
      <c r="O368" s="96"/>
      <c r="P368" s="96"/>
      <c r="Q368" s="60"/>
      <c r="R368" s="96"/>
      <c r="S368" s="96"/>
      <c r="T368" s="96"/>
      <c r="U368" s="96"/>
      <c r="V368" s="96"/>
      <c r="W368" s="96"/>
      <c r="X368" s="96"/>
      <c r="Y368" s="96"/>
      <c r="Z368" s="96"/>
      <c r="AA368" s="96"/>
      <c r="AB368" s="96"/>
      <c r="AC368" s="96"/>
      <c r="AD368" s="96"/>
      <c r="AE368" s="96"/>
      <c r="AF368" s="96"/>
      <c r="AG368" s="96"/>
      <c r="AH368" s="96"/>
      <c r="AI368" s="96"/>
      <c r="AJ368" s="96"/>
      <c r="AK368" s="96"/>
      <c r="AL368" s="96"/>
      <c r="AM368" s="96"/>
      <c r="AN368" s="96"/>
      <c r="AO368" s="96"/>
      <c r="AP368" s="96"/>
      <c r="AQ368" s="96"/>
      <c r="AR368" s="96"/>
      <c r="AS368" s="96"/>
      <c r="AT368" s="96"/>
      <c r="AU368" s="96"/>
      <c r="AV368" s="96"/>
      <c r="AW368" s="96"/>
      <c r="AX368" s="96"/>
      <c r="AY368" s="96"/>
      <c r="AZ368" s="96"/>
      <c r="BA368" s="96"/>
      <c r="BB368" s="96"/>
      <c r="BC368" s="96"/>
      <c r="BD368" s="20"/>
      <c r="BE368" s="20"/>
      <c r="BF368" s="20"/>
      <c r="BG368" s="20"/>
      <c r="BH368" s="20"/>
    </row>
    <row r="369" spans="12:60" ht="14.4">
      <c r="L369" s="54"/>
      <c r="M369" s="96"/>
      <c r="N369" s="96"/>
      <c r="O369" s="96"/>
      <c r="P369" s="96"/>
      <c r="Q369" s="61"/>
      <c r="R369" s="96"/>
      <c r="S369" s="96"/>
      <c r="T369" s="96"/>
      <c r="U369" s="96"/>
      <c r="V369" s="96"/>
      <c r="W369" s="96"/>
      <c r="X369" s="96"/>
      <c r="Y369" s="96"/>
      <c r="Z369" s="96"/>
      <c r="AA369" s="96"/>
      <c r="AB369" s="96"/>
      <c r="AC369" s="96"/>
      <c r="AD369" s="96"/>
      <c r="AE369" s="96"/>
      <c r="AF369" s="96"/>
      <c r="AG369" s="96"/>
      <c r="AH369" s="96"/>
      <c r="AI369" s="96"/>
      <c r="AJ369" s="96"/>
      <c r="AK369" s="96"/>
      <c r="AL369" s="96"/>
      <c r="AM369" s="96"/>
      <c r="AN369" s="96"/>
      <c r="AO369" s="96"/>
      <c r="AP369" s="96"/>
      <c r="AQ369" s="96"/>
      <c r="AR369" s="96"/>
      <c r="AS369" s="96"/>
      <c r="AT369" s="96"/>
      <c r="AU369" s="96"/>
      <c r="AV369" s="96"/>
      <c r="AW369" s="96"/>
      <c r="AX369" s="96"/>
      <c r="AY369" s="96"/>
      <c r="AZ369" s="96"/>
      <c r="BA369" s="96"/>
      <c r="BB369" s="96"/>
      <c r="BC369" s="96"/>
      <c r="BD369" s="20"/>
      <c r="BE369" s="20"/>
      <c r="BF369" s="20"/>
      <c r="BG369" s="20"/>
      <c r="BH369" s="20"/>
    </row>
    <row r="370" spans="12:60" ht="15" customHeight="1">
      <c r="L370" s="136"/>
      <c r="M370" s="136"/>
      <c r="N370" s="136"/>
      <c r="O370" s="136"/>
      <c r="P370" s="137"/>
      <c r="Q370" s="138"/>
      <c r="R370" s="138"/>
      <c r="S370" s="138"/>
      <c r="T370" s="138"/>
      <c r="U370" s="136"/>
      <c r="V370" s="136"/>
      <c r="W370" s="135"/>
      <c r="X370" s="135"/>
      <c r="Y370" s="136"/>
      <c r="Z370" s="136"/>
      <c r="AA370" s="135"/>
      <c r="AB370" s="135"/>
      <c r="AC370" s="135"/>
      <c r="AD370" s="135"/>
      <c r="AE370" s="136"/>
      <c r="AF370" s="136"/>
      <c r="AG370" s="135"/>
      <c r="AH370" s="135"/>
      <c r="AI370" s="136"/>
      <c r="AJ370" s="136"/>
      <c r="AK370" s="135"/>
      <c r="AL370" s="135"/>
      <c r="AM370" s="134"/>
      <c r="AN370" s="135"/>
      <c r="AO370" s="135"/>
      <c r="AP370" s="135"/>
      <c r="AQ370" s="7"/>
      <c r="AR370" s="7"/>
      <c r="AS370" s="7"/>
      <c r="AT370" s="136"/>
      <c r="AU370" s="136"/>
      <c r="AV370" s="136"/>
      <c r="AW370" s="136"/>
      <c r="AX370" s="135"/>
      <c r="AY370" s="135"/>
      <c r="AZ370" s="135"/>
      <c r="BA370" s="135"/>
      <c r="BB370" s="135"/>
      <c r="BC370" s="135"/>
    </row>
    <row r="371" spans="12:60" ht="14.25" customHeight="1">
      <c r="L371" s="136"/>
      <c r="M371" s="136"/>
      <c r="N371" s="136"/>
      <c r="O371" s="136"/>
      <c r="P371" s="137"/>
      <c r="Q371" s="138"/>
      <c r="R371" s="138"/>
      <c r="S371" s="138"/>
      <c r="T371" s="138"/>
      <c r="U371" s="136"/>
      <c r="V371" s="136"/>
      <c r="W371" s="135"/>
      <c r="X371" s="135"/>
      <c r="Y371" s="136"/>
      <c r="Z371" s="136"/>
      <c r="AA371" s="135"/>
      <c r="AB371" s="135"/>
      <c r="AC371" s="135"/>
      <c r="AD371" s="135"/>
      <c r="AE371" s="136"/>
      <c r="AF371" s="136"/>
      <c r="AG371" s="135"/>
      <c r="AH371" s="135"/>
      <c r="AI371" s="136"/>
      <c r="AJ371" s="136"/>
      <c r="AK371" s="135"/>
      <c r="AL371" s="135"/>
      <c r="AM371" s="135"/>
      <c r="AN371" s="135"/>
      <c r="AO371" s="135"/>
      <c r="AP371" s="135"/>
      <c r="AQ371" s="7"/>
      <c r="AR371" s="7"/>
      <c r="AS371" s="7"/>
      <c r="AT371" s="136"/>
      <c r="AU371" s="136"/>
      <c r="AV371" s="136"/>
      <c r="AW371" s="136"/>
      <c r="AX371" s="135"/>
      <c r="AY371" s="135"/>
      <c r="AZ371" s="135"/>
      <c r="BA371" s="135"/>
      <c r="BB371" s="135"/>
      <c r="BC371" s="135"/>
    </row>
    <row r="372" spans="12:60" ht="14.25" customHeight="1">
      <c r="L372" s="136"/>
      <c r="M372" s="136"/>
      <c r="N372" s="136"/>
      <c r="O372" s="136"/>
      <c r="P372" s="137"/>
      <c r="Q372" s="138"/>
      <c r="R372" s="138"/>
      <c r="S372" s="138"/>
      <c r="T372" s="138"/>
      <c r="U372" s="136"/>
      <c r="V372" s="136"/>
      <c r="W372" s="135"/>
      <c r="X372" s="135"/>
      <c r="Y372" s="136"/>
      <c r="Z372" s="136"/>
      <c r="AA372" s="135"/>
      <c r="AB372" s="135"/>
      <c r="AC372" s="135"/>
      <c r="AD372" s="135"/>
      <c r="AE372" s="136"/>
      <c r="AF372" s="136"/>
      <c r="AG372" s="135"/>
      <c r="AH372" s="135"/>
      <c r="AI372" s="136"/>
      <c r="AJ372" s="136"/>
      <c r="AK372" s="135"/>
      <c r="AL372" s="135"/>
      <c r="AM372" s="134"/>
      <c r="AN372" s="135"/>
      <c r="AO372" s="135"/>
      <c r="AP372" s="135"/>
      <c r="AQ372" s="7"/>
      <c r="AR372" s="7"/>
      <c r="AS372" s="7"/>
      <c r="AT372" s="99"/>
      <c r="AU372" s="99"/>
      <c r="AV372" s="99"/>
      <c r="AW372" s="99"/>
      <c r="AX372" s="100"/>
      <c r="AY372" s="100"/>
      <c r="AZ372" s="100"/>
      <c r="BA372" s="100"/>
      <c r="BB372" s="100"/>
      <c r="BC372" s="100"/>
    </row>
    <row r="373" spans="12:60" ht="14.25" customHeight="1">
      <c r="L373" s="136"/>
      <c r="M373" s="136"/>
      <c r="N373" s="136"/>
      <c r="O373" s="136"/>
      <c r="P373" s="137"/>
      <c r="Q373" s="138"/>
      <c r="R373" s="138"/>
      <c r="S373" s="138"/>
      <c r="T373" s="138"/>
      <c r="U373" s="49"/>
      <c r="V373" s="49"/>
      <c r="W373" s="49"/>
      <c r="X373" s="136"/>
      <c r="Y373" s="136"/>
      <c r="Z373" s="136"/>
      <c r="AA373" s="136"/>
      <c r="AB373" s="135"/>
      <c r="AC373" s="135"/>
      <c r="AD373" s="135"/>
      <c r="AE373" s="136"/>
      <c r="AF373" s="136"/>
      <c r="AG373" s="136"/>
      <c r="AH373" s="136"/>
      <c r="AI373" s="135"/>
      <c r="AJ373" s="135"/>
      <c r="AK373" s="135"/>
      <c r="AL373" s="49"/>
      <c r="AM373" s="135"/>
      <c r="AN373" s="135"/>
      <c r="AO373" s="135"/>
      <c r="AP373" s="135"/>
      <c r="AQ373" s="7"/>
      <c r="AR373" s="7"/>
      <c r="AS373" s="7"/>
      <c r="AT373" s="99"/>
      <c r="AU373" s="99"/>
      <c r="AV373" s="99"/>
      <c r="AW373" s="99"/>
      <c r="AX373" s="100"/>
      <c r="AY373" s="100"/>
      <c r="AZ373" s="100"/>
      <c r="BA373" s="100"/>
      <c r="BB373" s="100"/>
      <c r="BC373" s="100"/>
    </row>
    <row r="374" spans="12:60" ht="14.25" customHeight="1">
      <c r="L374" s="136"/>
      <c r="M374" s="136"/>
      <c r="N374" s="136"/>
      <c r="O374" s="136"/>
      <c r="P374" s="137"/>
      <c r="Q374" s="138"/>
      <c r="R374" s="138"/>
      <c r="S374" s="138"/>
      <c r="T374" s="138"/>
      <c r="U374" s="7"/>
      <c r="V374" s="7"/>
      <c r="W374" s="7"/>
      <c r="X374" s="136"/>
      <c r="Y374" s="136"/>
      <c r="Z374" s="136"/>
      <c r="AA374" s="136"/>
      <c r="AB374" s="135"/>
      <c r="AC374" s="135"/>
      <c r="AD374" s="135"/>
      <c r="AE374" s="136"/>
      <c r="AF374" s="136"/>
      <c r="AG374" s="136"/>
      <c r="AH374" s="136"/>
      <c r="AI374" s="135"/>
      <c r="AJ374" s="135"/>
      <c r="AK374" s="135"/>
      <c r="AL374" s="7"/>
      <c r="AM374" s="134"/>
      <c r="AN374" s="135"/>
      <c r="AO374" s="135"/>
      <c r="AP374" s="135"/>
      <c r="AQ374" s="7"/>
      <c r="AR374" s="7"/>
      <c r="AS374" s="7"/>
      <c r="AT374" s="99"/>
      <c r="AU374" s="99"/>
      <c r="AV374" s="99"/>
      <c r="AW374" s="99"/>
      <c r="AX374" s="100"/>
      <c r="AY374" s="100"/>
      <c r="AZ374" s="100"/>
      <c r="BA374" s="100"/>
      <c r="BB374" s="100"/>
      <c r="BC374" s="100"/>
    </row>
    <row r="375" spans="12:60" ht="14.25" customHeight="1">
      <c r="L375" s="136"/>
      <c r="M375" s="136"/>
      <c r="N375" s="136"/>
      <c r="O375" s="136"/>
      <c r="P375" s="137"/>
      <c r="Q375" s="138"/>
      <c r="R375" s="138"/>
      <c r="S375" s="138"/>
      <c r="T375" s="138"/>
      <c r="U375" s="7"/>
      <c r="V375" s="7"/>
      <c r="W375" s="7"/>
      <c r="X375" s="136"/>
      <c r="Y375" s="136"/>
      <c r="Z375" s="136"/>
      <c r="AA375" s="136"/>
      <c r="AB375" s="135"/>
      <c r="AC375" s="135"/>
      <c r="AD375" s="135"/>
      <c r="AE375" s="136"/>
      <c r="AF375" s="136"/>
      <c r="AG375" s="136"/>
      <c r="AH375" s="136"/>
      <c r="AI375" s="135"/>
      <c r="AJ375" s="135"/>
      <c r="AK375" s="135"/>
      <c r="AL375" s="7"/>
      <c r="AM375" s="135"/>
      <c r="AN375" s="135"/>
      <c r="AO375" s="135"/>
      <c r="AP375" s="135"/>
      <c r="AQ375" s="7"/>
      <c r="AR375" s="7"/>
      <c r="AS375" s="7"/>
      <c r="AT375" s="99"/>
      <c r="AU375" s="99"/>
      <c r="AV375" s="99"/>
      <c r="AW375" s="99"/>
      <c r="AX375" s="100"/>
      <c r="AY375" s="100"/>
      <c r="AZ375" s="100"/>
      <c r="BA375" s="100"/>
      <c r="BB375" s="100"/>
      <c r="BC375" s="100"/>
    </row>
    <row r="376" spans="12:60" ht="30.9" customHeight="1">
      <c r="L376" s="139"/>
      <c r="M376" s="139"/>
      <c r="N376" s="139"/>
      <c r="O376" s="140"/>
      <c r="P376" s="140"/>
      <c r="Q376" s="137"/>
      <c r="R376" s="137"/>
      <c r="S376" s="137"/>
      <c r="T376" s="137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  <c r="AH376" s="122"/>
      <c r="AI376" s="122"/>
      <c r="AJ376" s="122"/>
      <c r="AK376" s="122"/>
      <c r="AL376" s="122"/>
      <c r="AM376" s="122"/>
      <c r="AN376" s="122"/>
      <c r="AO376" s="122"/>
      <c r="AP376" s="122"/>
      <c r="AQ376" s="122"/>
      <c r="AR376" s="122"/>
      <c r="AS376" s="122"/>
      <c r="AT376" s="122"/>
      <c r="AU376" s="122"/>
      <c r="AV376" s="122"/>
      <c r="AW376" s="122"/>
      <c r="AX376" s="122"/>
      <c r="AY376" s="122"/>
      <c r="AZ376" s="122"/>
      <c r="BA376" s="122"/>
      <c r="BB376" s="122"/>
      <c r="BC376" s="122"/>
    </row>
    <row r="377" spans="12:60" ht="30.9" customHeight="1">
      <c r="L377" s="139"/>
      <c r="M377" s="139"/>
      <c r="N377" s="139"/>
      <c r="O377" s="140"/>
      <c r="P377" s="140"/>
      <c r="Q377" s="137"/>
      <c r="R377" s="137"/>
      <c r="S377" s="137"/>
      <c r="T377" s="137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  <c r="AH377" s="122"/>
      <c r="AI377" s="122"/>
      <c r="AJ377" s="122"/>
      <c r="AK377" s="122"/>
      <c r="AL377" s="122"/>
      <c r="AM377" s="122"/>
      <c r="AN377" s="122"/>
      <c r="AO377" s="122"/>
      <c r="AP377" s="122"/>
      <c r="AQ377" s="122"/>
      <c r="AR377" s="122"/>
      <c r="AS377" s="122"/>
      <c r="AT377" s="122"/>
      <c r="AU377" s="122"/>
      <c r="AV377" s="122"/>
      <c r="AW377" s="122"/>
      <c r="AX377" s="122"/>
      <c r="AY377" s="122"/>
      <c r="AZ377" s="122"/>
      <c r="BA377" s="122"/>
      <c r="BB377" s="122"/>
      <c r="BC377" s="122"/>
    </row>
    <row r="378" spans="12:60" ht="15" customHeight="1">
      <c r="L378" s="136"/>
      <c r="M378" s="136"/>
      <c r="N378" s="136"/>
      <c r="O378" s="136"/>
      <c r="P378" s="137"/>
      <c r="Q378" s="138"/>
      <c r="R378" s="138"/>
      <c r="S378" s="138"/>
      <c r="T378" s="138"/>
      <c r="U378" s="136"/>
      <c r="V378" s="136"/>
      <c r="W378" s="135"/>
      <c r="X378" s="135"/>
      <c r="Y378" s="136"/>
      <c r="Z378" s="136"/>
      <c r="AA378" s="135"/>
      <c r="AB378" s="135"/>
      <c r="AC378" s="135"/>
      <c r="AD378" s="135"/>
      <c r="AE378" s="136"/>
      <c r="AF378" s="136"/>
      <c r="AG378" s="135"/>
      <c r="AH378" s="135"/>
      <c r="AI378" s="136"/>
      <c r="AJ378" s="136"/>
      <c r="AK378" s="135"/>
      <c r="AL378" s="135"/>
      <c r="AM378" s="134"/>
      <c r="AN378" s="135"/>
      <c r="AO378" s="135"/>
      <c r="AP378" s="135"/>
      <c r="AQ378" s="7"/>
      <c r="AR378" s="7"/>
      <c r="AS378" s="7"/>
      <c r="AT378" s="136"/>
      <c r="AU378" s="136"/>
      <c r="AV378" s="136"/>
      <c r="AW378" s="136"/>
      <c r="AX378" s="135"/>
      <c r="AY378" s="135"/>
      <c r="AZ378" s="135"/>
      <c r="BA378" s="135"/>
      <c r="BB378" s="135"/>
      <c r="BC378" s="135"/>
    </row>
    <row r="379" spans="12:60" ht="14.25" customHeight="1">
      <c r="L379" s="136"/>
      <c r="M379" s="136"/>
      <c r="N379" s="136"/>
      <c r="O379" s="136"/>
      <c r="P379" s="137"/>
      <c r="Q379" s="138"/>
      <c r="R379" s="138"/>
      <c r="S379" s="138"/>
      <c r="T379" s="138"/>
      <c r="U379" s="136"/>
      <c r="V379" s="136"/>
      <c r="W379" s="135"/>
      <c r="X379" s="135"/>
      <c r="Y379" s="136"/>
      <c r="Z379" s="136"/>
      <c r="AA379" s="135"/>
      <c r="AB379" s="135"/>
      <c r="AC379" s="135"/>
      <c r="AD379" s="135"/>
      <c r="AE379" s="136"/>
      <c r="AF379" s="136"/>
      <c r="AG379" s="135"/>
      <c r="AH379" s="135"/>
      <c r="AI379" s="136"/>
      <c r="AJ379" s="136"/>
      <c r="AK379" s="135"/>
      <c r="AL379" s="135"/>
      <c r="AM379" s="135"/>
      <c r="AN379" s="135"/>
      <c r="AO379" s="135"/>
      <c r="AP379" s="135"/>
      <c r="AQ379" s="7"/>
      <c r="AR379" s="7"/>
      <c r="AS379" s="7"/>
      <c r="AT379" s="136"/>
      <c r="AU379" s="136"/>
      <c r="AV379" s="136"/>
      <c r="AW379" s="136"/>
      <c r="AX379" s="135"/>
      <c r="AY379" s="135"/>
      <c r="AZ379" s="135"/>
      <c r="BA379" s="135"/>
      <c r="BB379" s="135"/>
      <c r="BC379" s="135"/>
    </row>
    <row r="380" spans="12:60" ht="14.25" customHeight="1">
      <c r="L380" s="136"/>
      <c r="M380" s="136"/>
      <c r="N380" s="136"/>
      <c r="O380" s="136"/>
      <c r="P380" s="137"/>
      <c r="Q380" s="138"/>
      <c r="R380" s="138"/>
      <c r="S380" s="138"/>
      <c r="T380" s="138"/>
      <c r="U380" s="136"/>
      <c r="V380" s="136"/>
      <c r="W380" s="135"/>
      <c r="X380" s="135"/>
      <c r="Y380" s="136"/>
      <c r="Z380" s="136"/>
      <c r="AA380" s="135"/>
      <c r="AB380" s="135"/>
      <c r="AC380" s="135"/>
      <c r="AD380" s="135"/>
      <c r="AE380" s="136"/>
      <c r="AF380" s="136"/>
      <c r="AG380" s="135"/>
      <c r="AH380" s="135"/>
      <c r="AI380" s="136"/>
      <c r="AJ380" s="136"/>
      <c r="AK380" s="135"/>
      <c r="AL380" s="135"/>
      <c r="AM380" s="134"/>
      <c r="AN380" s="135"/>
      <c r="AO380" s="135"/>
      <c r="AP380" s="135"/>
      <c r="AQ380" s="7"/>
      <c r="AR380" s="7"/>
      <c r="AS380" s="7"/>
      <c r="AT380" s="99"/>
      <c r="AU380" s="99"/>
      <c r="AV380" s="99"/>
      <c r="AW380" s="99"/>
      <c r="AX380" s="100"/>
      <c r="AY380" s="100"/>
      <c r="AZ380" s="100"/>
      <c r="BA380" s="100"/>
      <c r="BB380" s="100"/>
      <c r="BC380" s="100"/>
    </row>
    <row r="381" spans="12:60" ht="14.25" customHeight="1">
      <c r="L381" s="136"/>
      <c r="M381" s="136"/>
      <c r="N381" s="136"/>
      <c r="O381" s="136"/>
      <c r="P381" s="137"/>
      <c r="Q381" s="138"/>
      <c r="R381" s="138"/>
      <c r="S381" s="138"/>
      <c r="T381" s="138"/>
      <c r="U381" s="49"/>
      <c r="V381" s="49"/>
      <c r="W381" s="49"/>
      <c r="X381" s="136"/>
      <c r="Y381" s="136"/>
      <c r="Z381" s="136"/>
      <c r="AA381" s="136"/>
      <c r="AB381" s="135"/>
      <c r="AC381" s="135"/>
      <c r="AD381" s="135"/>
      <c r="AE381" s="136"/>
      <c r="AF381" s="136"/>
      <c r="AG381" s="136"/>
      <c r="AH381" s="136"/>
      <c r="AI381" s="135"/>
      <c r="AJ381" s="135"/>
      <c r="AK381" s="135"/>
      <c r="AL381" s="49"/>
      <c r="AM381" s="135"/>
      <c r="AN381" s="135"/>
      <c r="AO381" s="135"/>
      <c r="AP381" s="135"/>
      <c r="AQ381" s="7"/>
      <c r="AR381" s="7"/>
      <c r="AS381" s="7"/>
      <c r="AT381" s="99"/>
      <c r="AU381" s="99"/>
      <c r="AV381" s="99"/>
      <c r="AW381" s="99"/>
      <c r="AX381" s="100"/>
      <c r="AY381" s="100"/>
      <c r="AZ381" s="100"/>
      <c r="BA381" s="100"/>
      <c r="BB381" s="100"/>
      <c r="BC381" s="100"/>
    </row>
    <row r="382" spans="12:60" ht="14.25" customHeight="1">
      <c r="L382" s="136"/>
      <c r="M382" s="136"/>
      <c r="N382" s="136"/>
      <c r="O382" s="136"/>
      <c r="P382" s="137"/>
      <c r="Q382" s="138"/>
      <c r="R382" s="138"/>
      <c r="S382" s="138"/>
      <c r="T382" s="138"/>
      <c r="U382" s="7"/>
      <c r="V382" s="7"/>
      <c r="W382" s="7"/>
      <c r="X382" s="136"/>
      <c r="Y382" s="136"/>
      <c r="Z382" s="136"/>
      <c r="AA382" s="136"/>
      <c r="AB382" s="135"/>
      <c r="AC382" s="135"/>
      <c r="AD382" s="135"/>
      <c r="AE382" s="136"/>
      <c r="AF382" s="136"/>
      <c r="AG382" s="136"/>
      <c r="AH382" s="136"/>
      <c r="AI382" s="135"/>
      <c r="AJ382" s="135"/>
      <c r="AK382" s="135"/>
      <c r="AL382" s="7"/>
      <c r="AM382" s="134"/>
      <c r="AN382" s="135"/>
      <c r="AO382" s="135"/>
      <c r="AP382" s="135"/>
      <c r="AQ382" s="7"/>
      <c r="AR382" s="7"/>
      <c r="AS382" s="7"/>
      <c r="AT382" s="99"/>
      <c r="AU382" s="99"/>
      <c r="AV382" s="99"/>
      <c r="AW382" s="99"/>
      <c r="AX382" s="100"/>
      <c r="AY382" s="100"/>
      <c r="AZ382" s="100"/>
      <c r="BA382" s="100"/>
      <c r="BB382" s="100"/>
      <c r="BC382" s="100"/>
    </row>
    <row r="383" spans="12:60" ht="14.25" customHeight="1">
      <c r="L383" s="136"/>
      <c r="M383" s="136"/>
      <c r="N383" s="136"/>
      <c r="O383" s="136"/>
      <c r="P383" s="137"/>
      <c r="Q383" s="138"/>
      <c r="R383" s="138"/>
      <c r="S383" s="138"/>
      <c r="T383" s="138"/>
      <c r="U383" s="7"/>
      <c r="V383" s="7"/>
      <c r="W383" s="7"/>
      <c r="X383" s="136"/>
      <c r="Y383" s="136"/>
      <c r="Z383" s="136"/>
      <c r="AA383" s="136"/>
      <c r="AB383" s="135"/>
      <c r="AC383" s="135"/>
      <c r="AD383" s="135"/>
      <c r="AE383" s="136"/>
      <c r="AF383" s="136"/>
      <c r="AG383" s="136"/>
      <c r="AH383" s="136"/>
      <c r="AI383" s="135"/>
      <c r="AJ383" s="135"/>
      <c r="AK383" s="135"/>
      <c r="AL383" s="7"/>
      <c r="AM383" s="135"/>
      <c r="AN383" s="135"/>
      <c r="AO383" s="135"/>
      <c r="AP383" s="135"/>
      <c r="AQ383" s="7"/>
      <c r="AR383" s="7"/>
      <c r="AS383" s="7"/>
      <c r="AT383" s="99"/>
      <c r="AU383" s="99"/>
      <c r="AV383" s="99"/>
      <c r="AW383" s="99"/>
      <c r="AX383" s="100"/>
      <c r="AY383" s="100"/>
      <c r="AZ383" s="100"/>
      <c r="BA383" s="100"/>
      <c r="BB383" s="100"/>
      <c r="BC383" s="100"/>
    </row>
    <row r="384" spans="12:60" ht="30.9" customHeight="1">
      <c r="L384" s="139"/>
      <c r="M384" s="139"/>
      <c r="N384" s="139"/>
      <c r="O384" s="140"/>
      <c r="P384" s="140"/>
      <c r="Q384" s="137"/>
      <c r="R384" s="137"/>
      <c r="S384" s="137"/>
      <c r="T384" s="137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  <c r="AH384" s="122"/>
      <c r="AI384" s="122"/>
      <c r="AJ384" s="122"/>
      <c r="AK384" s="122"/>
      <c r="AL384" s="122"/>
      <c r="AM384" s="122"/>
      <c r="AN384" s="122"/>
      <c r="AO384" s="122"/>
      <c r="AP384" s="122"/>
      <c r="AQ384" s="122"/>
      <c r="AR384" s="122"/>
      <c r="AS384" s="122"/>
      <c r="AT384" s="122"/>
      <c r="AU384" s="122"/>
      <c r="AV384" s="122"/>
      <c r="AW384" s="122"/>
      <c r="AX384" s="122"/>
      <c r="AY384" s="122"/>
      <c r="AZ384" s="122"/>
      <c r="BA384" s="122"/>
      <c r="BB384" s="122"/>
      <c r="BC384" s="122"/>
    </row>
    <row r="385" spans="12:56" ht="30.9" customHeight="1">
      <c r="L385" s="139"/>
      <c r="M385" s="139"/>
      <c r="N385" s="139"/>
      <c r="O385" s="140"/>
      <c r="P385" s="140"/>
      <c r="Q385" s="137"/>
      <c r="R385" s="137"/>
      <c r="S385" s="137"/>
      <c r="T385" s="137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  <c r="AH385" s="122"/>
      <c r="AI385" s="122"/>
      <c r="AJ385" s="122"/>
      <c r="AK385" s="122"/>
      <c r="AL385" s="122"/>
      <c r="AM385" s="122"/>
      <c r="AN385" s="122"/>
      <c r="AO385" s="122"/>
      <c r="AP385" s="122"/>
      <c r="AQ385" s="122"/>
      <c r="AR385" s="122"/>
      <c r="AS385" s="122"/>
      <c r="AT385" s="122"/>
      <c r="AU385" s="122"/>
      <c r="AV385" s="122"/>
      <c r="AW385" s="122"/>
      <c r="AX385" s="122"/>
      <c r="AY385" s="122"/>
      <c r="AZ385" s="122"/>
      <c r="BA385" s="122"/>
      <c r="BB385" s="122"/>
      <c r="BC385" s="122"/>
    </row>
    <row r="386" spans="12:56" ht="14.25" customHeight="1">
      <c r="L386" s="136"/>
      <c r="M386" s="136"/>
      <c r="N386" s="136"/>
      <c r="O386" s="136"/>
      <c r="P386" s="137"/>
      <c r="Q386" s="138"/>
      <c r="R386" s="138"/>
      <c r="S386" s="138"/>
      <c r="T386" s="138"/>
      <c r="U386" s="136"/>
      <c r="V386" s="136"/>
      <c r="W386" s="135"/>
      <c r="X386" s="135"/>
      <c r="Y386" s="136"/>
      <c r="Z386" s="136"/>
      <c r="AA386" s="135"/>
      <c r="AB386" s="135"/>
      <c r="AC386" s="135"/>
      <c r="AD386" s="135"/>
      <c r="AE386" s="136"/>
      <c r="AF386" s="136"/>
      <c r="AG386" s="135"/>
      <c r="AH386" s="135"/>
      <c r="AI386" s="136"/>
      <c r="AJ386" s="136"/>
      <c r="AK386" s="135"/>
      <c r="AL386" s="135"/>
      <c r="AM386" s="134"/>
      <c r="AN386" s="135"/>
      <c r="AO386" s="135"/>
      <c r="AP386" s="135"/>
      <c r="AQ386" s="7"/>
      <c r="AR386" s="7"/>
      <c r="AS386" s="7"/>
      <c r="AT386" s="136"/>
      <c r="AU386" s="136"/>
      <c r="AV386" s="136"/>
      <c r="AW386" s="136"/>
      <c r="AX386" s="135"/>
      <c r="AY386" s="135"/>
      <c r="AZ386" s="135"/>
      <c r="BA386" s="135"/>
      <c r="BB386" s="135"/>
      <c r="BC386" s="135"/>
    </row>
    <row r="387" spans="12:56" ht="14.25" customHeight="1">
      <c r="L387" s="136"/>
      <c r="M387" s="136"/>
      <c r="N387" s="136"/>
      <c r="O387" s="136"/>
      <c r="P387" s="137"/>
      <c r="Q387" s="138"/>
      <c r="R387" s="138"/>
      <c r="S387" s="138"/>
      <c r="T387" s="138"/>
      <c r="U387" s="136"/>
      <c r="V387" s="136"/>
      <c r="W387" s="135"/>
      <c r="X387" s="135"/>
      <c r="Y387" s="136"/>
      <c r="Z387" s="136"/>
      <c r="AA387" s="135"/>
      <c r="AB387" s="135"/>
      <c r="AC387" s="135"/>
      <c r="AD387" s="135"/>
      <c r="AE387" s="136"/>
      <c r="AF387" s="136"/>
      <c r="AG387" s="135"/>
      <c r="AH387" s="135"/>
      <c r="AI387" s="136"/>
      <c r="AJ387" s="136"/>
      <c r="AK387" s="135"/>
      <c r="AL387" s="135"/>
      <c r="AM387" s="135"/>
      <c r="AN387" s="135"/>
      <c r="AO387" s="135"/>
      <c r="AP387" s="135"/>
      <c r="AQ387" s="7"/>
      <c r="AR387" s="7"/>
      <c r="AS387" s="7"/>
      <c r="AT387" s="136"/>
      <c r="AU387" s="136"/>
      <c r="AV387" s="136"/>
      <c r="AW387" s="136"/>
      <c r="AX387" s="135"/>
      <c r="AY387" s="135"/>
      <c r="AZ387" s="135"/>
      <c r="BA387" s="135"/>
      <c r="BB387" s="135"/>
      <c r="BC387" s="135"/>
      <c r="BD387" s="22"/>
    </row>
    <row r="388" spans="12:56" ht="14.25" customHeight="1">
      <c r="L388" s="136"/>
      <c r="M388" s="136"/>
      <c r="N388" s="136"/>
      <c r="O388" s="136"/>
      <c r="P388" s="137"/>
      <c r="Q388" s="138"/>
      <c r="R388" s="138"/>
      <c r="S388" s="138"/>
      <c r="T388" s="138"/>
      <c r="U388" s="136"/>
      <c r="V388" s="136"/>
      <c r="W388" s="135"/>
      <c r="X388" s="135"/>
      <c r="Y388" s="136"/>
      <c r="Z388" s="136"/>
      <c r="AA388" s="135"/>
      <c r="AB388" s="135"/>
      <c r="AC388" s="135"/>
      <c r="AD388" s="135"/>
      <c r="AE388" s="136"/>
      <c r="AF388" s="136"/>
      <c r="AG388" s="135"/>
      <c r="AH388" s="135"/>
      <c r="AI388" s="136"/>
      <c r="AJ388" s="136"/>
      <c r="AK388" s="135"/>
      <c r="AL388" s="135"/>
      <c r="AM388" s="134"/>
      <c r="AN388" s="135"/>
      <c r="AO388" s="135"/>
      <c r="AP388" s="135"/>
      <c r="AQ388" s="7"/>
      <c r="AR388" s="7"/>
      <c r="AS388" s="7"/>
      <c r="AT388" s="99"/>
      <c r="AU388" s="99"/>
      <c r="AV388" s="99"/>
      <c r="AW388" s="99"/>
      <c r="AX388" s="100"/>
      <c r="AY388" s="100"/>
      <c r="AZ388" s="100"/>
      <c r="BA388" s="100"/>
      <c r="BB388" s="100"/>
      <c r="BC388" s="100"/>
    </row>
    <row r="389" spans="12:56" ht="14.25" customHeight="1">
      <c r="L389" s="136"/>
      <c r="M389" s="136"/>
      <c r="N389" s="136"/>
      <c r="O389" s="136"/>
      <c r="P389" s="137"/>
      <c r="Q389" s="138"/>
      <c r="R389" s="138"/>
      <c r="S389" s="138"/>
      <c r="T389" s="138"/>
      <c r="U389" s="49"/>
      <c r="V389" s="49"/>
      <c r="W389" s="49"/>
      <c r="X389" s="136"/>
      <c r="Y389" s="136"/>
      <c r="Z389" s="136"/>
      <c r="AA389" s="136"/>
      <c r="AB389" s="135"/>
      <c r="AC389" s="135"/>
      <c r="AD389" s="135"/>
      <c r="AE389" s="136"/>
      <c r="AF389" s="136"/>
      <c r="AG389" s="136"/>
      <c r="AH389" s="136"/>
      <c r="AI389" s="135"/>
      <c r="AJ389" s="135"/>
      <c r="AK389" s="135"/>
      <c r="AL389" s="49"/>
      <c r="AM389" s="135"/>
      <c r="AN389" s="135"/>
      <c r="AO389" s="135"/>
      <c r="AP389" s="135"/>
      <c r="AQ389" s="7"/>
      <c r="AR389" s="7"/>
      <c r="AS389" s="7"/>
      <c r="AT389" s="99"/>
      <c r="AU389" s="99"/>
      <c r="AV389" s="99"/>
      <c r="AW389" s="99"/>
      <c r="AX389" s="100"/>
      <c r="AY389" s="100"/>
      <c r="AZ389" s="100"/>
      <c r="BA389" s="100"/>
      <c r="BB389" s="100"/>
      <c r="BC389" s="100"/>
    </row>
    <row r="390" spans="12:56" ht="14.25" customHeight="1">
      <c r="L390" s="136"/>
      <c r="M390" s="136"/>
      <c r="N390" s="136"/>
      <c r="O390" s="136"/>
      <c r="P390" s="137"/>
      <c r="Q390" s="138"/>
      <c r="R390" s="138"/>
      <c r="S390" s="138"/>
      <c r="T390" s="138"/>
      <c r="U390" s="7"/>
      <c r="V390" s="7"/>
      <c r="W390" s="7"/>
      <c r="X390" s="136"/>
      <c r="Y390" s="136"/>
      <c r="Z390" s="136"/>
      <c r="AA390" s="136"/>
      <c r="AB390" s="135"/>
      <c r="AC390" s="135"/>
      <c r="AD390" s="135"/>
      <c r="AE390" s="136"/>
      <c r="AF390" s="136"/>
      <c r="AG390" s="136"/>
      <c r="AH390" s="136"/>
      <c r="AI390" s="135"/>
      <c r="AJ390" s="135"/>
      <c r="AK390" s="135"/>
      <c r="AL390" s="7"/>
      <c r="AM390" s="134"/>
      <c r="AN390" s="135"/>
      <c r="AO390" s="135"/>
      <c r="AP390" s="135"/>
      <c r="AQ390" s="7"/>
      <c r="AR390" s="7"/>
      <c r="AS390" s="7"/>
      <c r="AT390" s="99"/>
      <c r="AU390" s="99"/>
      <c r="AV390" s="99"/>
      <c r="AW390" s="99"/>
      <c r="AX390" s="100"/>
      <c r="AY390" s="100"/>
      <c r="AZ390" s="100"/>
      <c r="BA390" s="100"/>
      <c r="BB390" s="100"/>
      <c r="BC390" s="100"/>
    </row>
    <row r="391" spans="12:56" ht="14.25" customHeight="1">
      <c r="L391" s="136"/>
      <c r="M391" s="136"/>
      <c r="N391" s="136"/>
      <c r="O391" s="136"/>
      <c r="P391" s="137"/>
      <c r="Q391" s="138"/>
      <c r="R391" s="138"/>
      <c r="S391" s="138"/>
      <c r="T391" s="138"/>
      <c r="U391" s="7"/>
      <c r="V391" s="7"/>
      <c r="W391" s="7"/>
      <c r="X391" s="136"/>
      <c r="Y391" s="136"/>
      <c r="Z391" s="136"/>
      <c r="AA391" s="136"/>
      <c r="AB391" s="135"/>
      <c r="AC391" s="135"/>
      <c r="AD391" s="135"/>
      <c r="AE391" s="136"/>
      <c r="AF391" s="136"/>
      <c r="AG391" s="136"/>
      <c r="AH391" s="136"/>
      <c r="AI391" s="135"/>
      <c r="AJ391" s="135"/>
      <c r="AK391" s="135"/>
      <c r="AL391" s="7"/>
      <c r="AM391" s="135"/>
      <c r="AN391" s="135"/>
      <c r="AO391" s="135"/>
      <c r="AP391" s="135"/>
      <c r="AQ391" s="7"/>
      <c r="AR391" s="7"/>
      <c r="AS391" s="7"/>
      <c r="AT391" s="99"/>
      <c r="AU391" s="99"/>
      <c r="AV391" s="99"/>
      <c r="AW391" s="99"/>
      <c r="AX391" s="100"/>
      <c r="AY391" s="100"/>
      <c r="AZ391" s="100"/>
      <c r="BA391" s="100"/>
      <c r="BB391" s="100"/>
      <c r="BC391" s="100"/>
    </row>
    <row r="392" spans="12:56" ht="30.9" customHeight="1">
      <c r="L392" s="139"/>
      <c r="M392" s="139"/>
      <c r="N392" s="139"/>
      <c r="O392" s="140"/>
      <c r="P392" s="140"/>
      <c r="Q392" s="137"/>
      <c r="R392" s="137"/>
      <c r="S392" s="137"/>
      <c r="T392" s="137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  <c r="AH392" s="122"/>
      <c r="AI392" s="122"/>
      <c r="AJ392" s="122"/>
      <c r="AK392" s="122"/>
      <c r="AL392" s="122"/>
      <c r="AM392" s="122"/>
      <c r="AN392" s="122"/>
      <c r="AO392" s="122"/>
      <c r="AP392" s="122"/>
      <c r="AQ392" s="122"/>
      <c r="AR392" s="122"/>
      <c r="AS392" s="122"/>
      <c r="AT392" s="122"/>
      <c r="AU392" s="122"/>
      <c r="AV392" s="122"/>
      <c r="AW392" s="122"/>
      <c r="AX392" s="122"/>
      <c r="AY392" s="122"/>
      <c r="AZ392" s="122"/>
      <c r="BA392" s="122"/>
      <c r="BB392" s="122"/>
      <c r="BC392" s="122"/>
    </row>
    <row r="393" spans="12:56" ht="30.9" customHeight="1">
      <c r="L393" s="139"/>
      <c r="M393" s="139"/>
      <c r="N393" s="139"/>
      <c r="O393" s="140"/>
      <c r="P393" s="140"/>
      <c r="Q393" s="137"/>
      <c r="R393" s="137"/>
      <c r="S393" s="137"/>
      <c r="T393" s="137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  <c r="AH393" s="122"/>
      <c r="AI393" s="122"/>
      <c r="AJ393" s="122"/>
      <c r="AK393" s="122"/>
      <c r="AL393" s="122"/>
      <c r="AM393" s="122"/>
      <c r="AN393" s="122"/>
      <c r="AO393" s="122"/>
      <c r="AP393" s="122"/>
      <c r="AQ393" s="122"/>
      <c r="AR393" s="122"/>
      <c r="AS393" s="122"/>
      <c r="AT393" s="122"/>
      <c r="AU393" s="122"/>
      <c r="AV393" s="122"/>
      <c r="AW393" s="122"/>
      <c r="AX393" s="122"/>
      <c r="AY393" s="122"/>
      <c r="AZ393" s="122"/>
      <c r="BA393" s="122"/>
      <c r="BB393" s="122"/>
      <c r="BC393" s="122"/>
    </row>
    <row r="394" spans="12:56" ht="14.25" customHeight="1">
      <c r="L394" s="136"/>
      <c r="M394" s="136"/>
      <c r="N394" s="136"/>
      <c r="O394" s="136"/>
      <c r="P394" s="137"/>
      <c r="Q394" s="138"/>
      <c r="R394" s="138"/>
      <c r="S394" s="138"/>
      <c r="T394" s="138"/>
      <c r="U394" s="136"/>
      <c r="V394" s="136"/>
      <c r="W394" s="135"/>
      <c r="X394" s="135"/>
      <c r="Y394" s="136"/>
      <c r="Z394" s="136"/>
      <c r="AA394" s="135"/>
      <c r="AB394" s="135"/>
      <c r="AC394" s="135"/>
      <c r="AD394" s="135"/>
      <c r="AE394" s="136"/>
      <c r="AF394" s="136"/>
      <c r="AG394" s="135"/>
      <c r="AH394" s="135"/>
      <c r="AI394" s="136"/>
      <c r="AJ394" s="136"/>
      <c r="AK394" s="135"/>
      <c r="AL394" s="135"/>
      <c r="AM394" s="134"/>
      <c r="AN394" s="135"/>
      <c r="AO394" s="135"/>
      <c r="AP394" s="135"/>
      <c r="AQ394" s="7"/>
      <c r="AR394" s="7"/>
      <c r="AS394" s="7"/>
      <c r="AT394" s="136"/>
      <c r="AU394" s="136"/>
      <c r="AV394" s="136"/>
      <c r="AW394" s="136"/>
      <c r="AX394" s="135"/>
      <c r="AY394" s="135"/>
      <c r="AZ394" s="135"/>
      <c r="BA394" s="135"/>
      <c r="BB394" s="135"/>
      <c r="BC394" s="135"/>
    </row>
    <row r="395" spans="12:56" ht="14.25" customHeight="1">
      <c r="L395" s="136"/>
      <c r="M395" s="136"/>
      <c r="N395" s="136"/>
      <c r="O395" s="136"/>
      <c r="P395" s="137"/>
      <c r="Q395" s="138"/>
      <c r="R395" s="138"/>
      <c r="S395" s="138"/>
      <c r="T395" s="138"/>
      <c r="U395" s="136"/>
      <c r="V395" s="136"/>
      <c r="W395" s="135"/>
      <c r="X395" s="135"/>
      <c r="Y395" s="136"/>
      <c r="Z395" s="136"/>
      <c r="AA395" s="135"/>
      <c r="AB395" s="135"/>
      <c r="AC395" s="135"/>
      <c r="AD395" s="135"/>
      <c r="AE395" s="136"/>
      <c r="AF395" s="136"/>
      <c r="AG395" s="135"/>
      <c r="AH395" s="135"/>
      <c r="AI395" s="136"/>
      <c r="AJ395" s="136"/>
      <c r="AK395" s="135"/>
      <c r="AL395" s="135"/>
      <c r="AM395" s="135"/>
      <c r="AN395" s="135"/>
      <c r="AO395" s="135"/>
      <c r="AP395" s="135"/>
      <c r="AQ395" s="7"/>
      <c r="AR395" s="7"/>
      <c r="AS395" s="7"/>
      <c r="AT395" s="136"/>
      <c r="AU395" s="136"/>
      <c r="AV395" s="136"/>
      <c r="AW395" s="136"/>
      <c r="AX395" s="135"/>
      <c r="AY395" s="135"/>
      <c r="AZ395" s="135"/>
      <c r="BA395" s="135"/>
      <c r="BB395" s="135"/>
      <c r="BC395" s="135"/>
    </row>
    <row r="396" spans="12:56" ht="14.25" customHeight="1">
      <c r="L396" s="136"/>
      <c r="M396" s="136"/>
      <c r="N396" s="136"/>
      <c r="O396" s="136"/>
      <c r="P396" s="137"/>
      <c r="Q396" s="138"/>
      <c r="R396" s="138"/>
      <c r="S396" s="138"/>
      <c r="T396" s="138"/>
      <c r="U396" s="136"/>
      <c r="V396" s="136"/>
      <c r="W396" s="135"/>
      <c r="X396" s="135"/>
      <c r="Y396" s="136"/>
      <c r="Z396" s="136"/>
      <c r="AA396" s="135"/>
      <c r="AB396" s="135"/>
      <c r="AC396" s="135"/>
      <c r="AD396" s="135"/>
      <c r="AE396" s="136"/>
      <c r="AF396" s="136"/>
      <c r="AG396" s="135"/>
      <c r="AH396" s="135"/>
      <c r="AI396" s="136"/>
      <c r="AJ396" s="136"/>
      <c r="AK396" s="135"/>
      <c r="AL396" s="135"/>
      <c r="AM396" s="134"/>
      <c r="AN396" s="135"/>
      <c r="AO396" s="135"/>
      <c r="AP396" s="135"/>
      <c r="AQ396" s="7"/>
      <c r="AR396" s="7"/>
      <c r="AS396" s="7"/>
      <c r="AT396" s="99"/>
      <c r="AU396" s="99"/>
      <c r="AV396" s="99"/>
      <c r="AW396" s="99"/>
      <c r="AX396" s="100"/>
      <c r="AY396" s="100"/>
      <c r="AZ396" s="100"/>
      <c r="BA396" s="100"/>
      <c r="BB396" s="100"/>
      <c r="BC396" s="100"/>
    </row>
    <row r="397" spans="12:56" ht="14.25" customHeight="1">
      <c r="L397" s="136"/>
      <c r="M397" s="136"/>
      <c r="N397" s="136"/>
      <c r="O397" s="136"/>
      <c r="P397" s="137"/>
      <c r="Q397" s="138"/>
      <c r="R397" s="138"/>
      <c r="S397" s="138"/>
      <c r="T397" s="138"/>
      <c r="U397" s="49"/>
      <c r="V397" s="49"/>
      <c r="W397" s="49"/>
      <c r="X397" s="136"/>
      <c r="Y397" s="136"/>
      <c r="Z397" s="136"/>
      <c r="AA397" s="136"/>
      <c r="AB397" s="135"/>
      <c r="AC397" s="135"/>
      <c r="AD397" s="135"/>
      <c r="AE397" s="136"/>
      <c r="AF397" s="136"/>
      <c r="AG397" s="136"/>
      <c r="AH397" s="136"/>
      <c r="AI397" s="135"/>
      <c r="AJ397" s="135"/>
      <c r="AK397" s="135"/>
      <c r="AL397" s="49"/>
      <c r="AM397" s="135"/>
      <c r="AN397" s="135"/>
      <c r="AO397" s="135"/>
      <c r="AP397" s="135"/>
      <c r="AQ397" s="7"/>
      <c r="AR397" s="7"/>
      <c r="AS397" s="7"/>
      <c r="AT397" s="99"/>
      <c r="AU397" s="99"/>
      <c r="AV397" s="99"/>
      <c r="AW397" s="99"/>
      <c r="AX397" s="100"/>
      <c r="AY397" s="100"/>
      <c r="AZ397" s="100"/>
      <c r="BA397" s="100"/>
      <c r="BB397" s="100"/>
      <c r="BC397" s="100"/>
    </row>
    <row r="398" spans="12:56" ht="14.25" customHeight="1">
      <c r="L398" s="136"/>
      <c r="M398" s="136"/>
      <c r="N398" s="136"/>
      <c r="O398" s="136"/>
      <c r="P398" s="137"/>
      <c r="Q398" s="138"/>
      <c r="R398" s="138"/>
      <c r="S398" s="138"/>
      <c r="T398" s="138"/>
      <c r="U398" s="7"/>
      <c r="V398" s="7"/>
      <c r="W398" s="7"/>
      <c r="X398" s="136"/>
      <c r="Y398" s="136"/>
      <c r="Z398" s="136"/>
      <c r="AA398" s="136"/>
      <c r="AB398" s="135"/>
      <c r="AC398" s="135"/>
      <c r="AD398" s="135"/>
      <c r="AE398" s="136"/>
      <c r="AF398" s="136"/>
      <c r="AG398" s="136"/>
      <c r="AH398" s="136"/>
      <c r="AI398" s="135"/>
      <c r="AJ398" s="135"/>
      <c r="AK398" s="135"/>
      <c r="AL398" s="7"/>
      <c r="AM398" s="134"/>
      <c r="AN398" s="135"/>
      <c r="AO398" s="135"/>
      <c r="AP398" s="135"/>
      <c r="AQ398" s="7"/>
      <c r="AR398" s="7"/>
      <c r="AS398" s="7"/>
      <c r="AT398" s="99"/>
      <c r="AU398" s="99"/>
      <c r="AV398" s="99"/>
      <c r="AW398" s="99"/>
      <c r="AX398" s="100"/>
      <c r="AY398" s="100"/>
      <c r="AZ398" s="100"/>
      <c r="BA398" s="100"/>
      <c r="BB398" s="100"/>
      <c r="BC398" s="100"/>
    </row>
    <row r="399" spans="12:56" ht="14.25" customHeight="1">
      <c r="L399" s="136"/>
      <c r="M399" s="136"/>
      <c r="N399" s="136"/>
      <c r="O399" s="136"/>
      <c r="P399" s="137"/>
      <c r="Q399" s="138"/>
      <c r="R399" s="138"/>
      <c r="S399" s="138"/>
      <c r="T399" s="138"/>
      <c r="U399" s="7"/>
      <c r="V399" s="7"/>
      <c r="W399" s="7"/>
      <c r="X399" s="136"/>
      <c r="Y399" s="136"/>
      <c r="Z399" s="136"/>
      <c r="AA399" s="136"/>
      <c r="AB399" s="135"/>
      <c r="AC399" s="135"/>
      <c r="AD399" s="135"/>
      <c r="AE399" s="136"/>
      <c r="AF399" s="136"/>
      <c r="AG399" s="136"/>
      <c r="AH399" s="136"/>
      <c r="AI399" s="135"/>
      <c r="AJ399" s="135"/>
      <c r="AK399" s="135"/>
      <c r="AL399" s="7"/>
      <c r="AM399" s="135"/>
      <c r="AN399" s="135"/>
      <c r="AO399" s="135"/>
      <c r="AP399" s="135"/>
      <c r="AQ399" s="7"/>
      <c r="AR399" s="7"/>
      <c r="AS399" s="7"/>
      <c r="AT399" s="99"/>
      <c r="AU399" s="99"/>
      <c r="AV399" s="99"/>
      <c r="AW399" s="99"/>
      <c r="AX399" s="100"/>
      <c r="AY399" s="100"/>
      <c r="AZ399" s="100"/>
      <c r="BA399" s="100"/>
      <c r="BB399" s="100"/>
      <c r="BC399" s="100"/>
    </row>
    <row r="400" spans="12:56" ht="30.9" customHeight="1">
      <c r="L400" s="139"/>
      <c r="M400" s="139"/>
      <c r="N400" s="139"/>
      <c r="O400" s="140"/>
      <c r="P400" s="140"/>
      <c r="Q400" s="137"/>
      <c r="R400" s="137"/>
      <c r="S400" s="137"/>
      <c r="T400" s="137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  <c r="AH400" s="122"/>
      <c r="AI400" s="122"/>
      <c r="AJ400" s="122"/>
      <c r="AK400" s="122"/>
      <c r="AL400" s="122"/>
      <c r="AM400" s="122"/>
      <c r="AN400" s="122"/>
      <c r="AO400" s="122"/>
      <c r="AP400" s="122"/>
      <c r="AQ400" s="122"/>
      <c r="AR400" s="122"/>
      <c r="AS400" s="122"/>
      <c r="AT400" s="122"/>
      <c r="AU400" s="122"/>
      <c r="AV400" s="122"/>
      <c r="AW400" s="122"/>
      <c r="AX400" s="122"/>
      <c r="AY400" s="122"/>
      <c r="AZ400" s="122"/>
      <c r="BA400" s="122"/>
      <c r="BB400" s="122"/>
      <c r="BC400" s="122"/>
    </row>
    <row r="401" spans="12:55" ht="30.9" customHeight="1">
      <c r="L401" s="139"/>
      <c r="M401" s="139"/>
      <c r="N401" s="139"/>
      <c r="O401" s="140"/>
      <c r="P401" s="140"/>
      <c r="Q401" s="137"/>
      <c r="R401" s="137"/>
      <c r="S401" s="137"/>
      <c r="T401" s="137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  <c r="AH401" s="122"/>
      <c r="AI401" s="122"/>
      <c r="AJ401" s="122"/>
      <c r="AK401" s="122"/>
      <c r="AL401" s="122"/>
      <c r="AM401" s="122"/>
      <c r="AN401" s="122"/>
      <c r="AO401" s="122"/>
      <c r="AP401" s="122"/>
      <c r="AQ401" s="122"/>
      <c r="AR401" s="122"/>
      <c r="AS401" s="122"/>
      <c r="AT401" s="122"/>
      <c r="AU401" s="122"/>
      <c r="AV401" s="122"/>
      <c r="AW401" s="122"/>
      <c r="AX401" s="122"/>
      <c r="AY401" s="122"/>
      <c r="AZ401" s="122"/>
      <c r="BA401" s="122"/>
      <c r="BB401" s="122"/>
      <c r="BC401" s="122"/>
    </row>
    <row r="402" spans="12:55" ht="14.25" customHeight="1">
      <c r="L402" s="136"/>
      <c r="M402" s="136"/>
      <c r="N402" s="136"/>
      <c r="O402" s="136"/>
      <c r="P402" s="137"/>
      <c r="Q402" s="138"/>
      <c r="R402" s="138"/>
      <c r="S402" s="138"/>
      <c r="T402" s="138"/>
      <c r="U402" s="136"/>
      <c r="V402" s="136"/>
      <c r="W402" s="135"/>
      <c r="X402" s="135"/>
      <c r="Y402" s="136"/>
      <c r="Z402" s="136"/>
      <c r="AA402" s="135"/>
      <c r="AB402" s="135"/>
      <c r="AC402" s="135"/>
      <c r="AD402" s="135"/>
      <c r="AE402" s="136"/>
      <c r="AF402" s="136"/>
      <c r="AG402" s="135"/>
      <c r="AH402" s="135"/>
      <c r="AI402" s="136"/>
      <c r="AJ402" s="136"/>
      <c r="AK402" s="135"/>
      <c r="AL402" s="135"/>
      <c r="AM402" s="134"/>
      <c r="AN402" s="135"/>
      <c r="AO402" s="135"/>
      <c r="AP402" s="135"/>
      <c r="AQ402" s="7"/>
      <c r="AR402" s="7"/>
      <c r="AS402" s="7"/>
      <c r="AT402" s="136"/>
      <c r="AU402" s="136"/>
      <c r="AV402" s="136"/>
      <c r="AW402" s="136"/>
      <c r="AX402" s="135"/>
      <c r="AY402" s="135"/>
      <c r="AZ402" s="135"/>
      <c r="BA402" s="135"/>
      <c r="BB402" s="135"/>
      <c r="BC402" s="135"/>
    </row>
    <row r="403" spans="12:55" ht="14.25" customHeight="1">
      <c r="L403" s="136"/>
      <c r="M403" s="136"/>
      <c r="N403" s="136"/>
      <c r="O403" s="136"/>
      <c r="P403" s="137"/>
      <c r="Q403" s="138"/>
      <c r="R403" s="138"/>
      <c r="S403" s="138"/>
      <c r="T403" s="138"/>
      <c r="U403" s="136"/>
      <c r="V403" s="136"/>
      <c r="W403" s="135"/>
      <c r="X403" s="135"/>
      <c r="Y403" s="136"/>
      <c r="Z403" s="136"/>
      <c r="AA403" s="135"/>
      <c r="AB403" s="135"/>
      <c r="AC403" s="135"/>
      <c r="AD403" s="135"/>
      <c r="AE403" s="136"/>
      <c r="AF403" s="136"/>
      <c r="AG403" s="135"/>
      <c r="AH403" s="135"/>
      <c r="AI403" s="136"/>
      <c r="AJ403" s="136"/>
      <c r="AK403" s="135"/>
      <c r="AL403" s="135"/>
      <c r="AM403" s="135"/>
      <c r="AN403" s="135"/>
      <c r="AO403" s="135"/>
      <c r="AP403" s="135"/>
      <c r="AQ403" s="7"/>
      <c r="AR403" s="7"/>
      <c r="AS403" s="7"/>
      <c r="AT403" s="136"/>
      <c r="AU403" s="136"/>
      <c r="AV403" s="136"/>
      <c r="AW403" s="136"/>
      <c r="AX403" s="135"/>
      <c r="AY403" s="135"/>
      <c r="AZ403" s="135"/>
      <c r="BA403" s="135"/>
      <c r="BB403" s="135"/>
      <c r="BC403" s="135"/>
    </row>
    <row r="404" spans="12:55" ht="14.25" customHeight="1">
      <c r="L404" s="136"/>
      <c r="M404" s="136"/>
      <c r="N404" s="136"/>
      <c r="O404" s="136"/>
      <c r="P404" s="137"/>
      <c r="Q404" s="138"/>
      <c r="R404" s="138"/>
      <c r="S404" s="138"/>
      <c r="T404" s="138"/>
      <c r="U404" s="136"/>
      <c r="V404" s="136"/>
      <c r="W404" s="135"/>
      <c r="X404" s="135"/>
      <c r="Y404" s="136"/>
      <c r="Z404" s="136"/>
      <c r="AA404" s="135"/>
      <c r="AB404" s="135"/>
      <c r="AC404" s="135"/>
      <c r="AD404" s="135"/>
      <c r="AE404" s="136"/>
      <c r="AF404" s="136"/>
      <c r="AG404" s="135"/>
      <c r="AH404" s="135"/>
      <c r="AI404" s="136"/>
      <c r="AJ404" s="136"/>
      <c r="AK404" s="135"/>
      <c r="AL404" s="135"/>
      <c r="AM404" s="134"/>
      <c r="AN404" s="135"/>
      <c r="AO404" s="135"/>
      <c r="AP404" s="135"/>
      <c r="AQ404" s="7"/>
      <c r="AR404" s="7"/>
      <c r="AS404" s="7"/>
      <c r="AT404" s="99"/>
      <c r="AU404" s="99"/>
      <c r="AV404" s="99"/>
      <c r="AW404" s="99"/>
      <c r="AX404" s="100"/>
      <c r="AY404" s="100"/>
      <c r="AZ404" s="100"/>
      <c r="BA404" s="100"/>
      <c r="BB404" s="100"/>
      <c r="BC404" s="100"/>
    </row>
    <row r="405" spans="12:55" ht="14.25" customHeight="1">
      <c r="L405" s="136"/>
      <c r="M405" s="136"/>
      <c r="N405" s="136"/>
      <c r="O405" s="136"/>
      <c r="P405" s="137"/>
      <c r="Q405" s="138"/>
      <c r="R405" s="138"/>
      <c r="S405" s="138"/>
      <c r="T405" s="138"/>
      <c r="U405" s="49"/>
      <c r="V405" s="49"/>
      <c r="W405" s="49"/>
      <c r="X405" s="136"/>
      <c r="Y405" s="136"/>
      <c r="Z405" s="136"/>
      <c r="AA405" s="136"/>
      <c r="AB405" s="135"/>
      <c r="AC405" s="135"/>
      <c r="AD405" s="135"/>
      <c r="AE405" s="136"/>
      <c r="AF405" s="136"/>
      <c r="AG405" s="136"/>
      <c r="AH405" s="136"/>
      <c r="AI405" s="135"/>
      <c r="AJ405" s="135"/>
      <c r="AK405" s="135"/>
      <c r="AL405" s="49"/>
      <c r="AM405" s="135"/>
      <c r="AN405" s="135"/>
      <c r="AO405" s="135"/>
      <c r="AP405" s="135"/>
      <c r="AQ405" s="7"/>
      <c r="AR405" s="7"/>
      <c r="AS405" s="7"/>
      <c r="AT405" s="99"/>
      <c r="AU405" s="99"/>
      <c r="AV405" s="99"/>
      <c r="AW405" s="99"/>
      <c r="AX405" s="100"/>
      <c r="AY405" s="100"/>
      <c r="AZ405" s="100"/>
      <c r="BA405" s="100"/>
      <c r="BB405" s="100"/>
      <c r="BC405" s="100"/>
    </row>
    <row r="406" spans="12:55" ht="14.25" customHeight="1">
      <c r="L406" s="136"/>
      <c r="M406" s="136"/>
      <c r="N406" s="136"/>
      <c r="O406" s="136"/>
      <c r="P406" s="137"/>
      <c r="Q406" s="138"/>
      <c r="R406" s="138"/>
      <c r="S406" s="138"/>
      <c r="T406" s="138"/>
      <c r="U406" s="7"/>
      <c r="V406" s="7"/>
      <c r="W406" s="7"/>
      <c r="X406" s="136"/>
      <c r="Y406" s="136"/>
      <c r="Z406" s="136"/>
      <c r="AA406" s="136"/>
      <c r="AB406" s="135"/>
      <c r="AC406" s="135"/>
      <c r="AD406" s="135"/>
      <c r="AE406" s="136"/>
      <c r="AF406" s="136"/>
      <c r="AG406" s="136"/>
      <c r="AH406" s="136"/>
      <c r="AI406" s="135"/>
      <c r="AJ406" s="135"/>
      <c r="AK406" s="135"/>
      <c r="AL406" s="7"/>
      <c r="AM406" s="134"/>
      <c r="AN406" s="135"/>
      <c r="AO406" s="135"/>
      <c r="AP406" s="135"/>
      <c r="AQ406" s="7"/>
      <c r="AR406" s="7"/>
      <c r="AS406" s="7"/>
      <c r="AT406" s="99"/>
      <c r="AU406" s="99"/>
      <c r="AV406" s="99"/>
      <c r="AW406" s="99"/>
      <c r="AX406" s="100"/>
      <c r="AY406" s="100"/>
      <c r="AZ406" s="100"/>
      <c r="BA406" s="100"/>
      <c r="BB406" s="100"/>
      <c r="BC406" s="100"/>
    </row>
    <row r="407" spans="12:55" ht="14.25" customHeight="1">
      <c r="L407" s="136"/>
      <c r="M407" s="136"/>
      <c r="N407" s="136"/>
      <c r="O407" s="136"/>
      <c r="P407" s="137"/>
      <c r="Q407" s="138"/>
      <c r="R407" s="138"/>
      <c r="S407" s="138"/>
      <c r="T407" s="138"/>
      <c r="U407" s="7"/>
      <c r="V407" s="7"/>
      <c r="W407" s="7"/>
      <c r="X407" s="136"/>
      <c r="Y407" s="136"/>
      <c r="Z407" s="136"/>
      <c r="AA407" s="136"/>
      <c r="AB407" s="135"/>
      <c r="AC407" s="135"/>
      <c r="AD407" s="135"/>
      <c r="AE407" s="136"/>
      <c r="AF407" s="136"/>
      <c r="AG407" s="136"/>
      <c r="AH407" s="136"/>
      <c r="AI407" s="135"/>
      <c r="AJ407" s="135"/>
      <c r="AK407" s="135"/>
      <c r="AL407" s="7"/>
      <c r="AM407" s="135"/>
      <c r="AN407" s="135"/>
      <c r="AO407" s="135"/>
      <c r="AP407" s="135"/>
      <c r="AQ407" s="7"/>
      <c r="AR407" s="7"/>
      <c r="AS407" s="7"/>
      <c r="AT407" s="99"/>
      <c r="AU407" s="99"/>
      <c r="AV407" s="99"/>
      <c r="AW407" s="99"/>
      <c r="AX407" s="100"/>
      <c r="AY407" s="100"/>
      <c r="AZ407" s="100"/>
      <c r="BA407" s="100"/>
      <c r="BB407" s="100"/>
      <c r="BC407" s="100"/>
    </row>
    <row r="408" spans="12:55" ht="30.9" customHeight="1">
      <c r="L408" s="139"/>
      <c r="M408" s="139"/>
      <c r="N408" s="139"/>
      <c r="O408" s="140"/>
      <c r="P408" s="140"/>
      <c r="Q408" s="137"/>
      <c r="R408" s="137"/>
      <c r="S408" s="137"/>
      <c r="T408" s="137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  <c r="AH408" s="122"/>
      <c r="AI408" s="122"/>
      <c r="AJ408" s="122"/>
      <c r="AK408" s="122"/>
      <c r="AL408" s="122"/>
      <c r="AM408" s="122"/>
      <c r="AN408" s="122"/>
      <c r="AO408" s="122"/>
      <c r="AP408" s="122"/>
      <c r="AQ408" s="122"/>
      <c r="AR408" s="122"/>
      <c r="AS408" s="122"/>
      <c r="AT408" s="122"/>
      <c r="AU408" s="122"/>
      <c r="AV408" s="122"/>
      <c r="AW408" s="122"/>
      <c r="AX408" s="122"/>
      <c r="AY408" s="122"/>
      <c r="AZ408" s="122"/>
      <c r="BA408" s="122"/>
      <c r="BB408" s="122"/>
      <c r="BC408" s="122"/>
    </row>
    <row r="409" spans="12:55" ht="30.9" customHeight="1">
      <c r="L409" s="139"/>
      <c r="M409" s="139"/>
      <c r="N409" s="139"/>
      <c r="O409" s="140"/>
      <c r="P409" s="140"/>
      <c r="Q409" s="137"/>
      <c r="R409" s="137"/>
      <c r="S409" s="137"/>
      <c r="T409" s="137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  <c r="AH409" s="122"/>
      <c r="AI409" s="122"/>
      <c r="AJ409" s="122"/>
      <c r="AK409" s="122"/>
      <c r="AL409" s="122"/>
      <c r="AM409" s="122"/>
      <c r="AN409" s="122"/>
      <c r="AO409" s="122"/>
      <c r="AP409" s="122"/>
      <c r="AQ409" s="122"/>
      <c r="AR409" s="122"/>
      <c r="AS409" s="122"/>
      <c r="AT409" s="122"/>
      <c r="AU409" s="122"/>
      <c r="AV409" s="122"/>
      <c r="AW409" s="122"/>
      <c r="AX409" s="122"/>
      <c r="AY409" s="122"/>
      <c r="AZ409" s="122"/>
      <c r="BA409" s="122"/>
      <c r="BB409" s="122"/>
      <c r="BC409" s="122"/>
    </row>
    <row r="410" spans="12:55" ht="14.25" customHeight="1">
      <c r="L410" s="136"/>
      <c r="M410" s="136"/>
      <c r="N410" s="136"/>
      <c r="O410" s="136"/>
      <c r="P410" s="137"/>
      <c r="Q410" s="138"/>
      <c r="R410" s="138"/>
      <c r="S410" s="138"/>
      <c r="T410" s="138"/>
      <c r="U410" s="136"/>
      <c r="V410" s="136"/>
      <c r="W410" s="135"/>
      <c r="X410" s="135"/>
      <c r="Y410" s="136"/>
      <c r="Z410" s="136"/>
      <c r="AA410" s="135"/>
      <c r="AB410" s="135"/>
      <c r="AC410" s="135"/>
      <c r="AD410" s="135"/>
      <c r="AE410" s="136"/>
      <c r="AF410" s="136"/>
      <c r="AG410" s="135"/>
      <c r="AH410" s="135"/>
      <c r="AI410" s="136"/>
      <c r="AJ410" s="136"/>
      <c r="AK410" s="135"/>
      <c r="AL410" s="135"/>
      <c r="AM410" s="134"/>
      <c r="AN410" s="135"/>
      <c r="AO410" s="135"/>
      <c r="AP410" s="135"/>
      <c r="AQ410" s="7"/>
      <c r="AR410" s="7"/>
      <c r="AS410" s="7"/>
      <c r="AT410" s="136"/>
      <c r="AU410" s="136"/>
      <c r="AV410" s="136"/>
      <c r="AW410" s="136"/>
      <c r="AX410" s="135"/>
      <c r="AY410" s="135"/>
      <c r="AZ410" s="135"/>
      <c r="BA410" s="135"/>
      <c r="BB410" s="135"/>
      <c r="BC410" s="135"/>
    </row>
    <row r="411" spans="12:55" ht="14.25" customHeight="1">
      <c r="L411" s="136"/>
      <c r="M411" s="136"/>
      <c r="N411" s="136"/>
      <c r="O411" s="136"/>
      <c r="P411" s="137"/>
      <c r="Q411" s="138"/>
      <c r="R411" s="138"/>
      <c r="S411" s="138"/>
      <c r="T411" s="138"/>
      <c r="U411" s="136"/>
      <c r="V411" s="136"/>
      <c r="W411" s="135"/>
      <c r="X411" s="135"/>
      <c r="Y411" s="136"/>
      <c r="Z411" s="136"/>
      <c r="AA411" s="135"/>
      <c r="AB411" s="135"/>
      <c r="AC411" s="135"/>
      <c r="AD411" s="135"/>
      <c r="AE411" s="136"/>
      <c r="AF411" s="136"/>
      <c r="AG411" s="135"/>
      <c r="AH411" s="135"/>
      <c r="AI411" s="136"/>
      <c r="AJ411" s="136"/>
      <c r="AK411" s="135"/>
      <c r="AL411" s="135"/>
      <c r="AM411" s="135"/>
      <c r="AN411" s="135"/>
      <c r="AO411" s="135"/>
      <c r="AP411" s="135"/>
      <c r="AQ411" s="7"/>
      <c r="AR411" s="7"/>
      <c r="AS411" s="7"/>
      <c r="AT411" s="136"/>
      <c r="AU411" s="136"/>
      <c r="AV411" s="136"/>
      <c r="AW411" s="136"/>
      <c r="AX411" s="135"/>
      <c r="AY411" s="135"/>
      <c r="AZ411" s="135"/>
      <c r="BA411" s="135"/>
      <c r="BB411" s="135"/>
      <c r="BC411" s="135"/>
    </row>
    <row r="412" spans="12:55" ht="14.25" customHeight="1">
      <c r="L412" s="136"/>
      <c r="M412" s="136"/>
      <c r="N412" s="136"/>
      <c r="O412" s="136"/>
      <c r="P412" s="137"/>
      <c r="Q412" s="138"/>
      <c r="R412" s="138"/>
      <c r="S412" s="138"/>
      <c r="T412" s="138"/>
      <c r="U412" s="136"/>
      <c r="V412" s="136"/>
      <c r="W412" s="135"/>
      <c r="X412" s="135"/>
      <c r="Y412" s="136"/>
      <c r="Z412" s="136"/>
      <c r="AA412" s="135"/>
      <c r="AB412" s="135"/>
      <c r="AC412" s="135"/>
      <c r="AD412" s="135"/>
      <c r="AE412" s="136"/>
      <c r="AF412" s="136"/>
      <c r="AG412" s="135"/>
      <c r="AH412" s="135"/>
      <c r="AI412" s="136"/>
      <c r="AJ412" s="136"/>
      <c r="AK412" s="135"/>
      <c r="AL412" s="135"/>
      <c r="AM412" s="134"/>
      <c r="AN412" s="135"/>
      <c r="AO412" s="135"/>
      <c r="AP412" s="135"/>
      <c r="AQ412" s="7"/>
      <c r="AR412" s="7"/>
      <c r="AS412" s="7"/>
      <c r="AT412" s="99"/>
      <c r="AU412" s="99"/>
      <c r="AV412" s="99"/>
      <c r="AW412" s="99"/>
      <c r="AX412" s="100"/>
      <c r="AY412" s="100"/>
      <c r="AZ412" s="100"/>
      <c r="BA412" s="100"/>
      <c r="BB412" s="100"/>
      <c r="BC412" s="100"/>
    </row>
    <row r="413" spans="12:55" ht="14.25" customHeight="1">
      <c r="L413" s="136"/>
      <c r="M413" s="136"/>
      <c r="N413" s="136"/>
      <c r="O413" s="136"/>
      <c r="P413" s="137"/>
      <c r="Q413" s="138"/>
      <c r="R413" s="138"/>
      <c r="S413" s="138"/>
      <c r="T413" s="138"/>
      <c r="U413" s="49"/>
      <c r="V413" s="49"/>
      <c r="W413" s="49"/>
      <c r="X413" s="136"/>
      <c r="Y413" s="136"/>
      <c r="Z413" s="136"/>
      <c r="AA413" s="136"/>
      <c r="AB413" s="135"/>
      <c r="AC413" s="135"/>
      <c r="AD413" s="135"/>
      <c r="AE413" s="136"/>
      <c r="AF413" s="136"/>
      <c r="AG413" s="136"/>
      <c r="AH413" s="136"/>
      <c r="AI413" s="135"/>
      <c r="AJ413" s="135"/>
      <c r="AK413" s="135"/>
      <c r="AL413" s="49"/>
      <c r="AM413" s="135"/>
      <c r="AN413" s="135"/>
      <c r="AO413" s="135"/>
      <c r="AP413" s="135"/>
      <c r="AQ413" s="7"/>
      <c r="AR413" s="7"/>
      <c r="AS413" s="7"/>
      <c r="AT413" s="99"/>
      <c r="AU413" s="99"/>
      <c r="AV413" s="99"/>
      <c r="AW413" s="99"/>
      <c r="AX413" s="100"/>
      <c r="AY413" s="100"/>
      <c r="AZ413" s="100"/>
      <c r="BA413" s="100"/>
      <c r="BB413" s="100"/>
      <c r="BC413" s="100"/>
    </row>
    <row r="414" spans="12:55" ht="14.25" customHeight="1">
      <c r="L414" s="136"/>
      <c r="M414" s="136"/>
      <c r="N414" s="136"/>
      <c r="O414" s="136"/>
      <c r="P414" s="137"/>
      <c r="Q414" s="138"/>
      <c r="R414" s="138"/>
      <c r="S414" s="138"/>
      <c r="T414" s="138"/>
      <c r="U414" s="7"/>
      <c r="V414" s="7"/>
      <c r="W414" s="7"/>
      <c r="X414" s="136"/>
      <c r="Y414" s="136"/>
      <c r="Z414" s="136"/>
      <c r="AA414" s="136"/>
      <c r="AB414" s="135"/>
      <c r="AC414" s="135"/>
      <c r="AD414" s="135"/>
      <c r="AE414" s="136"/>
      <c r="AF414" s="136"/>
      <c r="AG414" s="136"/>
      <c r="AH414" s="136"/>
      <c r="AI414" s="135"/>
      <c r="AJ414" s="135"/>
      <c r="AK414" s="135"/>
      <c r="AL414" s="7"/>
      <c r="AM414" s="134"/>
      <c r="AN414" s="135"/>
      <c r="AO414" s="135"/>
      <c r="AP414" s="135"/>
      <c r="AQ414" s="7"/>
      <c r="AR414" s="7"/>
      <c r="AS414" s="7"/>
      <c r="AT414" s="99"/>
      <c r="AU414" s="99"/>
      <c r="AV414" s="99"/>
      <c r="AW414" s="99"/>
      <c r="AX414" s="100"/>
      <c r="AY414" s="100"/>
      <c r="AZ414" s="100"/>
      <c r="BA414" s="100"/>
      <c r="BB414" s="100"/>
      <c r="BC414" s="100"/>
    </row>
    <row r="415" spans="12:55" ht="14.25" customHeight="1">
      <c r="L415" s="136"/>
      <c r="M415" s="136"/>
      <c r="N415" s="136"/>
      <c r="O415" s="136"/>
      <c r="P415" s="137"/>
      <c r="Q415" s="138"/>
      <c r="R415" s="138"/>
      <c r="S415" s="138"/>
      <c r="T415" s="138"/>
      <c r="U415" s="7"/>
      <c r="V415" s="7"/>
      <c r="W415" s="7"/>
      <c r="X415" s="136"/>
      <c r="Y415" s="136"/>
      <c r="Z415" s="136"/>
      <c r="AA415" s="136"/>
      <c r="AB415" s="135"/>
      <c r="AC415" s="135"/>
      <c r="AD415" s="135"/>
      <c r="AE415" s="136"/>
      <c r="AF415" s="136"/>
      <c r="AG415" s="136"/>
      <c r="AH415" s="136"/>
      <c r="AI415" s="135"/>
      <c r="AJ415" s="135"/>
      <c r="AK415" s="135"/>
      <c r="AL415" s="7"/>
      <c r="AM415" s="135"/>
      <c r="AN415" s="135"/>
      <c r="AO415" s="135"/>
      <c r="AP415" s="135"/>
      <c r="AQ415" s="7"/>
      <c r="AR415" s="7"/>
      <c r="AS415" s="7"/>
      <c r="AT415" s="99"/>
      <c r="AU415" s="99"/>
      <c r="AV415" s="99"/>
      <c r="AW415" s="99"/>
      <c r="AX415" s="100"/>
      <c r="AY415" s="100"/>
      <c r="AZ415" s="100"/>
      <c r="BA415" s="100"/>
      <c r="BB415" s="100"/>
      <c r="BC415" s="100"/>
    </row>
    <row r="416" spans="12:55" ht="30.9" customHeight="1">
      <c r="L416" s="139"/>
      <c r="M416" s="139"/>
      <c r="N416" s="139"/>
      <c r="O416" s="140"/>
      <c r="P416" s="140"/>
      <c r="Q416" s="137"/>
      <c r="R416" s="137"/>
      <c r="S416" s="137"/>
      <c r="T416" s="137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  <c r="AH416" s="122"/>
      <c r="AI416" s="122"/>
      <c r="AJ416" s="122"/>
      <c r="AK416" s="122"/>
      <c r="AL416" s="122"/>
      <c r="AM416" s="122"/>
      <c r="AN416" s="122"/>
      <c r="AO416" s="122"/>
      <c r="AP416" s="122"/>
      <c r="AQ416" s="122"/>
      <c r="AR416" s="122"/>
      <c r="AS416" s="122"/>
      <c r="AT416" s="122"/>
      <c r="AU416" s="122"/>
      <c r="AV416" s="122"/>
      <c r="AW416" s="122"/>
      <c r="AX416" s="122"/>
      <c r="AY416" s="122"/>
      <c r="AZ416" s="122"/>
      <c r="BA416" s="122"/>
      <c r="BB416" s="122"/>
      <c r="BC416" s="122"/>
    </row>
    <row r="417" spans="12:55" ht="30.9" customHeight="1">
      <c r="L417" s="139"/>
      <c r="M417" s="139"/>
      <c r="N417" s="139"/>
      <c r="O417" s="140"/>
      <c r="P417" s="140"/>
      <c r="Q417" s="137"/>
      <c r="R417" s="137"/>
      <c r="S417" s="137"/>
      <c r="T417" s="137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  <c r="AH417" s="122"/>
      <c r="AI417" s="122"/>
      <c r="AJ417" s="122"/>
      <c r="AK417" s="122"/>
      <c r="AL417" s="122"/>
      <c r="AM417" s="122"/>
      <c r="AN417" s="122"/>
      <c r="AO417" s="122"/>
      <c r="AP417" s="122"/>
      <c r="AQ417" s="122"/>
      <c r="AR417" s="122"/>
      <c r="AS417" s="122"/>
      <c r="AT417" s="122"/>
      <c r="AU417" s="122"/>
      <c r="AV417" s="122"/>
      <c r="AW417" s="122"/>
      <c r="AX417" s="122"/>
      <c r="AY417" s="122"/>
      <c r="AZ417" s="122"/>
      <c r="BA417" s="122"/>
      <c r="BB417" s="122"/>
      <c r="BC417" s="122"/>
    </row>
    <row r="418" spans="12:55" ht="14.25" customHeight="1">
      <c r="L418" s="136"/>
      <c r="M418" s="136"/>
      <c r="N418" s="136"/>
      <c r="O418" s="136"/>
      <c r="P418" s="137"/>
      <c r="Q418" s="138"/>
      <c r="R418" s="138"/>
      <c r="S418" s="138"/>
      <c r="T418" s="138"/>
      <c r="U418" s="136"/>
      <c r="V418" s="136"/>
      <c r="W418" s="135"/>
      <c r="X418" s="135"/>
      <c r="Y418" s="136"/>
      <c r="Z418" s="136"/>
      <c r="AA418" s="135"/>
      <c r="AB418" s="135"/>
      <c r="AC418" s="135"/>
      <c r="AD418" s="135"/>
      <c r="AE418" s="136"/>
      <c r="AF418" s="136"/>
      <c r="AG418" s="135"/>
      <c r="AH418" s="135"/>
      <c r="AI418" s="136"/>
      <c r="AJ418" s="136"/>
      <c r="AK418" s="135"/>
      <c r="AL418" s="135"/>
      <c r="AM418" s="134"/>
      <c r="AN418" s="135"/>
      <c r="AO418" s="135"/>
      <c r="AP418" s="135"/>
      <c r="AQ418" s="7"/>
      <c r="AR418" s="7"/>
      <c r="AS418" s="7"/>
      <c r="AT418" s="136"/>
      <c r="AU418" s="136"/>
      <c r="AV418" s="136"/>
      <c r="AW418" s="136"/>
      <c r="AX418" s="135"/>
      <c r="AY418" s="135"/>
      <c r="AZ418" s="135"/>
      <c r="BA418" s="135"/>
      <c r="BB418" s="135"/>
      <c r="BC418" s="135"/>
    </row>
    <row r="419" spans="12:55" ht="14.25" customHeight="1">
      <c r="L419" s="136"/>
      <c r="M419" s="136"/>
      <c r="N419" s="136"/>
      <c r="O419" s="136"/>
      <c r="P419" s="137"/>
      <c r="Q419" s="138"/>
      <c r="R419" s="138"/>
      <c r="S419" s="138"/>
      <c r="T419" s="138"/>
      <c r="U419" s="136"/>
      <c r="V419" s="136"/>
      <c r="W419" s="135"/>
      <c r="X419" s="135"/>
      <c r="Y419" s="136"/>
      <c r="Z419" s="136"/>
      <c r="AA419" s="135"/>
      <c r="AB419" s="135"/>
      <c r="AC419" s="135"/>
      <c r="AD419" s="135"/>
      <c r="AE419" s="136"/>
      <c r="AF419" s="136"/>
      <c r="AG419" s="135"/>
      <c r="AH419" s="135"/>
      <c r="AI419" s="136"/>
      <c r="AJ419" s="136"/>
      <c r="AK419" s="135"/>
      <c r="AL419" s="135"/>
      <c r="AM419" s="135"/>
      <c r="AN419" s="135"/>
      <c r="AO419" s="135"/>
      <c r="AP419" s="135"/>
      <c r="AQ419" s="7"/>
      <c r="AR419" s="7"/>
      <c r="AS419" s="7"/>
      <c r="AT419" s="136"/>
      <c r="AU419" s="136"/>
      <c r="AV419" s="136"/>
      <c r="AW419" s="136"/>
      <c r="AX419" s="135"/>
      <c r="AY419" s="135"/>
      <c r="AZ419" s="135"/>
      <c r="BA419" s="135"/>
      <c r="BB419" s="135"/>
      <c r="BC419" s="135"/>
    </row>
    <row r="420" spans="12:55" ht="14.25" customHeight="1">
      <c r="L420" s="136"/>
      <c r="M420" s="136"/>
      <c r="N420" s="136"/>
      <c r="O420" s="136"/>
      <c r="P420" s="137"/>
      <c r="Q420" s="138"/>
      <c r="R420" s="138"/>
      <c r="S420" s="138"/>
      <c r="T420" s="138"/>
      <c r="U420" s="136"/>
      <c r="V420" s="136"/>
      <c r="W420" s="135"/>
      <c r="X420" s="135"/>
      <c r="Y420" s="136"/>
      <c r="Z420" s="136"/>
      <c r="AA420" s="135"/>
      <c r="AB420" s="135"/>
      <c r="AC420" s="135"/>
      <c r="AD420" s="135"/>
      <c r="AE420" s="136"/>
      <c r="AF420" s="136"/>
      <c r="AG420" s="135"/>
      <c r="AH420" s="135"/>
      <c r="AI420" s="136"/>
      <c r="AJ420" s="136"/>
      <c r="AK420" s="135"/>
      <c r="AL420" s="135"/>
      <c r="AM420" s="134"/>
      <c r="AN420" s="135"/>
      <c r="AO420" s="135"/>
      <c r="AP420" s="135"/>
      <c r="AQ420" s="7"/>
      <c r="AR420" s="7"/>
      <c r="AS420" s="7"/>
      <c r="AT420" s="99"/>
      <c r="AU420" s="99"/>
      <c r="AV420" s="99"/>
      <c r="AW420" s="99"/>
      <c r="AX420" s="100"/>
      <c r="AY420" s="100"/>
      <c r="AZ420" s="100"/>
      <c r="BA420" s="100"/>
      <c r="BB420" s="100"/>
      <c r="BC420" s="100"/>
    </row>
    <row r="421" spans="12:55" ht="14.25" customHeight="1">
      <c r="L421" s="136"/>
      <c r="M421" s="136"/>
      <c r="N421" s="136"/>
      <c r="O421" s="136"/>
      <c r="P421" s="137"/>
      <c r="Q421" s="138"/>
      <c r="R421" s="138"/>
      <c r="S421" s="138"/>
      <c r="T421" s="138"/>
      <c r="U421" s="49"/>
      <c r="V421" s="49"/>
      <c r="W421" s="49"/>
      <c r="X421" s="136"/>
      <c r="Y421" s="136"/>
      <c r="Z421" s="136"/>
      <c r="AA421" s="136"/>
      <c r="AB421" s="135"/>
      <c r="AC421" s="135"/>
      <c r="AD421" s="135"/>
      <c r="AE421" s="136"/>
      <c r="AF421" s="136"/>
      <c r="AG421" s="136"/>
      <c r="AH421" s="136"/>
      <c r="AI421" s="135"/>
      <c r="AJ421" s="135"/>
      <c r="AK421" s="135"/>
      <c r="AL421" s="49"/>
      <c r="AM421" s="135"/>
      <c r="AN421" s="135"/>
      <c r="AO421" s="135"/>
      <c r="AP421" s="135"/>
      <c r="AQ421" s="7"/>
      <c r="AR421" s="7"/>
      <c r="AS421" s="7"/>
      <c r="AT421" s="99"/>
      <c r="AU421" s="99"/>
      <c r="AV421" s="99"/>
      <c r="AW421" s="99"/>
      <c r="AX421" s="100"/>
      <c r="AY421" s="100"/>
      <c r="AZ421" s="100"/>
      <c r="BA421" s="100"/>
      <c r="BB421" s="100"/>
      <c r="BC421" s="100"/>
    </row>
    <row r="422" spans="12:55" ht="14.25" customHeight="1">
      <c r="L422" s="136"/>
      <c r="M422" s="136"/>
      <c r="N422" s="136"/>
      <c r="O422" s="136"/>
      <c r="P422" s="137"/>
      <c r="Q422" s="138"/>
      <c r="R422" s="138"/>
      <c r="S422" s="138"/>
      <c r="T422" s="138"/>
      <c r="U422" s="7"/>
      <c r="V422" s="7"/>
      <c r="W422" s="7"/>
      <c r="X422" s="136"/>
      <c r="Y422" s="136"/>
      <c r="Z422" s="136"/>
      <c r="AA422" s="136"/>
      <c r="AB422" s="135"/>
      <c r="AC422" s="135"/>
      <c r="AD422" s="135"/>
      <c r="AE422" s="136"/>
      <c r="AF422" s="136"/>
      <c r="AG422" s="136"/>
      <c r="AH422" s="136"/>
      <c r="AI422" s="135"/>
      <c r="AJ422" s="135"/>
      <c r="AK422" s="135"/>
      <c r="AL422" s="7"/>
      <c r="AM422" s="134"/>
      <c r="AN422" s="135"/>
      <c r="AO422" s="135"/>
      <c r="AP422" s="135"/>
      <c r="AQ422" s="7"/>
      <c r="AR422" s="7"/>
      <c r="AS422" s="7"/>
      <c r="AT422" s="99"/>
      <c r="AU422" s="99"/>
      <c r="AV422" s="99"/>
      <c r="AW422" s="99"/>
      <c r="AX422" s="100"/>
      <c r="AY422" s="100"/>
      <c r="AZ422" s="100"/>
      <c r="BA422" s="100"/>
      <c r="BB422" s="100"/>
      <c r="BC422" s="100"/>
    </row>
    <row r="423" spans="12:55" ht="14.25" customHeight="1">
      <c r="L423" s="136"/>
      <c r="M423" s="136"/>
      <c r="N423" s="136"/>
      <c r="O423" s="136"/>
      <c r="P423" s="137"/>
      <c r="Q423" s="138"/>
      <c r="R423" s="138"/>
      <c r="S423" s="138"/>
      <c r="T423" s="138"/>
      <c r="U423" s="7"/>
      <c r="V423" s="7"/>
      <c r="W423" s="7"/>
      <c r="X423" s="136"/>
      <c r="Y423" s="136"/>
      <c r="Z423" s="136"/>
      <c r="AA423" s="136"/>
      <c r="AB423" s="135"/>
      <c r="AC423" s="135"/>
      <c r="AD423" s="135"/>
      <c r="AE423" s="136"/>
      <c r="AF423" s="136"/>
      <c r="AG423" s="136"/>
      <c r="AH423" s="136"/>
      <c r="AI423" s="135"/>
      <c r="AJ423" s="135"/>
      <c r="AK423" s="135"/>
      <c r="AL423" s="7"/>
      <c r="AM423" s="135"/>
      <c r="AN423" s="135"/>
      <c r="AO423" s="135"/>
      <c r="AP423" s="135"/>
      <c r="AQ423" s="7"/>
      <c r="AR423" s="7"/>
      <c r="AS423" s="7"/>
      <c r="AT423" s="99"/>
      <c r="AU423" s="99"/>
      <c r="AV423" s="99"/>
      <c r="AW423" s="99"/>
      <c r="AX423" s="100"/>
      <c r="AY423" s="100"/>
      <c r="AZ423" s="100"/>
      <c r="BA423" s="100"/>
      <c r="BB423" s="100"/>
      <c r="BC423" s="100"/>
    </row>
    <row r="424" spans="12:55" ht="30.9" customHeight="1">
      <c r="L424" s="139"/>
      <c r="M424" s="139"/>
      <c r="N424" s="139"/>
      <c r="O424" s="140"/>
      <c r="P424" s="140"/>
      <c r="Q424" s="137"/>
      <c r="R424" s="137"/>
      <c r="S424" s="137"/>
      <c r="T424" s="137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  <c r="AH424" s="122"/>
      <c r="AI424" s="122"/>
      <c r="AJ424" s="122"/>
      <c r="AK424" s="122"/>
      <c r="AL424" s="122"/>
      <c r="AM424" s="122"/>
      <c r="AN424" s="122"/>
      <c r="AO424" s="122"/>
      <c r="AP424" s="122"/>
      <c r="AQ424" s="122"/>
      <c r="AR424" s="122"/>
      <c r="AS424" s="122"/>
      <c r="AT424" s="122"/>
      <c r="AU424" s="122"/>
      <c r="AV424" s="122"/>
      <c r="AW424" s="122"/>
      <c r="AX424" s="122"/>
      <c r="AY424" s="122"/>
      <c r="AZ424" s="122"/>
      <c r="BA424" s="122"/>
      <c r="BB424" s="122"/>
      <c r="BC424" s="122"/>
    </row>
    <row r="425" spans="12:55" ht="30.9" customHeight="1">
      <c r="L425" s="139"/>
      <c r="M425" s="139"/>
      <c r="N425" s="139"/>
      <c r="O425" s="140"/>
      <c r="P425" s="140"/>
      <c r="Q425" s="137"/>
      <c r="R425" s="137"/>
      <c r="S425" s="137"/>
      <c r="T425" s="137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  <c r="AH425" s="122"/>
      <c r="AI425" s="122"/>
      <c r="AJ425" s="122"/>
      <c r="AK425" s="122"/>
      <c r="AL425" s="122"/>
      <c r="AM425" s="122"/>
      <c r="AN425" s="122"/>
      <c r="AO425" s="122"/>
      <c r="AP425" s="122"/>
      <c r="AQ425" s="122"/>
      <c r="AR425" s="122"/>
      <c r="AS425" s="122"/>
      <c r="AT425" s="122"/>
      <c r="AU425" s="122"/>
      <c r="AV425" s="122"/>
      <c r="AW425" s="122"/>
      <c r="AX425" s="122"/>
      <c r="AY425" s="122"/>
      <c r="AZ425" s="122"/>
      <c r="BA425" s="122"/>
      <c r="BB425" s="122"/>
      <c r="BC425" s="122"/>
    </row>
    <row r="426" spans="12:55" ht="14.25" customHeight="1">
      <c r="L426" s="136"/>
      <c r="M426" s="136"/>
      <c r="N426" s="136"/>
      <c r="O426" s="136"/>
      <c r="P426" s="137"/>
      <c r="Q426" s="138"/>
      <c r="R426" s="138"/>
      <c r="S426" s="138"/>
      <c r="T426" s="138"/>
      <c r="U426" s="136"/>
      <c r="V426" s="136"/>
      <c r="W426" s="135"/>
      <c r="X426" s="135"/>
      <c r="Y426" s="136"/>
      <c r="Z426" s="136"/>
      <c r="AA426" s="135"/>
      <c r="AB426" s="135"/>
      <c r="AC426" s="135"/>
      <c r="AD426" s="135"/>
      <c r="AE426" s="136"/>
      <c r="AF426" s="136"/>
      <c r="AG426" s="135"/>
      <c r="AH426" s="135"/>
      <c r="AI426" s="136"/>
      <c r="AJ426" s="136"/>
      <c r="AK426" s="135"/>
      <c r="AL426" s="135"/>
      <c r="AM426" s="134"/>
      <c r="AN426" s="135"/>
      <c r="AO426" s="135"/>
      <c r="AP426" s="135"/>
      <c r="AQ426" s="7"/>
      <c r="AR426" s="7"/>
      <c r="AS426" s="7"/>
      <c r="AT426" s="136"/>
      <c r="AU426" s="136"/>
      <c r="AV426" s="136"/>
      <c r="AW426" s="136"/>
      <c r="AX426" s="135"/>
      <c r="AY426" s="135"/>
      <c r="AZ426" s="135"/>
      <c r="BA426" s="135"/>
      <c r="BB426" s="135"/>
      <c r="BC426" s="135"/>
    </row>
    <row r="427" spans="12:55" ht="14.25" customHeight="1">
      <c r="L427" s="136"/>
      <c r="M427" s="136"/>
      <c r="N427" s="136"/>
      <c r="O427" s="136"/>
      <c r="P427" s="137"/>
      <c r="Q427" s="138"/>
      <c r="R427" s="138"/>
      <c r="S427" s="138"/>
      <c r="T427" s="138"/>
      <c r="U427" s="136"/>
      <c r="V427" s="136"/>
      <c r="W427" s="135"/>
      <c r="X427" s="135"/>
      <c r="Y427" s="136"/>
      <c r="Z427" s="136"/>
      <c r="AA427" s="135"/>
      <c r="AB427" s="135"/>
      <c r="AC427" s="135"/>
      <c r="AD427" s="135"/>
      <c r="AE427" s="136"/>
      <c r="AF427" s="136"/>
      <c r="AG427" s="135"/>
      <c r="AH427" s="135"/>
      <c r="AI427" s="136"/>
      <c r="AJ427" s="136"/>
      <c r="AK427" s="135"/>
      <c r="AL427" s="135"/>
      <c r="AM427" s="135"/>
      <c r="AN427" s="135"/>
      <c r="AO427" s="135"/>
      <c r="AP427" s="135"/>
      <c r="AQ427" s="7"/>
      <c r="AR427" s="7"/>
      <c r="AS427" s="7"/>
      <c r="AT427" s="136"/>
      <c r="AU427" s="136"/>
      <c r="AV427" s="136"/>
      <c r="AW427" s="136"/>
      <c r="AX427" s="135"/>
      <c r="AY427" s="135"/>
      <c r="AZ427" s="135"/>
      <c r="BA427" s="135"/>
      <c r="BB427" s="135"/>
      <c r="BC427" s="135"/>
    </row>
    <row r="428" spans="12:55" ht="14.25" customHeight="1">
      <c r="L428" s="136"/>
      <c r="M428" s="136"/>
      <c r="N428" s="136"/>
      <c r="O428" s="136"/>
      <c r="P428" s="137"/>
      <c r="Q428" s="138"/>
      <c r="R428" s="138"/>
      <c r="S428" s="138"/>
      <c r="T428" s="138"/>
      <c r="U428" s="136"/>
      <c r="V428" s="136"/>
      <c r="W428" s="135"/>
      <c r="X428" s="135"/>
      <c r="Y428" s="136"/>
      <c r="Z428" s="136"/>
      <c r="AA428" s="135"/>
      <c r="AB428" s="135"/>
      <c r="AC428" s="135"/>
      <c r="AD428" s="135"/>
      <c r="AE428" s="136"/>
      <c r="AF428" s="136"/>
      <c r="AG428" s="135"/>
      <c r="AH428" s="135"/>
      <c r="AI428" s="136"/>
      <c r="AJ428" s="136"/>
      <c r="AK428" s="135"/>
      <c r="AL428" s="135"/>
      <c r="AM428" s="134"/>
      <c r="AN428" s="135"/>
      <c r="AO428" s="135"/>
      <c r="AP428" s="135"/>
      <c r="AQ428" s="7"/>
      <c r="AR428" s="7"/>
      <c r="AS428" s="7"/>
      <c r="AT428" s="99"/>
      <c r="AU428" s="99"/>
      <c r="AV428" s="99"/>
      <c r="AW428" s="99"/>
      <c r="AX428" s="100"/>
      <c r="AY428" s="100"/>
      <c r="AZ428" s="100"/>
      <c r="BA428" s="100"/>
      <c r="BB428" s="100"/>
      <c r="BC428" s="100"/>
    </row>
    <row r="429" spans="12:55" ht="14.25" customHeight="1">
      <c r="L429" s="136"/>
      <c r="M429" s="136"/>
      <c r="N429" s="136"/>
      <c r="O429" s="136"/>
      <c r="P429" s="137"/>
      <c r="Q429" s="138"/>
      <c r="R429" s="138"/>
      <c r="S429" s="138"/>
      <c r="T429" s="138"/>
      <c r="U429" s="49"/>
      <c r="V429" s="49"/>
      <c r="W429" s="49"/>
      <c r="X429" s="136"/>
      <c r="Y429" s="136"/>
      <c r="Z429" s="136"/>
      <c r="AA429" s="136"/>
      <c r="AB429" s="135"/>
      <c r="AC429" s="135"/>
      <c r="AD429" s="135"/>
      <c r="AE429" s="136"/>
      <c r="AF429" s="136"/>
      <c r="AG429" s="136"/>
      <c r="AH429" s="136"/>
      <c r="AI429" s="135"/>
      <c r="AJ429" s="135"/>
      <c r="AK429" s="135"/>
      <c r="AL429" s="49"/>
      <c r="AM429" s="135"/>
      <c r="AN429" s="135"/>
      <c r="AO429" s="135"/>
      <c r="AP429" s="135"/>
      <c r="AQ429" s="7"/>
      <c r="AR429" s="7"/>
      <c r="AS429" s="7"/>
      <c r="AT429" s="99"/>
      <c r="AU429" s="99"/>
      <c r="AV429" s="99"/>
      <c r="AW429" s="99"/>
      <c r="AX429" s="100"/>
      <c r="AY429" s="100"/>
      <c r="AZ429" s="100"/>
      <c r="BA429" s="100"/>
      <c r="BB429" s="100"/>
      <c r="BC429" s="100"/>
    </row>
    <row r="430" spans="12:55" ht="14.25" customHeight="1">
      <c r="L430" s="136"/>
      <c r="M430" s="136"/>
      <c r="N430" s="136"/>
      <c r="O430" s="136"/>
      <c r="P430" s="137"/>
      <c r="Q430" s="138"/>
      <c r="R430" s="138"/>
      <c r="S430" s="138"/>
      <c r="T430" s="138"/>
      <c r="U430" s="7"/>
      <c r="V430" s="7"/>
      <c r="W430" s="7"/>
      <c r="X430" s="136"/>
      <c r="Y430" s="136"/>
      <c r="Z430" s="136"/>
      <c r="AA430" s="136"/>
      <c r="AB430" s="135"/>
      <c r="AC430" s="135"/>
      <c r="AD430" s="135"/>
      <c r="AE430" s="136"/>
      <c r="AF430" s="136"/>
      <c r="AG430" s="136"/>
      <c r="AH430" s="136"/>
      <c r="AI430" s="135"/>
      <c r="AJ430" s="135"/>
      <c r="AK430" s="135"/>
      <c r="AL430" s="7"/>
      <c r="AM430" s="134"/>
      <c r="AN430" s="135"/>
      <c r="AO430" s="135"/>
      <c r="AP430" s="135"/>
      <c r="AQ430" s="7"/>
      <c r="AR430" s="7"/>
      <c r="AS430" s="7"/>
      <c r="AT430" s="99"/>
      <c r="AU430" s="99"/>
      <c r="AV430" s="99"/>
      <c r="AW430" s="99"/>
      <c r="AX430" s="100"/>
      <c r="AY430" s="100"/>
      <c r="AZ430" s="100"/>
      <c r="BA430" s="100"/>
      <c r="BB430" s="100"/>
      <c r="BC430" s="100"/>
    </row>
    <row r="431" spans="12:55" ht="14.25" customHeight="1">
      <c r="L431" s="136"/>
      <c r="M431" s="136"/>
      <c r="N431" s="136"/>
      <c r="O431" s="136"/>
      <c r="P431" s="137"/>
      <c r="Q431" s="138"/>
      <c r="R431" s="138"/>
      <c r="S431" s="138"/>
      <c r="T431" s="138"/>
      <c r="U431" s="7"/>
      <c r="V431" s="7"/>
      <c r="W431" s="7"/>
      <c r="X431" s="136"/>
      <c r="Y431" s="136"/>
      <c r="Z431" s="136"/>
      <c r="AA431" s="136"/>
      <c r="AB431" s="135"/>
      <c r="AC431" s="135"/>
      <c r="AD431" s="135"/>
      <c r="AE431" s="136"/>
      <c r="AF431" s="136"/>
      <c r="AG431" s="136"/>
      <c r="AH431" s="136"/>
      <c r="AI431" s="135"/>
      <c r="AJ431" s="135"/>
      <c r="AK431" s="135"/>
      <c r="AL431" s="7"/>
      <c r="AM431" s="135"/>
      <c r="AN431" s="135"/>
      <c r="AO431" s="135"/>
      <c r="AP431" s="135"/>
      <c r="AQ431" s="7"/>
      <c r="AR431" s="7"/>
      <c r="AS431" s="7"/>
      <c r="AT431" s="99"/>
      <c r="AU431" s="99"/>
      <c r="AV431" s="99"/>
      <c r="AW431" s="99"/>
      <c r="AX431" s="100"/>
      <c r="AY431" s="100"/>
      <c r="AZ431" s="100"/>
      <c r="BA431" s="100"/>
      <c r="BB431" s="100"/>
      <c r="BC431" s="100"/>
    </row>
    <row r="432" spans="12:55" ht="30.9" customHeight="1">
      <c r="L432" s="139"/>
      <c r="M432" s="139"/>
      <c r="N432" s="139"/>
      <c r="O432" s="140"/>
      <c r="P432" s="140"/>
      <c r="Q432" s="137"/>
      <c r="R432" s="137"/>
      <c r="S432" s="137"/>
      <c r="T432" s="137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  <c r="AH432" s="122"/>
      <c r="AI432" s="122"/>
      <c r="AJ432" s="122"/>
      <c r="AK432" s="122"/>
      <c r="AL432" s="122"/>
      <c r="AM432" s="122"/>
      <c r="AN432" s="122"/>
      <c r="AO432" s="122"/>
      <c r="AP432" s="122"/>
      <c r="AQ432" s="122"/>
      <c r="AR432" s="122"/>
      <c r="AS432" s="122"/>
      <c r="AT432" s="122"/>
      <c r="AU432" s="122"/>
      <c r="AV432" s="122"/>
      <c r="AW432" s="122"/>
      <c r="AX432" s="122"/>
      <c r="AY432" s="122"/>
      <c r="AZ432" s="122"/>
      <c r="BA432" s="122"/>
      <c r="BB432" s="122"/>
      <c r="BC432" s="122"/>
    </row>
    <row r="433" spans="12:55" ht="30.9" customHeight="1">
      <c r="L433" s="139"/>
      <c r="M433" s="139"/>
      <c r="N433" s="139"/>
      <c r="O433" s="140"/>
      <c r="P433" s="140"/>
      <c r="Q433" s="137"/>
      <c r="R433" s="137"/>
      <c r="S433" s="137"/>
      <c r="T433" s="137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  <c r="AH433" s="122"/>
      <c r="AI433" s="122"/>
      <c r="AJ433" s="122"/>
      <c r="AK433" s="122"/>
      <c r="AL433" s="122"/>
      <c r="AM433" s="122"/>
      <c r="AN433" s="122"/>
      <c r="AO433" s="122"/>
      <c r="AP433" s="122"/>
      <c r="AQ433" s="122"/>
      <c r="AR433" s="122"/>
      <c r="AS433" s="122"/>
      <c r="AT433" s="122"/>
      <c r="AU433" s="122"/>
      <c r="AV433" s="122"/>
      <c r="AW433" s="122"/>
      <c r="AX433" s="122"/>
      <c r="AY433" s="122"/>
      <c r="AZ433" s="122"/>
      <c r="BA433" s="122"/>
      <c r="BB433" s="122"/>
      <c r="BC433" s="122"/>
    </row>
    <row r="434" spans="12:55" ht="14.25" customHeight="1">
      <c r="L434" s="136"/>
      <c r="M434" s="136"/>
      <c r="N434" s="136"/>
      <c r="O434" s="136"/>
      <c r="P434" s="137"/>
      <c r="Q434" s="138"/>
      <c r="R434" s="138"/>
      <c r="S434" s="138"/>
      <c r="T434" s="138"/>
      <c r="U434" s="136"/>
      <c r="V434" s="136"/>
      <c r="W434" s="135"/>
      <c r="X434" s="135"/>
      <c r="Y434" s="136"/>
      <c r="Z434" s="136"/>
      <c r="AA434" s="135"/>
      <c r="AB434" s="135"/>
      <c r="AC434" s="135"/>
      <c r="AD434" s="135"/>
      <c r="AE434" s="136"/>
      <c r="AF434" s="136"/>
      <c r="AG434" s="135"/>
      <c r="AH434" s="135"/>
      <c r="AI434" s="136"/>
      <c r="AJ434" s="136"/>
      <c r="AK434" s="135"/>
      <c r="AL434" s="135"/>
      <c r="AM434" s="134"/>
      <c r="AN434" s="135"/>
      <c r="AO434" s="135"/>
      <c r="AP434" s="135"/>
      <c r="AQ434" s="7"/>
      <c r="AR434" s="7"/>
      <c r="AS434" s="7"/>
      <c r="AT434" s="136"/>
      <c r="AU434" s="136"/>
      <c r="AV434" s="136"/>
      <c r="AW434" s="136"/>
      <c r="AX434" s="135"/>
      <c r="AY434" s="135"/>
      <c r="AZ434" s="135"/>
      <c r="BA434" s="135"/>
      <c r="BB434" s="135"/>
      <c r="BC434" s="135"/>
    </row>
    <row r="435" spans="12:55" ht="14.25" customHeight="1">
      <c r="L435" s="136"/>
      <c r="M435" s="136"/>
      <c r="N435" s="136"/>
      <c r="O435" s="136"/>
      <c r="P435" s="137"/>
      <c r="Q435" s="138"/>
      <c r="R435" s="138"/>
      <c r="S435" s="138"/>
      <c r="T435" s="138"/>
      <c r="U435" s="136"/>
      <c r="V435" s="136"/>
      <c r="W435" s="135"/>
      <c r="X435" s="135"/>
      <c r="Y435" s="136"/>
      <c r="Z435" s="136"/>
      <c r="AA435" s="135"/>
      <c r="AB435" s="135"/>
      <c r="AC435" s="135"/>
      <c r="AD435" s="135"/>
      <c r="AE435" s="136"/>
      <c r="AF435" s="136"/>
      <c r="AG435" s="135"/>
      <c r="AH435" s="135"/>
      <c r="AI435" s="136"/>
      <c r="AJ435" s="136"/>
      <c r="AK435" s="135"/>
      <c r="AL435" s="135"/>
      <c r="AM435" s="135"/>
      <c r="AN435" s="135"/>
      <c r="AO435" s="135"/>
      <c r="AP435" s="135"/>
      <c r="AQ435" s="7"/>
      <c r="AR435" s="7"/>
      <c r="AS435" s="7"/>
      <c r="AT435" s="136"/>
      <c r="AU435" s="136"/>
      <c r="AV435" s="136"/>
      <c r="AW435" s="136"/>
      <c r="AX435" s="135"/>
      <c r="AY435" s="135"/>
      <c r="AZ435" s="135"/>
      <c r="BA435" s="135"/>
      <c r="BB435" s="135"/>
      <c r="BC435" s="135"/>
    </row>
    <row r="436" spans="12:55" ht="14.25" customHeight="1">
      <c r="L436" s="136"/>
      <c r="M436" s="136"/>
      <c r="N436" s="136"/>
      <c r="O436" s="136"/>
      <c r="P436" s="137"/>
      <c r="Q436" s="138"/>
      <c r="R436" s="138"/>
      <c r="S436" s="138"/>
      <c r="T436" s="138"/>
      <c r="U436" s="136"/>
      <c r="V436" s="136"/>
      <c r="W436" s="135"/>
      <c r="X436" s="135"/>
      <c r="Y436" s="136"/>
      <c r="Z436" s="136"/>
      <c r="AA436" s="135"/>
      <c r="AB436" s="135"/>
      <c r="AC436" s="135"/>
      <c r="AD436" s="135"/>
      <c r="AE436" s="136"/>
      <c r="AF436" s="136"/>
      <c r="AG436" s="135"/>
      <c r="AH436" s="135"/>
      <c r="AI436" s="136"/>
      <c r="AJ436" s="136"/>
      <c r="AK436" s="135"/>
      <c r="AL436" s="135"/>
      <c r="AM436" s="134"/>
      <c r="AN436" s="135"/>
      <c r="AO436" s="135"/>
      <c r="AP436" s="135"/>
      <c r="AQ436" s="7"/>
      <c r="AR436" s="7"/>
      <c r="AS436" s="7"/>
      <c r="AT436" s="99"/>
      <c r="AU436" s="99"/>
      <c r="AV436" s="99"/>
      <c r="AW436" s="99"/>
      <c r="AX436" s="100"/>
      <c r="AY436" s="100"/>
      <c r="AZ436" s="100"/>
      <c r="BA436" s="100"/>
      <c r="BB436" s="100"/>
      <c r="BC436" s="100"/>
    </row>
    <row r="437" spans="12:55" ht="14.25" customHeight="1">
      <c r="L437" s="136"/>
      <c r="M437" s="136"/>
      <c r="N437" s="136"/>
      <c r="O437" s="136"/>
      <c r="P437" s="137"/>
      <c r="Q437" s="138"/>
      <c r="R437" s="138"/>
      <c r="S437" s="138"/>
      <c r="T437" s="138"/>
      <c r="U437" s="49"/>
      <c r="V437" s="49"/>
      <c r="W437" s="49"/>
      <c r="X437" s="136"/>
      <c r="Y437" s="136"/>
      <c r="Z437" s="136"/>
      <c r="AA437" s="136"/>
      <c r="AB437" s="135"/>
      <c r="AC437" s="135"/>
      <c r="AD437" s="135"/>
      <c r="AE437" s="136"/>
      <c r="AF437" s="136"/>
      <c r="AG437" s="136"/>
      <c r="AH437" s="136"/>
      <c r="AI437" s="135"/>
      <c r="AJ437" s="135"/>
      <c r="AK437" s="135"/>
      <c r="AL437" s="49"/>
      <c r="AM437" s="135"/>
      <c r="AN437" s="135"/>
      <c r="AO437" s="135"/>
      <c r="AP437" s="135"/>
      <c r="AQ437" s="7"/>
      <c r="AR437" s="7"/>
      <c r="AS437" s="7"/>
      <c r="AT437" s="99"/>
      <c r="AU437" s="99"/>
      <c r="AV437" s="99"/>
      <c r="AW437" s="99"/>
      <c r="AX437" s="100"/>
      <c r="AY437" s="100"/>
      <c r="AZ437" s="100"/>
      <c r="BA437" s="100"/>
      <c r="BB437" s="100"/>
      <c r="BC437" s="100"/>
    </row>
    <row r="438" spans="12:55" ht="14.25" customHeight="1">
      <c r="L438" s="136"/>
      <c r="M438" s="136"/>
      <c r="N438" s="136"/>
      <c r="O438" s="136"/>
      <c r="P438" s="137"/>
      <c r="Q438" s="138"/>
      <c r="R438" s="138"/>
      <c r="S438" s="138"/>
      <c r="T438" s="138"/>
      <c r="U438" s="7"/>
      <c r="V438" s="7"/>
      <c r="W438" s="7"/>
      <c r="X438" s="136"/>
      <c r="Y438" s="136"/>
      <c r="Z438" s="136"/>
      <c r="AA438" s="136"/>
      <c r="AB438" s="135"/>
      <c r="AC438" s="135"/>
      <c r="AD438" s="135"/>
      <c r="AE438" s="136"/>
      <c r="AF438" s="136"/>
      <c r="AG438" s="136"/>
      <c r="AH438" s="136"/>
      <c r="AI438" s="135"/>
      <c r="AJ438" s="135"/>
      <c r="AK438" s="135"/>
      <c r="AL438" s="7"/>
      <c r="AM438" s="134"/>
      <c r="AN438" s="135"/>
      <c r="AO438" s="135"/>
      <c r="AP438" s="135"/>
      <c r="AQ438" s="7"/>
      <c r="AR438" s="7"/>
      <c r="AS438" s="7"/>
      <c r="AT438" s="99"/>
      <c r="AU438" s="99"/>
      <c r="AV438" s="99"/>
      <c r="AW438" s="99"/>
      <c r="AX438" s="100"/>
      <c r="AY438" s="100"/>
      <c r="AZ438" s="100"/>
      <c r="BA438" s="100"/>
      <c r="BB438" s="100"/>
      <c r="BC438" s="100"/>
    </row>
    <row r="439" spans="12:55" ht="14.25" customHeight="1">
      <c r="L439" s="136"/>
      <c r="M439" s="136"/>
      <c r="N439" s="136"/>
      <c r="O439" s="136"/>
      <c r="P439" s="137"/>
      <c r="Q439" s="138"/>
      <c r="R439" s="138"/>
      <c r="S439" s="138"/>
      <c r="T439" s="138"/>
      <c r="U439" s="7"/>
      <c r="V439" s="7"/>
      <c r="W439" s="7"/>
      <c r="X439" s="136"/>
      <c r="Y439" s="136"/>
      <c r="Z439" s="136"/>
      <c r="AA439" s="136"/>
      <c r="AB439" s="135"/>
      <c r="AC439" s="135"/>
      <c r="AD439" s="135"/>
      <c r="AE439" s="136"/>
      <c r="AF439" s="136"/>
      <c r="AG439" s="136"/>
      <c r="AH439" s="136"/>
      <c r="AI439" s="135"/>
      <c r="AJ439" s="135"/>
      <c r="AK439" s="135"/>
      <c r="AL439" s="7"/>
      <c r="AM439" s="135"/>
      <c r="AN439" s="135"/>
      <c r="AO439" s="135"/>
      <c r="AP439" s="135"/>
      <c r="AQ439" s="7"/>
      <c r="AR439" s="7"/>
      <c r="AS439" s="7"/>
      <c r="AT439" s="99"/>
      <c r="AU439" s="99"/>
      <c r="AV439" s="99"/>
      <c r="AW439" s="99"/>
      <c r="AX439" s="100"/>
      <c r="AY439" s="100"/>
      <c r="AZ439" s="100"/>
      <c r="BA439" s="100"/>
      <c r="BB439" s="100"/>
      <c r="BC439" s="100"/>
    </row>
    <row r="440" spans="12:55" ht="30.9" customHeight="1">
      <c r="L440" s="139"/>
      <c r="M440" s="139"/>
      <c r="N440" s="139"/>
      <c r="O440" s="140"/>
      <c r="P440" s="140"/>
      <c r="Q440" s="137"/>
      <c r="R440" s="137"/>
      <c r="S440" s="137"/>
      <c r="T440" s="137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  <c r="AH440" s="122"/>
      <c r="AI440" s="122"/>
      <c r="AJ440" s="122"/>
      <c r="AK440" s="122"/>
      <c r="AL440" s="122"/>
      <c r="AM440" s="122"/>
      <c r="AN440" s="122"/>
      <c r="AO440" s="122"/>
      <c r="AP440" s="122"/>
      <c r="AQ440" s="122"/>
      <c r="AR440" s="122"/>
      <c r="AS440" s="122"/>
      <c r="AT440" s="122"/>
      <c r="AU440" s="122"/>
      <c r="AV440" s="122"/>
      <c r="AW440" s="122"/>
      <c r="AX440" s="122"/>
      <c r="AY440" s="122"/>
      <c r="AZ440" s="122"/>
      <c r="BA440" s="122"/>
      <c r="BB440" s="122"/>
      <c r="BC440" s="122"/>
    </row>
    <row r="441" spans="12:55" ht="30.9" customHeight="1">
      <c r="L441" s="139"/>
      <c r="M441" s="139"/>
      <c r="N441" s="139"/>
      <c r="O441" s="140"/>
      <c r="P441" s="140"/>
      <c r="Q441" s="137"/>
      <c r="R441" s="137"/>
      <c r="S441" s="137"/>
      <c r="T441" s="137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  <c r="AH441" s="122"/>
      <c r="AI441" s="122"/>
      <c r="AJ441" s="122"/>
      <c r="AK441" s="122"/>
      <c r="AL441" s="122"/>
      <c r="AM441" s="122"/>
      <c r="AN441" s="122"/>
      <c r="AO441" s="122"/>
      <c r="AP441" s="122"/>
      <c r="AQ441" s="122"/>
      <c r="AR441" s="122"/>
      <c r="AS441" s="122"/>
      <c r="AT441" s="122"/>
      <c r="AU441" s="122"/>
      <c r="AV441" s="122"/>
      <c r="AW441" s="122"/>
      <c r="AX441" s="122"/>
      <c r="AY441" s="122"/>
      <c r="AZ441" s="122"/>
      <c r="BA441" s="122"/>
      <c r="BB441" s="122"/>
      <c r="BC441" s="122"/>
    </row>
    <row r="442" spans="12:55" ht="14.25" customHeight="1">
      <c r="L442" s="136"/>
      <c r="M442" s="136"/>
      <c r="N442" s="136"/>
      <c r="O442" s="136"/>
      <c r="P442" s="137"/>
      <c r="Q442" s="138"/>
      <c r="R442" s="138"/>
      <c r="S442" s="138"/>
      <c r="T442" s="138"/>
      <c r="U442" s="136"/>
      <c r="V442" s="136"/>
      <c r="W442" s="135"/>
      <c r="X442" s="135"/>
      <c r="Y442" s="136"/>
      <c r="Z442" s="136"/>
      <c r="AA442" s="135"/>
      <c r="AB442" s="135"/>
      <c r="AC442" s="135"/>
      <c r="AD442" s="135"/>
      <c r="AE442" s="136"/>
      <c r="AF442" s="136"/>
      <c r="AG442" s="135"/>
      <c r="AH442" s="135"/>
      <c r="AI442" s="136"/>
      <c r="AJ442" s="136"/>
      <c r="AK442" s="135"/>
      <c r="AL442" s="135"/>
      <c r="AM442" s="134"/>
      <c r="AN442" s="135"/>
      <c r="AO442" s="135"/>
      <c r="AP442" s="135"/>
      <c r="AQ442" s="7"/>
      <c r="AR442" s="7"/>
      <c r="AS442" s="7"/>
      <c r="AT442" s="136"/>
      <c r="AU442" s="136"/>
      <c r="AV442" s="136"/>
      <c r="AW442" s="136"/>
      <c r="AX442" s="135"/>
      <c r="AY442" s="135"/>
      <c r="AZ442" s="135"/>
      <c r="BA442" s="135"/>
      <c r="BB442" s="135"/>
      <c r="BC442" s="135"/>
    </row>
    <row r="443" spans="12:55" ht="14.25" customHeight="1">
      <c r="L443" s="136"/>
      <c r="M443" s="136"/>
      <c r="N443" s="136"/>
      <c r="O443" s="136"/>
      <c r="P443" s="137"/>
      <c r="Q443" s="138"/>
      <c r="R443" s="138"/>
      <c r="S443" s="138"/>
      <c r="T443" s="138"/>
      <c r="U443" s="136"/>
      <c r="V443" s="136"/>
      <c r="W443" s="135"/>
      <c r="X443" s="135"/>
      <c r="Y443" s="136"/>
      <c r="Z443" s="136"/>
      <c r="AA443" s="135"/>
      <c r="AB443" s="135"/>
      <c r="AC443" s="135"/>
      <c r="AD443" s="135"/>
      <c r="AE443" s="136"/>
      <c r="AF443" s="136"/>
      <c r="AG443" s="135"/>
      <c r="AH443" s="135"/>
      <c r="AI443" s="136"/>
      <c r="AJ443" s="136"/>
      <c r="AK443" s="135"/>
      <c r="AL443" s="135"/>
      <c r="AM443" s="135"/>
      <c r="AN443" s="135"/>
      <c r="AO443" s="135"/>
      <c r="AP443" s="135"/>
      <c r="AQ443" s="7"/>
      <c r="AR443" s="7"/>
      <c r="AS443" s="7"/>
      <c r="AT443" s="136"/>
      <c r="AU443" s="136"/>
      <c r="AV443" s="136"/>
      <c r="AW443" s="136"/>
      <c r="AX443" s="135"/>
      <c r="AY443" s="135"/>
      <c r="AZ443" s="135"/>
      <c r="BA443" s="135"/>
      <c r="BB443" s="135"/>
      <c r="BC443" s="135"/>
    </row>
    <row r="444" spans="12:55" ht="14.25" customHeight="1">
      <c r="L444" s="136"/>
      <c r="M444" s="136"/>
      <c r="N444" s="136"/>
      <c r="O444" s="136"/>
      <c r="P444" s="137"/>
      <c r="Q444" s="138"/>
      <c r="R444" s="138"/>
      <c r="S444" s="138"/>
      <c r="T444" s="138"/>
      <c r="U444" s="136"/>
      <c r="V444" s="136"/>
      <c r="W444" s="135"/>
      <c r="X444" s="135"/>
      <c r="Y444" s="136"/>
      <c r="Z444" s="136"/>
      <c r="AA444" s="135"/>
      <c r="AB444" s="135"/>
      <c r="AC444" s="135"/>
      <c r="AD444" s="135"/>
      <c r="AE444" s="136"/>
      <c r="AF444" s="136"/>
      <c r="AG444" s="135"/>
      <c r="AH444" s="135"/>
      <c r="AI444" s="136"/>
      <c r="AJ444" s="136"/>
      <c r="AK444" s="135"/>
      <c r="AL444" s="135"/>
      <c r="AM444" s="134"/>
      <c r="AN444" s="135"/>
      <c r="AO444" s="135"/>
      <c r="AP444" s="135"/>
      <c r="AQ444" s="7"/>
      <c r="AR444" s="7"/>
      <c r="AS444" s="7"/>
      <c r="AT444" s="99"/>
      <c r="AU444" s="99"/>
      <c r="AV444" s="99"/>
      <c r="AW444" s="99"/>
      <c r="AX444" s="100"/>
      <c r="AY444" s="100"/>
      <c r="AZ444" s="100"/>
      <c r="BA444" s="100"/>
      <c r="BB444" s="100"/>
      <c r="BC444" s="100"/>
    </row>
    <row r="445" spans="12:55" ht="14.25" customHeight="1">
      <c r="L445" s="136"/>
      <c r="M445" s="136"/>
      <c r="N445" s="136"/>
      <c r="O445" s="136"/>
      <c r="P445" s="137"/>
      <c r="Q445" s="138"/>
      <c r="R445" s="138"/>
      <c r="S445" s="138"/>
      <c r="T445" s="138"/>
      <c r="U445" s="49"/>
      <c r="V445" s="49"/>
      <c r="W445" s="49"/>
      <c r="X445" s="136"/>
      <c r="Y445" s="136"/>
      <c r="Z445" s="136"/>
      <c r="AA445" s="136"/>
      <c r="AB445" s="135"/>
      <c r="AC445" s="135"/>
      <c r="AD445" s="135"/>
      <c r="AE445" s="136"/>
      <c r="AF445" s="136"/>
      <c r="AG445" s="136"/>
      <c r="AH445" s="136"/>
      <c r="AI445" s="135"/>
      <c r="AJ445" s="135"/>
      <c r="AK445" s="135"/>
      <c r="AL445" s="49"/>
      <c r="AM445" s="135"/>
      <c r="AN445" s="135"/>
      <c r="AO445" s="135"/>
      <c r="AP445" s="135"/>
      <c r="AQ445" s="7"/>
      <c r="AR445" s="7"/>
      <c r="AS445" s="7"/>
      <c r="AT445" s="99"/>
      <c r="AU445" s="99"/>
      <c r="AV445" s="99"/>
      <c r="AW445" s="99"/>
      <c r="AX445" s="100"/>
      <c r="AY445" s="100"/>
      <c r="AZ445" s="100"/>
      <c r="BA445" s="100"/>
      <c r="BB445" s="100"/>
      <c r="BC445" s="100"/>
    </row>
    <row r="446" spans="12:55" ht="14.25" customHeight="1">
      <c r="L446" s="136"/>
      <c r="M446" s="136"/>
      <c r="N446" s="136"/>
      <c r="O446" s="136"/>
      <c r="P446" s="137"/>
      <c r="Q446" s="138"/>
      <c r="R446" s="138"/>
      <c r="S446" s="138"/>
      <c r="T446" s="138"/>
      <c r="U446" s="7"/>
      <c r="V446" s="7"/>
      <c r="W446" s="7"/>
      <c r="X446" s="136"/>
      <c r="Y446" s="136"/>
      <c r="Z446" s="136"/>
      <c r="AA446" s="136"/>
      <c r="AB446" s="135"/>
      <c r="AC446" s="135"/>
      <c r="AD446" s="135"/>
      <c r="AE446" s="136"/>
      <c r="AF446" s="136"/>
      <c r="AG446" s="136"/>
      <c r="AH446" s="136"/>
      <c r="AI446" s="135"/>
      <c r="AJ446" s="135"/>
      <c r="AK446" s="135"/>
      <c r="AL446" s="7"/>
      <c r="AM446" s="134"/>
      <c r="AN446" s="135"/>
      <c r="AO446" s="135"/>
      <c r="AP446" s="135"/>
      <c r="AQ446" s="7"/>
      <c r="AR446" s="7"/>
      <c r="AS446" s="7"/>
      <c r="AT446" s="99"/>
      <c r="AU446" s="99"/>
      <c r="AV446" s="99"/>
      <c r="AW446" s="99"/>
      <c r="AX446" s="100"/>
      <c r="AY446" s="100"/>
      <c r="AZ446" s="100"/>
      <c r="BA446" s="100"/>
      <c r="BB446" s="100"/>
      <c r="BC446" s="100"/>
    </row>
    <row r="447" spans="12:55" ht="14.25" customHeight="1">
      <c r="L447" s="136"/>
      <c r="M447" s="136"/>
      <c r="N447" s="136"/>
      <c r="O447" s="136"/>
      <c r="P447" s="137"/>
      <c r="Q447" s="138"/>
      <c r="R447" s="138"/>
      <c r="S447" s="138"/>
      <c r="T447" s="138"/>
      <c r="U447" s="7"/>
      <c r="V447" s="7"/>
      <c r="W447" s="7"/>
      <c r="X447" s="136"/>
      <c r="Y447" s="136"/>
      <c r="Z447" s="136"/>
      <c r="AA447" s="136"/>
      <c r="AB447" s="135"/>
      <c r="AC447" s="135"/>
      <c r="AD447" s="135"/>
      <c r="AE447" s="136"/>
      <c r="AF447" s="136"/>
      <c r="AG447" s="136"/>
      <c r="AH447" s="136"/>
      <c r="AI447" s="135"/>
      <c r="AJ447" s="135"/>
      <c r="AK447" s="135"/>
      <c r="AL447" s="7"/>
      <c r="AM447" s="135"/>
      <c r="AN447" s="135"/>
      <c r="AO447" s="135"/>
      <c r="AP447" s="135"/>
      <c r="AQ447" s="7"/>
      <c r="AR447" s="7"/>
      <c r="AS447" s="7"/>
      <c r="AT447" s="99"/>
      <c r="AU447" s="99"/>
      <c r="AV447" s="99"/>
      <c r="AW447" s="99"/>
      <c r="AX447" s="100"/>
      <c r="AY447" s="100"/>
      <c r="AZ447" s="100"/>
      <c r="BA447" s="100"/>
      <c r="BB447" s="100"/>
      <c r="BC447" s="100"/>
    </row>
    <row r="448" spans="12:55" ht="30.9" customHeight="1">
      <c r="L448" s="139"/>
      <c r="M448" s="139"/>
      <c r="N448" s="139"/>
      <c r="O448" s="140"/>
      <c r="P448" s="140"/>
      <c r="Q448" s="137"/>
      <c r="R448" s="137"/>
      <c r="S448" s="137"/>
      <c r="T448" s="137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  <c r="AH448" s="122"/>
      <c r="AI448" s="122"/>
      <c r="AJ448" s="122"/>
      <c r="AK448" s="122"/>
      <c r="AL448" s="122"/>
      <c r="AM448" s="122"/>
      <c r="AN448" s="122"/>
      <c r="AO448" s="122"/>
      <c r="AP448" s="122"/>
      <c r="AQ448" s="122"/>
      <c r="AR448" s="122"/>
      <c r="AS448" s="122"/>
      <c r="AT448" s="122"/>
      <c r="AU448" s="122"/>
      <c r="AV448" s="122"/>
      <c r="AW448" s="122"/>
      <c r="AX448" s="122"/>
      <c r="AY448" s="122"/>
      <c r="AZ448" s="122"/>
      <c r="BA448" s="122"/>
      <c r="BB448" s="122"/>
      <c r="BC448" s="122"/>
    </row>
    <row r="449" spans="12:60" ht="30.9" customHeight="1">
      <c r="L449" s="139"/>
      <c r="M449" s="139"/>
      <c r="N449" s="139"/>
      <c r="O449" s="140"/>
      <c r="P449" s="140"/>
      <c r="Q449" s="137"/>
      <c r="R449" s="137"/>
      <c r="S449" s="137"/>
      <c r="T449" s="137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  <c r="AH449" s="122"/>
      <c r="AI449" s="122"/>
      <c r="AJ449" s="122"/>
      <c r="AK449" s="122"/>
      <c r="AL449" s="122"/>
      <c r="AM449" s="122"/>
      <c r="AN449" s="122"/>
      <c r="AO449" s="122"/>
      <c r="AP449" s="122"/>
      <c r="AQ449" s="122"/>
      <c r="AR449" s="122"/>
      <c r="AS449" s="122"/>
      <c r="AT449" s="122"/>
      <c r="AU449" s="122"/>
      <c r="AV449" s="122"/>
      <c r="AW449" s="122"/>
      <c r="AX449" s="122"/>
      <c r="AY449" s="122"/>
      <c r="AZ449" s="122"/>
      <c r="BA449" s="122"/>
      <c r="BB449" s="122"/>
      <c r="BC449" s="122"/>
    </row>
    <row r="451" spans="12:60" ht="15" customHeight="1">
      <c r="L451" s="5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17"/>
      <c r="AF451" s="17"/>
      <c r="AG451" s="17"/>
      <c r="AH451" s="17"/>
      <c r="AI451" s="17"/>
      <c r="AJ451" s="17"/>
      <c r="AK451" s="17"/>
      <c r="AL451" s="17"/>
      <c r="AM451" s="17"/>
      <c r="AN451" s="17"/>
      <c r="AO451" s="17"/>
      <c r="AP451" s="17"/>
      <c r="AQ451" s="17"/>
      <c r="AR451" s="17"/>
      <c r="AS451" s="17"/>
      <c r="AT451" s="17"/>
      <c r="AU451" s="17"/>
      <c r="AV451" s="17"/>
      <c r="AW451" s="17"/>
      <c r="AX451" s="17"/>
      <c r="AY451" s="17"/>
      <c r="AZ451" s="17"/>
      <c r="BA451" s="75"/>
      <c r="BB451" s="17"/>
      <c r="BC451" s="17"/>
    </row>
    <row r="452" spans="12:60" ht="22.5" customHeight="1">
      <c r="L452" s="91"/>
      <c r="M452" s="91"/>
      <c r="N452" s="91"/>
      <c r="O452" s="91"/>
      <c r="P452" s="91"/>
      <c r="Q452" s="91"/>
      <c r="R452" s="91"/>
      <c r="S452" s="91"/>
      <c r="T452" s="91"/>
      <c r="U452" s="91"/>
      <c r="V452" s="91"/>
      <c r="W452" s="91"/>
      <c r="X452" s="91"/>
      <c r="Y452" s="91"/>
      <c r="Z452" s="91"/>
      <c r="AA452" s="91"/>
      <c r="AB452" s="91"/>
      <c r="AC452" s="91"/>
      <c r="AD452" s="91"/>
      <c r="AE452" s="18"/>
      <c r="AF452" s="18"/>
      <c r="AG452" s="18"/>
      <c r="AH452" s="18"/>
      <c r="AI452" s="18"/>
      <c r="AJ452" s="18"/>
      <c r="AK452" s="18"/>
      <c r="AL452" s="18"/>
      <c r="AM452" s="18"/>
      <c r="AN452" s="18"/>
      <c r="AO452" s="18"/>
      <c r="AP452" s="18"/>
      <c r="AQ452" s="18"/>
      <c r="AR452" s="18"/>
      <c r="AS452" s="18"/>
      <c r="AT452" s="18"/>
      <c r="AU452" s="18"/>
      <c r="AV452" s="18"/>
      <c r="AW452" s="18"/>
      <c r="AX452" s="18"/>
      <c r="AY452" s="18"/>
      <c r="AZ452" s="18"/>
      <c r="BA452" s="18"/>
      <c r="BB452" s="18"/>
      <c r="BC452" s="18"/>
    </row>
    <row r="453" spans="12:60" ht="22.5" customHeight="1">
      <c r="L453" s="51"/>
      <c r="M453" s="91"/>
      <c r="N453" s="94"/>
      <c r="O453" s="94"/>
      <c r="P453" s="94"/>
      <c r="Q453" s="91"/>
      <c r="R453" s="117"/>
      <c r="S453" s="117"/>
      <c r="T453" s="117"/>
      <c r="U453" s="117"/>
      <c r="V453" s="117"/>
      <c r="W453" s="117"/>
      <c r="X453" s="117"/>
      <c r="Y453" s="117"/>
      <c r="Z453" s="117"/>
      <c r="AA453" s="117"/>
      <c r="AB453" s="117"/>
      <c r="AC453" s="117"/>
      <c r="AD453" s="117"/>
      <c r="AE453" s="117"/>
      <c r="AF453" s="117"/>
      <c r="AG453" s="117"/>
      <c r="AH453" s="117"/>
      <c r="AI453" s="117"/>
      <c r="AJ453" s="51"/>
      <c r="AK453" s="91"/>
      <c r="AL453" s="94"/>
      <c r="AM453" s="94"/>
      <c r="AN453" s="94"/>
      <c r="AO453" s="94"/>
      <c r="AP453" s="94"/>
      <c r="AQ453" s="91"/>
      <c r="AR453" s="94"/>
      <c r="AS453" s="94"/>
      <c r="AT453" s="94"/>
      <c r="AU453" s="94"/>
      <c r="AV453" s="94"/>
      <c r="AW453" s="94"/>
      <c r="AX453" s="94"/>
      <c r="AY453" s="94"/>
      <c r="AZ453" s="94"/>
      <c r="BA453" s="94"/>
      <c r="BB453" s="94"/>
      <c r="BC453" s="94"/>
    </row>
    <row r="454" spans="12:60" ht="21.75" customHeight="1">
      <c r="L454" s="41"/>
      <c r="M454" s="94"/>
      <c r="N454" s="94"/>
      <c r="O454" s="94"/>
      <c r="P454" s="94"/>
      <c r="Q454" s="117"/>
      <c r="R454" s="117"/>
      <c r="S454" s="117"/>
      <c r="T454" s="117"/>
      <c r="U454" s="117"/>
      <c r="V454" s="117"/>
      <c r="W454" s="117"/>
      <c r="X454" s="117"/>
      <c r="Y454" s="117"/>
      <c r="Z454" s="117"/>
      <c r="AA454" s="117"/>
      <c r="AB454" s="117"/>
      <c r="AC454" s="117"/>
      <c r="AD454" s="117"/>
      <c r="AE454" s="117"/>
      <c r="AF454" s="117"/>
      <c r="AG454" s="117"/>
      <c r="AH454" s="117"/>
      <c r="AI454" s="117"/>
      <c r="AJ454" s="41"/>
      <c r="AK454" s="94"/>
      <c r="AL454" s="94"/>
      <c r="AM454" s="94"/>
      <c r="AN454" s="94"/>
      <c r="AO454" s="94"/>
      <c r="AP454" s="94"/>
      <c r="AQ454" s="94"/>
      <c r="AR454" s="94"/>
      <c r="AS454" s="94"/>
      <c r="AT454" s="94"/>
      <c r="AU454" s="94"/>
      <c r="AV454" s="94"/>
      <c r="AW454" s="94"/>
      <c r="AX454" s="94"/>
      <c r="AY454" s="94"/>
      <c r="AZ454" s="94"/>
      <c r="BA454" s="94"/>
      <c r="BB454" s="94"/>
      <c r="BC454" s="94"/>
    </row>
    <row r="455" spans="12:60" ht="14.4">
      <c r="L455" s="52"/>
      <c r="M455" s="96"/>
      <c r="N455" s="96"/>
      <c r="O455" s="96"/>
      <c r="P455" s="96"/>
      <c r="Q455" s="60"/>
      <c r="R455" s="96"/>
      <c r="S455" s="96"/>
      <c r="T455" s="96"/>
      <c r="U455" s="96"/>
      <c r="V455" s="96"/>
      <c r="W455" s="96"/>
      <c r="X455" s="96"/>
      <c r="Y455" s="96"/>
      <c r="Z455" s="96"/>
      <c r="AA455" s="96"/>
      <c r="AB455" s="96"/>
      <c r="AC455" s="96"/>
      <c r="AD455" s="96"/>
      <c r="AE455" s="96"/>
      <c r="AF455" s="96"/>
      <c r="AG455" s="96"/>
      <c r="AH455" s="96"/>
      <c r="AI455" s="96"/>
      <c r="AJ455" s="96"/>
      <c r="AK455" s="96"/>
      <c r="AL455" s="96"/>
      <c r="AM455" s="96"/>
      <c r="AN455" s="96"/>
      <c r="AO455" s="96"/>
      <c r="AP455" s="96"/>
      <c r="AQ455" s="96"/>
      <c r="AR455" s="96"/>
      <c r="AS455" s="96"/>
      <c r="AT455" s="96"/>
      <c r="AU455" s="96"/>
      <c r="AV455" s="96"/>
      <c r="AW455" s="96"/>
      <c r="AX455" s="96"/>
      <c r="AY455" s="96"/>
      <c r="AZ455" s="96"/>
      <c r="BA455" s="96"/>
      <c r="BB455" s="96"/>
      <c r="BC455" s="96"/>
      <c r="BD455" s="20"/>
      <c r="BE455" s="20"/>
      <c r="BF455" s="20"/>
      <c r="BG455" s="20"/>
      <c r="BH455" s="20"/>
    </row>
    <row r="456" spans="12:60" ht="14.4">
      <c r="L456" s="54"/>
      <c r="M456" s="96"/>
      <c r="N456" s="96"/>
      <c r="O456" s="96"/>
      <c r="P456" s="96"/>
      <c r="Q456" s="61"/>
      <c r="R456" s="96"/>
      <c r="S456" s="96"/>
      <c r="T456" s="96"/>
      <c r="U456" s="96"/>
      <c r="V456" s="96"/>
      <c r="W456" s="96"/>
      <c r="X456" s="96"/>
      <c r="Y456" s="96"/>
      <c r="Z456" s="96"/>
      <c r="AA456" s="96"/>
      <c r="AB456" s="96"/>
      <c r="AC456" s="96"/>
      <c r="AD456" s="96"/>
      <c r="AE456" s="96"/>
      <c r="AF456" s="96"/>
      <c r="AG456" s="96"/>
      <c r="AH456" s="96"/>
      <c r="AI456" s="96"/>
      <c r="AJ456" s="96"/>
      <c r="AK456" s="96"/>
      <c r="AL456" s="96"/>
      <c r="AM456" s="96"/>
      <c r="AN456" s="96"/>
      <c r="AO456" s="96"/>
      <c r="AP456" s="96"/>
      <c r="AQ456" s="96"/>
      <c r="AR456" s="96"/>
      <c r="AS456" s="96"/>
      <c r="AT456" s="96"/>
      <c r="AU456" s="96"/>
      <c r="AV456" s="96"/>
      <c r="AW456" s="96"/>
      <c r="AX456" s="96"/>
      <c r="AY456" s="96"/>
      <c r="AZ456" s="96"/>
      <c r="BA456" s="96"/>
      <c r="BB456" s="96"/>
      <c r="BC456" s="96"/>
      <c r="BD456" s="20"/>
      <c r="BE456" s="20"/>
      <c r="BF456" s="20"/>
      <c r="BG456" s="20"/>
      <c r="BH456" s="20"/>
    </row>
    <row r="457" spans="12:60" ht="15" customHeight="1">
      <c r="L457" s="136"/>
      <c r="M457" s="136"/>
      <c r="N457" s="136"/>
      <c r="O457" s="136"/>
      <c r="P457" s="137"/>
      <c r="Q457" s="138"/>
      <c r="R457" s="138"/>
      <c r="S457" s="138"/>
      <c r="T457" s="138"/>
      <c r="U457" s="136"/>
      <c r="V457" s="136"/>
      <c r="W457" s="135"/>
      <c r="X457" s="135"/>
      <c r="Y457" s="136"/>
      <c r="Z457" s="136"/>
      <c r="AA457" s="135"/>
      <c r="AB457" s="135"/>
      <c r="AC457" s="135"/>
      <c r="AD457" s="135"/>
      <c r="AE457" s="136"/>
      <c r="AF457" s="136"/>
      <c r="AG457" s="135"/>
      <c r="AH457" s="135"/>
      <c r="AI457" s="136"/>
      <c r="AJ457" s="136"/>
      <c r="AK457" s="135"/>
      <c r="AL457" s="135"/>
      <c r="AM457" s="134"/>
      <c r="AN457" s="135"/>
      <c r="AO457" s="135"/>
      <c r="AP457" s="135"/>
      <c r="AQ457" s="7"/>
      <c r="AR457" s="7"/>
      <c r="AS457" s="7"/>
      <c r="AT457" s="136"/>
      <c r="AU457" s="136"/>
      <c r="AV457" s="136"/>
      <c r="AW457" s="136"/>
      <c r="AX457" s="135"/>
      <c r="AY457" s="135"/>
      <c r="AZ457" s="135"/>
      <c r="BA457" s="135"/>
      <c r="BB457" s="135"/>
      <c r="BC457" s="135"/>
    </row>
    <row r="458" spans="12:60" ht="14.25" customHeight="1">
      <c r="L458" s="136"/>
      <c r="M458" s="136"/>
      <c r="N458" s="136"/>
      <c r="O458" s="136"/>
      <c r="P458" s="137"/>
      <c r="Q458" s="138"/>
      <c r="R458" s="138"/>
      <c r="S458" s="138"/>
      <c r="T458" s="138"/>
      <c r="U458" s="136"/>
      <c r="V458" s="136"/>
      <c r="W458" s="135"/>
      <c r="X458" s="135"/>
      <c r="Y458" s="136"/>
      <c r="Z458" s="136"/>
      <c r="AA458" s="135"/>
      <c r="AB458" s="135"/>
      <c r="AC458" s="135"/>
      <c r="AD458" s="135"/>
      <c r="AE458" s="136"/>
      <c r="AF458" s="136"/>
      <c r="AG458" s="135"/>
      <c r="AH458" s="135"/>
      <c r="AI458" s="136"/>
      <c r="AJ458" s="136"/>
      <c r="AK458" s="135"/>
      <c r="AL458" s="135"/>
      <c r="AM458" s="135"/>
      <c r="AN458" s="135"/>
      <c r="AO458" s="135"/>
      <c r="AP458" s="135"/>
      <c r="AQ458" s="7"/>
      <c r="AR458" s="7"/>
      <c r="AS458" s="7"/>
      <c r="AT458" s="136"/>
      <c r="AU458" s="136"/>
      <c r="AV458" s="136"/>
      <c r="AW458" s="136"/>
      <c r="AX458" s="135"/>
      <c r="AY458" s="135"/>
      <c r="AZ458" s="135"/>
      <c r="BA458" s="135"/>
      <c r="BB458" s="135"/>
      <c r="BC458" s="135"/>
    </row>
    <row r="459" spans="12:60" ht="14.25" customHeight="1">
      <c r="L459" s="136"/>
      <c r="M459" s="136"/>
      <c r="N459" s="136"/>
      <c r="O459" s="136"/>
      <c r="P459" s="137"/>
      <c r="Q459" s="138"/>
      <c r="R459" s="138"/>
      <c r="S459" s="138"/>
      <c r="T459" s="138"/>
      <c r="U459" s="136"/>
      <c r="V459" s="136"/>
      <c r="W459" s="135"/>
      <c r="X459" s="135"/>
      <c r="Y459" s="136"/>
      <c r="Z459" s="136"/>
      <c r="AA459" s="135"/>
      <c r="AB459" s="135"/>
      <c r="AC459" s="135"/>
      <c r="AD459" s="135"/>
      <c r="AE459" s="136"/>
      <c r="AF459" s="136"/>
      <c r="AG459" s="135"/>
      <c r="AH459" s="135"/>
      <c r="AI459" s="136"/>
      <c r="AJ459" s="136"/>
      <c r="AK459" s="135"/>
      <c r="AL459" s="135"/>
      <c r="AM459" s="134"/>
      <c r="AN459" s="135"/>
      <c r="AO459" s="135"/>
      <c r="AP459" s="135"/>
      <c r="AQ459" s="7"/>
      <c r="AR459" s="7"/>
      <c r="AS459" s="7"/>
      <c r="AT459" s="99"/>
      <c r="AU459" s="99"/>
      <c r="AV459" s="99"/>
      <c r="AW459" s="99"/>
      <c r="AX459" s="100"/>
      <c r="AY459" s="100"/>
      <c r="AZ459" s="100"/>
      <c r="BA459" s="100"/>
      <c r="BB459" s="100"/>
      <c r="BC459" s="100"/>
    </row>
    <row r="460" spans="12:60" ht="14.25" customHeight="1">
      <c r="L460" s="136"/>
      <c r="M460" s="136"/>
      <c r="N460" s="136"/>
      <c r="O460" s="136"/>
      <c r="P460" s="137"/>
      <c r="Q460" s="138"/>
      <c r="R460" s="138"/>
      <c r="S460" s="138"/>
      <c r="T460" s="138"/>
      <c r="U460" s="49"/>
      <c r="V460" s="49"/>
      <c r="W460" s="49"/>
      <c r="X460" s="136"/>
      <c r="Y460" s="136"/>
      <c r="Z460" s="136"/>
      <c r="AA460" s="136"/>
      <c r="AB460" s="135"/>
      <c r="AC460" s="135"/>
      <c r="AD460" s="135"/>
      <c r="AE460" s="136"/>
      <c r="AF460" s="136"/>
      <c r="AG460" s="136"/>
      <c r="AH460" s="136"/>
      <c r="AI460" s="135"/>
      <c r="AJ460" s="135"/>
      <c r="AK460" s="135"/>
      <c r="AL460" s="49"/>
      <c r="AM460" s="135"/>
      <c r="AN460" s="135"/>
      <c r="AO460" s="135"/>
      <c r="AP460" s="135"/>
      <c r="AQ460" s="7"/>
      <c r="AR460" s="7"/>
      <c r="AS460" s="7"/>
      <c r="AT460" s="99"/>
      <c r="AU460" s="99"/>
      <c r="AV460" s="99"/>
      <c r="AW460" s="99"/>
      <c r="AX460" s="100"/>
      <c r="AY460" s="100"/>
      <c r="AZ460" s="100"/>
      <c r="BA460" s="100"/>
      <c r="BB460" s="100"/>
      <c r="BC460" s="100"/>
    </row>
    <row r="461" spans="12:60" ht="14.25" customHeight="1">
      <c r="L461" s="136"/>
      <c r="M461" s="136"/>
      <c r="N461" s="136"/>
      <c r="O461" s="136"/>
      <c r="P461" s="137"/>
      <c r="Q461" s="138"/>
      <c r="R461" s="138"/>
      <c r="S461" s="138"/>
      <c r="T461" s="138"/>
      <c r="U461" s="7"/>
      <c r="V461" s="7"/>
      <c r="W461" s="7"/>
      <c r="X461" s="136"/>
      <c r="Y461" s="136"/>
      <c r="Z461" s="136"/>
      <c r="AA461" s="136"/>
      <c r="AB461" s="135"/>
      <c r="AC461" s="135"/>
      <c r="AD461" s="135"/>
      <c r="AE461" s="136"/>
      <c r="AF461" s="136"/>
      <c r="AG461" s="136"/>
      <c r="AH461" s="136"/>
      <c r="AI461" s="135"/>
      <c r="AJ461" s="135"/>
      <c r="AK461" s="135"/>
      <c r="AL461" s="7"/>
      <c r="AM461" s="134"/>
      <c r="AN461" s="135"/>
      <c r="AO461" s="135"/>
      <c r="AP461" s="135"/>
      <c r="AQ461" s="7"/>
      <c r="AR461" s="7"/>
      <c r="AS461" s="7"/>
      <c r="AT461" s="99"/>
      <c r="AU461" s="99"/>
      <c r="AV461" s="99"/>
      <c r="AW461" s="99"/>
      <c r="AX461" s="100"/>
      <c r="AY461" s="100"/>
      <c r="AZ461" s="100"/>
      <c r="BA461" s="100"/>
      <c r="BB461" s="100"/>
      <c r="BC461" s="100"/>
    </row>
    <row r="462" spans="12:60" ht="14.25" customHeight="1">
      <c r="L462" s="136"/>
      <c r="M462" s="136"/>
      <c r="N462" s="136"/>
      <c r="O462" s="136"/>
      <c r="P462" s="137"/>
      <c r="Q462" s="138"/>
      <c r="R462" s="138"/>
      <c r="S462" s="138"/>
      <c r="T462" s="138"/>
      <c r="U462" s="7"/>
      <c r="V462" s="7"/>
      <c r="W462" s="7"/>
      <c r="X462" s="136"/>
      <c r="Y462" s="136"/>
      <c r="Z462" s="136"/>
      <c r="AA462" s="136"/>
      <c r="AB462" s="135"/>
      <c r="AC462" s="135"/>
      <c r="AD462" s="135"/>
      <c r="AE462" s="136"/>
      <c r="AF462" s="136"/>
      <c r="AG462" s="136"/>
      <c r="AH462" s="136"/>
      <c r="AI462" s="135"/>
      <c r="AJ462" s="135"/>
      <c r="AK462" s="135"/>
      <c r="AL462" s="7"/>
      <c r="AM462" s="135"/>
      <c r="AN462" s="135"/>
      <c r="AO462" s="135"/>
      <c r="AP462" s="135"/>
      <c r="AQ462" s="7"/>
      <c r="AR462" s="7"/>
      <c r="AS462" s="7"/>
      <c r="AT462" s="99"/>
      <c r="AU462" s="99"/>
      <c r="AV462" s="99"/>
      <c r="AW462" s="99"/>
      <c r="AX462" s="100"/>
      <c r="AY462" s="100"/>
      <c r="AZ462" s="100"/>
      <c r="BA462" s="100"/>
      <c r="BB462" s="100"/>
      <c r="BC462" s="100"/>
    </row>
    <row r="463" spans="12:60" ht="30.9" customHeight="1">
      <c r="L463" s="139"/>
      <c r="M463" s="139"/>
      <c r="N463" s="139"/>
      <c r="O463" s="140"/>
      <c r="P463" s="140"/>
      <c r="Q463" s="137"/>
      <c r="R463" s="137"/>
      <c r="S463" s="137"/>
      <c r="T463" s="137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  <c r="AH463" s="122"/>
      <c r="AI463" s="122"/>
      <c r="AJ463" s="122"/>
      <c r="AK463" s="122"/>
      <c r="AL463" s="122"/>
      <c r="AM463" s="122"/>
      <c r="AN463" s="122"/>
      <c r="AO463" s="122"/>
      <c r="AP463" s="122"/>
      <c r="AQ463" s="122"/>
      <c r="AR463" s="122"/>
      <c r="AS463" s="122"/>
      <c r="AT463" s="122"/>
      <c r="AU463" s="122"/>
      <c r="AV463" s="122"/>
      <c r="AW463" s="122"/>
      <c r="AX463" s="122"/>
      <c r="AY463" s="122"/>
      <c r="AZ463" s="122"/>
      <c r="BA463" s="122"/>
      <c r="BB463" s="122"/>
      <c r="BC463" s="122"/>
    </row>
    <row r="464" spans="12:60" ht="30.9" customHeight="1">
      <c r="L464" s="139"/>
      <c r="M464" s="139"/>
      <c r="N464" s="139"/>
      <c r="O464" s="140"/>
      <c r="P464" s="140"/>
      <c r="Q464" s="137"/>
      <c r="R464" s="137"/>
      <c r="S464" s="137"/>
      <c r="T464" s="137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  <c r="AH464" s="122"/>
      <c r="AI464" s="122"/>
      <c r="AJ464" s="122"/>
      <c r="AK464" s="122"/>
      <c r="AL464" s="122"/>
      <c r="AM464" s="122"/>
      <c r="AN464" s="122"/>
      <c r="AO464" s="122"/>
      <c r="AP464" s="122"/>
      <c r="AQ464" s="122"/>
      <c r="AR464" s="122"/>
      <c r="AS464" s="122"/>
      <c r="AT464" s="122"/>
      <c r="AU464" s="122"/>
      <c r="AV464" s="122"/>
      <c r="AW464" s="122"/>
      <c r="AX464" s="122"/>
      <c r="AY464" s="122"/>
      <c r="AZ464" s="122"/>
      <c r="BA464" s="122"/>
      <c r="BB464" s="122"/>
      <c r="BC464" s="122"/>
    </row>
    <row r="465" spans="12:55" ht="15" customHeight="1">
      <c r="L465" s="136"/>
      <c r="M465" s="136"/>
      <c r="N465" s="136"/>
      <c r="O465" s="136"/>
      <c r="P465" s="137"/>
      <c r="Q465" s="138"/>
      <c r="R465" s="138"/>
      <c r="S465" s="138"/>
      <c r="T465" s="138"/>
      <c r="U465" s="136"/>
      <c r="V465" s="136"/>
      <c r="W465" s="135"/>
      <c r="X465" s="135"/>
      <c r="Y465" s="136"/>
      <c r="Z465" s="136"/>
      <c r="AA465" s="135"/>
      <c r="AB465" s="135"/>
      <c r="AC465" s="135"/>
      <c r="AD465" s="135"/>
      <c r="AE465" s="136"/>
      <c r="AF465" s="136"/>
      <c r="AG465" s="135"/>
      <c r="AH465" s="135"/>
      <c r="AI465" s="136"/>
      <c r="AJ465" s="136"/>
      <c r="AK465" s="135"/>
      <c r="AL465" s="135"/>
      <c r="AM465" s="134"/>
      <c r="AN465" s="135"/>
      <c r="AO465" s="135"/>
      <c r="AP465" s="135"/>
      <c r="AQ465" s="7"/>
      <c r="AR465" s="7"/>
      <c r="AS465" s="7"/>
      <c r="AT465" s="136"/>
      <c r="AU465" s="136"/>
      <c r="AV465" s="136"/>
      <c r="AW465" s="136"/>
      <c r="AX465" s="135"/>
      <c r="AY465" s="135"/>
      <c r="AZ465" s="135"/>
      <c r="BA465" s="135"/>
      <c r="BB465" s="135"/>
      <c r="BC465" s="135"/>
    </row>
    <row r="466" spans="12:55" ht="14.25" customHeight="1">
      <c r="L466" s="136"/>
      <c r="M466" s="136"/>
      <c r="N466" s="136"/>
      <c r="O466" s="136"/>
      <c r="P466" s="137"/>
      <c r="Q466" s="138"/>
      <c r="R466" s="138"/>
      <c r="S466" s="138"/>
      <c r="T466" s="138"/>
      <c r="U466" s="136"/>
      <c r="V466" s="136"/>
      <c r="W466" s="135"/>
      <c r="X466" s="135"/>
      <c r="Y466" s="136"/>
      <c r="Z466" s="136"/>
      <c r="AA466" s="135"/>
      <c r="AB466" s="135"/>
      <c r="AC466" s="135"/>
      <c r="AD466" s="135"/>
      <c r="AE466" s="136"/>
      <c r="AF466" s="136"/>
      <c r="AG466" s="135"/>
      <c r="AH466" s="135"/>
      <c r="AI466" s="136"/>
      <c r="AJ466" s="136"/>
      <c r="AK466" s="135"/>
      <c r="AL466" s="135"/>
      <c r="AM466" s="135"/>
      <c r="AN466" s="135"/>
      <c r="AO466" s="135"/>
      <c r="AP466" s="135"/>
      <c r="AQ466" s="7"/>
      <c r="AR466" s="7"/>
      <c r="AS466" s="7"/>
      <c r="AT466" s="136"/>
      <c r="AU466" s="136"/>
      <c r="AV466" s="136"/>
      <c r="AW466" s="136"/>
      <c r="AX466" s="135"/>
      <c r="AY466" s="135"/>
      <c r="AZ466" s="135"/>
      <c r="BA466" s="135"/>
      <c r="BB466" s="135"/>
      <c r="BC466" s="135"/>
    </row>
    <row r="467" spans="12:55" ht="14.25" customHeight="1">
      <c r="L467" s="136"/>
      <c r="M467" s="136"/>
      <c r="N467" s="136"/>
      <c r="O467" s="136"/>
      <c r="P467" s="137"/>
      <c r="Q467" s="138"/>
      <c r="R467" s="138"/>
      <c r="S467" s="138"/>
      <c r="T467" s="138"/>
      <c r="U467" s="136"/>
      <c r="V467" s="136"/>
      <c r="W467" s="135"/>
      <c r="X467" s="135"/>
      <c r="Y467" s="136"/>
      <c r="Z467" s="136"/>
      <c r="AA467" s="135"/>
      <c r="AB467" s="135"/>
      <c r="AC467" s="135"/>
      <c r="AD467" s="135"/>
      <c r="AE467" s="136"/>
      <c r="AF467" s="136"/>
      <c r="AG467" s="135"/>
      <c r="AH467" s="135"/>
      <c r="AI467" s="136"/>
      <c r="AJ467" s="136"/>
      <c r="AK467" s="135"/>
      <c r="AL467" s="135"/>
      <c r="AM467" s="134"/>
      <c r="AN467" s="135"/>
      <c r="AO467" s="135"/>
      <c r="AP467" s="135"/>
      <c r="AQ467" s="7"/>
      <c r="AR467" s="7"/>
      <c r="AS467" s="7"/>
      <c r="AT467" s="99"/>
      <c r="AU467" s="99"/>
      <c r="AV467" s="99"/>
      <c r="AW467" s="99"/>
      <c r="AX467" s="100"/>
      <c r="AY467" s="100"/>
      <c r="AZ467" s="100"/>
      <c r="BA467" s="100"/>
      <c r="BB467" s="100"/>
      <c r="BC467" s="100"/>
    </row>
    <row r="468" spans="12:55" ht="14.25" customHeight="1">
      <c r="L468" s="136"/>
      <c r="M468" s="136"/>
      <c r="N468" s="136"/>
      <c r="O468" s="136"/>
      <c r="P468" s="137"/>
      <c r="Q468" s="138"/>
      <c r="R468" s="138"/>
      <c r="S468" s="138"/>
      <c r="T468" s="138"/>
      <c r="U468" s="49"/>
      <c r="V468" s="49"/>
      <c r="W468" s="49"/>
      <c r="X468" s="136"/>
      <c r="Y468" s="136"/>
      <c r="Z468" s="136"/>
      <c r="AA468" s="136"/>
      <c r="AB468" s="135"/>
      <c r="AC468" s="135"/>
      <c r="AD468" s="135"/>
      <c r="AE468" s="136"/>
      <c r="AF468" s="136"/>
      <c r="AG468" s="136"/>
      <c r="AH468" s="136"/>
      <c r="AI468" s="135"/>
      <c r="AJ468" s="135"/>
      <c r="AK468" s="135"/>
      <c r="AL468" s="49"/>
      <c r="AM468" s="135"/>
      <c r="AN468" s="135"/>
      <c r="AO468" s="135"/>
      <c r="AP468" s="135"/>
      <c r="AQ468" s="7"/>
      <c r="AR468" s="7"/>
      <c r="AS468" s="7"/>
      <c r="AT468" s="99"/>
      <c r="AU468" s="99"/>
      <c r="AV468" s="99"/>
      <c r="AW468" s="99"/>
      <c r="AX468" s="100"/>
      <c r="AY468" s="100"/>
      <c r="AZ468" s="100"/>
      <c r="BA468" s="100"/>
      <c r="BB468" s="100"/>
      <c r="BC468" s="100"/>
    </row>
    <row r="469" spans="12:55" ht="14.25" customHeight="1">
      <c r="L469" s="136"/>
      <c r="M469" s="136"/>
      <c r="N469" s="136"/>
      <c r="O469" s="136"/>
      <c r="P469" s="137"/>
      <c r="Q469" s="138"/>
      <c r="R469" s="138"/>
      <c r="S469" s="138"/>
      <c r="T469" s="138"/>
      <c r="U469" s="7"/>
      <c r="V469" s="7"/>
      <c r="W469" s="7"/>
      <c r="X469" s="136"/>
      <c r="Y469" s="136"/>
      <c r="Z469" s="136"/>
      <c r="AA469" s="136"/>
      <c r="AB469" s="135"/>
      <c r="AC469" s="135"/>
      <c r="AD469" s="135"/>
      <c r="AE469" s="136"/>
      <c r="AF469" s="136"/>
      <c r="AG469" s="136"/>
      <c r="AH469" s="136"/>
      <c r="AI469" s="135"/>
      <c r="AJ469" s="135"/>
      <c r="AK469" s="135"/>
      <c r="AL469" s="7"/>
      <c r="AM469" s="134"/>
      <c r="AN469" s="135"/>
      <c r="AO469" s="135"/>
      <c r="AP469" s="135"/>
      <c r="AQ469" s="7"/>
      <c r="AR469" s="7"/>
      <c r="AS469" s="7"/>
      <c r="AT469" s="99"/>
      <c r="AU469" s="99"/>
      <c r="AV469" s="99"/>
      <c r="AW469" s="99"/>
      <c r="AX469" s="100"/>
      <c r="AY469" s="100"/>
      <c r="AZ469" s="100"/>
      <c r="BA469" s="100"/>
      <c r="BB469" s="100"/>
      <c r="BC469" s="100"/>
    </row>
    <row r="470" spans="12:55" ht="14.25" customHeight="1">
      <c r="L470" s="136"/>
      <c r="M470" s="136"/>
      <c r="N470" s="136"/>
      <c r="O470" s="136"/>
      <c r="P470" s="137"/>
      <c r="Q470" s="138"/>
      <c r="R470" s="138"/>
      <c r="S470" s="138"/>
      <c r="T470" s="138"/>
      <c r="U470" s="7"/>
      <c r="V470" s="7"/>
      <c r="W470" s="7"/>
      <c r="X470" s="136"/>
      <c r="Y470" s="136"/>
      <c r="Z470" s="136"/>
      <c r="AA470" s="136"/>
      <c r="AB470" s="135"/>
      <c r="AC470" s="135"/>
      <c r="AD470" s="135"/>
      <c r="AE470" s="136"/>
      <c r="AF470" s="136"/>
      <c r="AG470" s="136"/>
      <c r="AH470" s="136"/>
      <c r="AI470" s="135"/>
      <c r="AJ470" s="135"/>
      <c r="AK470" s="135"/>
      <c r="AL470" s="7"/>
      <c r="AM470" s="135"/>
      <c r="AN470" s="135"/>
      <c r="AO470" s="135"/>
      <c r="AP470" s="135"/>
      <c r="AQ470" s="7"/>
      <c r="AR470" s="7"/>
      <c r="AS470" s="7"/>
      <c r="AT470" s="99"/>
      <c r="AU470" s="99"/>
      <c r="AV470" s="99"/>
      <c r="AW470" s="99"/>
      <c r="AX470" s="100"/>
      <c r="AY470" s="100"/>
      <c r="AZ470" s="100"/>
      <c r="BA470" s="100"/>
      <c r="BB470" s="100"/>
      <c r="BC470" s="100"/>
    </row>
    <row r="471" spans="12:55" ht="30.9" customHeight="1">
      <c r="L471" s="139"/>
      <c r="M471" s="139"/>
      <c r="N471" s="139"/>
      <c r="O471" s="140"/>
      <c r="P471" s="140"/>
      <c r="Q471" s="137"/>
      <c r="R471" s="137"/>
      <c r="S471" s="137"/>
      <c r="T471" s="137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  <c r="AH471" s="122"/>
      <c r="AI471" s="122"/>
      <c r="AJ471" s="122"/>
      <c r="AK471" s="122"/>
      <c r="AL471" s="122"/>
      <c r="AM471" s="122"/>
      <c r="AN471" s="122"/>
      <c r="AO471" s="122"/>
      <c r="AP471" s="122"/>
      <c r="AQ471" s="122"/>
      <c r="AR471" s="122"/>
      <c r="AS471" s="122"/>
      <c r="AT471" s="122"/>
      <c r="AU471" s="122"/>
      <c r="AV471" s="122"/>
      <c r="AW471" s="122"/>
      <c r="AX471" s="122"/>
      <c r="AY471" s="122"/>
      <c r="AZ471" s="122"/>
      <c r="BA471" s="122"/>
      <c r="BB471" s="122"/>
      <c r="BC471" s="122"/>
    </row>
    <row r="472" spans="12:55" ht="30.9" customHeight="1">
      <c r="L472" s="139"/>
      <c r="M472" s="139"/>
      <c r="N472" s="139"/>
      <c r="O472" s="140"/>
      <c r="P472" s="140"/>
      <c r="Q472" s="137"/>
      <c r="R472" s="137"/>
      <c r="S472" s="137"/>
      <c r="T472" s="137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  <c r="AH472" s="122"/>
      <c r="AI472" s="122"/>
      <c r="AJ472" s="122"/>
      <c r="AK472" s="122"/>
      <c r="AL472" s="122"/>
      <c r="AM472" s="122"/>
      <c r="AN472" s="122"/>
      <c r="AO472" s="122"/>
      <c r="AP472" s="122"/>
      <c r="AQ472" s="122"/>
      <c r="AR472" s="122"/>
      <c r="AS472" s="122"/>
      <c r="AT472" s="122"/>
      <c r="AU472" s="122"/>
      <c r="AV472" s="122"/>
      <c r="AW472" s="122"/>
      <c r="AX472" s="122"/>
      <c r="AY472" s="122"/>
      <c r="AZ472" s="122"/>
      <c r="BA472" s="122"/>
      <c r="BB472" s="122"/>
      <c r="BC472" s="122"/>
    </row>
    <row r="473" spans="12:55" ht="14.25" customHeight="1">
      <c r="L473" s="136"/>
      <c r="M473" s="136"/>
      <c r="N473" s="136"/>
      <c r="O473" s="136"/>
      <c r="P473" s="137"/>
      <c r="Q473" s="138"/>
      <c r="R473" s="138"/>
      <c r="S473" s="138"/>
      <c r="T473" s="138"/>
      <c r="U473" s="136"/>
      <c r="V473" s="136"/>
      <c r="W473" s="135"/>
      <c r="X473" s="135"/>
      <c r="Y473" s="136"/>
      <c r="Z473" s="136"/>
      <c r="AA473" s="135"/>
      <c r="AB473" s="135"/>
      <c r="AC473" s="135"/>
      <c r="AD473" s="135"/>
      <c r="AE473" s="136"/>
      <c r="AF473" s="136"/>
      <c r="AG473" s="135"/>
      <c r="AH473" s="135"/>
      <c r="AI473" s="136"/>
      <c r="AJ473" s="136"/>
      <c r="AK473" s="135"/>
      <c r="AL473" s="135"/>
      <c r="AM473" s="134"/>
      <c r="AN473" s="135"/>
      <c r="AO473" s="135"/>
      <c r="AP473" s="135"/>
      <c r="AQ473" s="7"/>
      <c r="AR473" s="7"/>
      <c r="AS473" s="7"/>
      <c r="AT473" s="136"/>
      <c r="AU473" s="136"/>
      <c r="AV473" s="136"/>
      <c r="AW473" s="136"/>
      <c r="AX473" s="135"/>
      <c r="AY473" s="135"/>
      <c r="AZ473" s="135"/>
      <c r="BA473" s="135"/>
      <c r="BB473" s="135"/>
      <c r="BC473" s="135"/>
    </row>
    <row r="474" spans="12:55" ht="14.25" customHeight="1">
      <c r="L474" s="136"/>
      <c r="M474" s="136"/>
      <c r="N474" s="136"/>
      <c r="O474" s="136"/>
      <c r="P474" s="137"/>
      <c r="Q474" s="138"/>
      <c r="R474" s="138"/>
      <c r="S474" s="138"/>
      <c r="T474" s="138"/>
      <c r="U474" s="136"/>
      <c r="V474" s="136"/>
      <c r="W474" s="135"/>
      <c r="X474" s="135"/>
      <c r="Y474" s="136"/>
      <c r="Z474" s="136"/>
      <c r="AA474" s="135"/>
      <c r="AB474" s="135"/>
      <c r="AC474" s="135"/>
      <c r="AD474" s="135"/>
      <c r="AE474" s="136"/>
      <c r="AF474" s="136"/>
      <c r="AG474" s="135"/>
      <c r="AH474" s="135"/>
      <c r="AI474" s="136"/>
      <c r="AJ474" s="136"/>
      <c r="AK474" s="135"/>
      <c r="AL474" s="135"/>
      <c r="AM474" s="135"/>
      <c r="AN474" s="135"/>
      <c r="AO474" s="135"/>
      <c r="AP474" s="135"/>
      <c r="AQ474" s="7"/>
      <c r="AR474" s="7"/>
      <c r="AS474" s="7"/>
      <c r="AT474" s="136"/>
      <c r="AU474" s="136"/>
      <c r="AV474" s="136"/>
      <c r="AW474" s="136"/>
      <c r="AX474" s="135"/>
      <c r="AY474" s="135"/>
      <c r="AZ474" s="135"/>
      <c r="BA474" s="135"/>
      <c r="BB474" s="135"/>
      <c r="BC474" s="135"/>
    </row>
    <row r="475" spans="12:55" ht="14.25" customHeight="1">
      <c r="L475" s="136"/>
      <c r="M475" s="136"/>
      <c r="N475" s="136"/>
      <c r="O475" s="136"/>
      <c r="P475" s="137"/>
      <c r="Q475" s="138"/>
      <c r="R475" s="138"/>
      <c r="S475" s="138"/>
      <c r="T475" s="138"/>
      <c r="U475" s="136"/>
      <c r="V475" s="136"/>
      <c r="W475" s="135"/>
      <c r="X475" s="135"/>
      <c r="Y475" s="136"/>
      <c r="Z475" s="136"/>
      <c r="AA475" s="135"/>
      <c r="AB475" s="135"/>
      <c r="AC475" s="135"/>
      <c r="AD475" s="135"/>
      <c r="AE475" s="136"/>
      <c r="AF475" s="136"/>
      <c r="AG475" s="135"/>
      <c r="AH475" s="135"/>
      <c r="AI475" s="136"/>
      <c r="AJ475" s="136"/>
      <c r="AK475" s="135"/>
      <c r="AL475" s="135"/>
      <c r="AM475" s="134"/>
      <c r="AN475" s="135"/>
      <c r="AO475" s="135"/>
      <c r="AP475" s="135"/>
      <c r="AQ475" s="7"/>
      <c r="AR475" s="7"/>
      <c r="AS475" s="7"/>
      <c r="AT475" s="99"/>
      <c r="AU475" s="99"/>
      <c r="AV475" s="99"/>
      <c r="AW475" s="99"/>
      <c r="AX475" s="100"/>
      <c r="AY475" s="100"/>
      <c r="AZ475" s="100"/>
      <c r="BA475" s="100"/>
      <c r="BB475" s="100"/>
      <c r="BC475" s="100"/>
    </row>
    <row r="476" spans="12:55" ht="14.25" customHeight="1">
      <c r="L476" s="136"/>
      <c r="M476" s="136"/>
      <c r="N476" s="136"/>
      <c r="O476" s="136"/>
      <c r="P476" s="137"/>
      <c r="Q476" s="138"/>
      <c r="R476" s="138"/>
      <c r="S476" s="138"/>
      <c r="T476" s="138"/>
      <c r="U476" s="49"/>
      <c r="V476" s="49"/>
      <c r="W476" s="49"/>
      <c r="X476" s="136"/>
      <c r="Y476" s="136"/>
      <c r="Z476" s="136"/>
      <c r="AA476" s="136"/>
      <c r="AB476" s="135"/>
      <c r="AC476" s="135"/>
      <c r="AD476" s="135"/>
      <c r="AE476" s="136"/>
      <c r="AF476" s="136"/>
      <c r="AG476" s="136"/>
      <c r="AH476" s="136"/>
      <c r="AI476" s="135"/>
      <c r="AJ476" s="135"/>
      <c r="AK476" s="135"/>
      <c r="AL476" s="49"/>
      <c r="AM476" s="135"/>
      <c r="AN476" s="135"/>
      <c r="AO476" s="135"/>
      <c r="AP476" s="135"/>
      <c r="AQ476" s="7"/>
      <c r="AR476" s="7"/>
      <c r="AS476" s="7"/>
      <c r="AT476" s="99"/>
      <c r="AU476" s="99"/>
      <c r="AV476" s="99"/>
      <c r="AW476" s="99"/>
      <c r="AX476" s="100"/>
      <c r="AY476" s="100"/>
      <c r="AZ476" s="100"/>
      <c r="BA476" s="100"/>
      <c r="BB476" s="100"/>
      <c r="BC476" s="100"/>
    </row>
    <row r="477" spans="12:55" ht="14.25" customHeight="1">
      <c r="L477" s="136"/>
      <c r="M477" s="136"/>
      <c r="N477" s="136"/>
      <c r="O477" s="136"/>
      <c r="P477" s="137"/>
      <c r="Q477" s="138"/>
      <c r="R477" s="138"/>
      <c r="S477" s="138"/>
      <c r="T477" s="138"/>
      <c r="U477" s="7"/>
      <c r="V477" s="7"/>
      <c r="W477" s="7"/>
      <c r="X477" s="136"/>
      <c r="Y477" s="136"/>
      <c r="Z477" s="136"/>
      <c r="AA477" s="136"/>
      <c r="AB477" s="135"/>
      <c r="AC477" s="135"/>
      <c r="AD477" s="135"/>
      <c r="AE477" s="136"/>
      <c r="AF477" s="136"/>
      <c r="AG477" s="136"/>
      <c r="AH477" s="136"/>
      <c r="AI477" s="135"/>
      <c r="AJ477" s="135"/>
      <c r="AK477" s="135"/>
      <c r="AL477" s="7"/>
      <c r="AM477" s="134"/>
      <c r="AN477" s="135"/>
      <c r="AO477" s="135"/>
      <c r="AP477" s="135"/>
      <c r="AQ477" s="7"/>
      <c r="AR477" s="7"/>
      <c r="AS477" s="7"/>
      <c r="AT477" s="99"/>
      <c r="AU477" s="99"/>
      <c r="AV477" s="99"/>
      <c r="AW477" s="99"/>
      <c r="AX477" s="100"/>
      <c r="AY477" s="100"/>
      <c r="AZ477" s="100"/>
      <c r="BA477" s="100"/>
      <c r="BB477" s="100"/>
      <c r="BC477" s="100"/>
    </row>
    <row r="478" spans="12:55" ht="14.25" customHeight="1">
      <c r="L478" s="136"/>
      <c r="M478" s="136"/>
      <c r="N478" s="136"/>
      <c r="O478" s="136"/>
      <c r="P478" s="137"/>
      <c r="Q478" s="138"/>
      <c r="R478" s="138"/>
      <c r="S478" s="138"/>
      <c r="T478" s="138"/>
      <c r="U478" s="7"/>
      <c r="V478" s="7"/>
      <c r="W478" s="7"/>
      <c r="X478" s="136"/>
      <c r="Y478" s="136"/>
      <c r="Z478" s="136"/>
      <c r="AA478" s="136"/>
      <c r="AB478" s="135"/>
      <c r="AC478" s="135"/>
      <c r="AD478" s="135"/>
      <c r="AE478" s="136"/>
      <c r="AF478" s="136"/>
      <c r="AG478" s="136"/>
      <c r="AH478" s="136"/>
      <c r="AI478" s="135"/>
      <c r="AJ478" s="135"/>
      <c r="AK478" s="135"/>
      <c r="AL478" s="7"/>
      <c r="AM478" s="135"/>
      <c r="AN478" s="135"/>
      <c r="AO478" s="135"/>
      <c r="AP478" s="135"/>
      <c r="AQ478" s="7"/>
      <c r="AR478" s="7"/>
      <c r="AS478" s="7"/>
      <c r="AT478" s="99"/>
      <c r="AU478" s="99"/>
      <c r="AV478" s="99"/>
      <c r="AW478" s="99"/>
      <c r="AX478" s="100"/>
      <c r="AY478" s="100"/>
      <c r="AZ478" s="100"/>
      <c r="BA478" s="100"/>
      <c r="BB478" s="100"/>
      <c r="BC478" s="100"/>
    </row>
    <row r="479" spans="12:55" ht="30.9" customHeight="1">
      <c r="L479" s="139"/>
      <c r="M479" s="139"/>
      <c r="N479" s="139"/>
      <c r="O479" s="140"/>
      <c r="P479" s="140"/>
      <c r="Q479" s="137"/>
      <c r="R479" s="137"/>
      <c r="S479" s="137"/>
      <c r="T479" s="137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  <c r="AH479" s="122"/>
      <c r="AI479" s="122"/>
      <c r="AJ479" s="122"/>
      <c r="AK479" s="122"/>
      <c r="AL479" s="122"/>
      <c r="AM479" s="122"/>
      <c r="AN479" s="122"/>
      <c r="AO479" s="122"/>
      <c r="AP479" s="122"/>
      <c r="AQ479" s="122"/>
      <c r="AR479" s="122"/>
      <c r="AS479" s="122"/>
      <c r="AT479" s="122"/>
      <c r="AU479" s="122"/>
      <c r="AV479" s="122"/>
      <c r="AW479" s="122"/>
      <c r="AX479" s="122"/>
      <c r="AY479" s="122"/>
      <c r="AZ479" s="122"/>
      <c r="BA479" s="122"/>
      <c r="BB479" s="122"/>
      <c r="BC479" s="122"/>
    </row>
    <row r="480" spans="12:55" ht="30.9" customHeight="1">
      <c r="L480" s="139"/>
      <c r="M480" s="139"/>
      <c r="N480" s="139"/>
      <c r="O480" s="140"/>
      <c r="P480" s="140"/>
      <c r="Q480" s="137"/>
      <c r="R480" s="137"/>
      <c r="S480" s="137"/>
      <c r="T480" s="137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  <c r="AH480" s="122"/>
      <c r="AI480" s="122"/>
      <c r="AJ480" s="122"/>
      <c r="AK480" s="122"/>
      <c r="AL480" s="122"/>
      <c r="AM480" s="122"/>
      <c r="AN480" s="122"/>
      <c r="AO480" s="122"/>
      <c r="AP480" s="122"/>
      <c r="AQ480" s="122"/>
      <c r="AR480" s="122"/>
      <c r="AS480" s="122"/>
      <c r="AT480" s="122"/>
      <c r="AU480" s="122"/>
      <c r="AV480" s="122"/>
      <c r="AW480" s="122"/>
      <c r="AX480" s="122"/>
      <c r="AY480" s="122"/>
      <c r="AZ480" s="122"/>
      <c r="BA480" s="122"/>
      <c r="BB480" s="122"/>
      <c r="BC480" s="122"/>
    </row>
    <row r="481" spans="12:55" ht="14.25" customHeight="1">
      <c r="L481" s="136"/>
      <c r="M481" s="136"/>
      <c r="N481" s="136"/>
      <c r="O481" s="136"/>
      <c r="P481" s="137"/>
      <c r="Q481" s="138"/>
      <c r="R481" s="138"/>
      <c r="S481" s="138"/>
      <c r="T481" s="138"/>
      <c r="U481" s="136"/>
      <c r="V481" s="136"/>
      <c r="W481" s="135"/>
      <c r="X481" s="135"/>
      <c r="Y481" s="136"/>
      <c r="Z481" s="136"/>
      <c r="AA481" s="135"/>
      <c r="AB481" s="135"/>
      <c r="AC481" s="135"/>
      <c r="AD481" s="135"/>
      <c r="AE481" s="136"/>
      <c r="AF481" s="136"/>
      <c r="AG481" s="135"/>
      <c r="AH481" s="135"/>
      <c r="AI481" s="136"/>
      <c r="AJ481" s="136"/>
      <c r="AK481" s="135"/>
      <c r="AL481" s="135"/>
      <c r="AM481" s="134"/>
      <c r="AN481" s="135"/>
      <c r="AO481" s="135"/>
      <c r="AP481" s="135"/>
      <c r="AQ481" s="7"/>
      <c r="AR481" s="7"/>
      <c r="AS481" s="7"/>
      <c r="AT481" s="136"/>
      <c r="AU481" s="136"/>
      <c r="AV481" s="136"/>
      <c r="AW481" s="136"/>
      <c r="AX481" s="135"/>
      <c r="AY481" s="135"/>
      <c r="AZ481" s="135"/>
      <c r="BA481" s="135"/>
      <c r="BB481" s="135"/>
      <c r="BC481" s="135"/>
    </row>
    <row r="482" spans="12:55" ht="14.25" customHeight="1">
      <c r="L482" s="136"/>
      <c r="M482" s="136"/>
      <c r="N482" s="136"/>
      <c r="O482" s="136"/>
      <c r="P482" s="137"/>
      <c r="Q482" s="138"/>
      <c r="R482" s="138"/>
      <c r="S482" s="138"/>
      <c r="T482" s="138"/>
      <c r="U482" s="136"/>
      <c r="V482" s="136"/>
      <c r="W482" s="135"/>
      <c r="X482" s="135"/>
      <c r="Y482" s="136"/>
      <c r="Z482" s="136"/>
      <c r="AA482" s="135"/>
      <c r="AB482" s="135"/>
      <c r="AC482" s="135"/>
      <c r="AD482" s="135"/>
      <c r="AE482" s="136"/>
      <c r="AF482" s="136"/>
      <c r="AG482" s="135"/>
      <c r="AH482" s="135"/>
      <c r="AI482" s="136"/>
      <c r="AJ482" s="136"/>
      <c r="AK482" s="135"/>
      <c r="AL482" s="135"/>
      <c r="AM482" s="135"/>
      <c r="AN482" s="135"/>
      <c r="AO482" s="135"/>
      <c r="AP482" s="135"/>
      <c r="AQ482" s="7"/>
      <c r="AR482" s="7"/>
      <c r="AS482" s="7"/>
      <c r="AT482" s="136"/>
      <c r="AU482" s="136"/>
      <c r="AV482" s="136"/>
      <c r="AW482" s="136"/>
      <c r="AX482" s="135"/>
      <c r="AY482" s="135"/>
      <c r="AZ482" s="135"/>
      <c r="BA482" s="135"/>
      <c r="BB482" s="135"/>
      <c r="BC482" s="135"/>
    </row>
    <row r="483" spans="12:55" ht="14.25" customHeight="1">
      <c r="L483" s="136"/>
      <c r="M483" s="136"/>
      <c r="N483" s="136"/>
      <c r="O483" s="136"/>
      <c r="P483" s="137"/>
      <c r="Q483" s="138"/>
      <c r="R483" s="138"/>
      <c r="S483" s="138"/>
      <c r="T483" s="138"/>
      <c r="U483" s="136"/>
      <c r="V483" s="136"/>
      <c r="W483" s="135"/>
      <c r="X483" s="135"/>
      <c r="Y483" s="136"/>
      <c r="Z483" s="136"/>
      <c r="AA483" s="135"/>
      <c r="AB483" s="135"/>
      <c r="AC483" s="135"/>
      <c r="AD483" s="135"/>
      <c r="AE483" s="136"/>
      <c r="AF483" s="136"/>
      <c r="AG483" s="135"/>
      <c r="AH483" s="135"/>
      <c r="AI483" s="136"/>
      <c r="AJ483" s="136"/>
      <c r="AK483" s="135"/>
      <c r="AL483" s="135"/>
      <c r="AM483" s="134"/>
      <c r="AN483" s="135"/>
      <c r="AO483" s="135"/>
      <c r="AP483" s="135"/>
      <c r="AQ483" s="7"/>
      <c r="AR483" s="7"/>
      <c r="AS483" s="7"/>
      <c r="AT483" s="99"/>
      <c r="AU483" s="99"/>
      <c r="AV483" s="99"/>
      <c r="AW483" s="99"/>
      <c r="AX483" s="100"/>
      <c r="AY483" s="100"/>
      <c r="AZ483" s="100"/>
      <c r="BA483" s="100"/>
      <c r="BB483" s="100"/>
      <c r="BC483" s="100"/>
    </row>
    <row r="484" spans="12:55" ht="14.25" customHeight="1">
      <c r="L484" s="136"/>
      <c r="M484" s="136"/>
      <c r="N484" s="136"/>
      <c r="O484" s="136"/>
      <c r="P484" s="137"/>
      <c r="Q484" s="138"/>
      <c r="R484" s="138"/>
      <c r="S484" s="138"/>
      <c r="T484" s="138"/>
      <c r="U484" s="49"/>
      <c r="V484" s="49"/>
      <c r="W484" s="49"/>
      <c r="X484" s="136"/>
      <c r="Y484" s="136"/>
      <c r="Z484" s="136"/>
      <c r="AA484" s="136"/>
      <c r="AB484" s="135"/>
      <c r="AC484" s="135"/>
      <c r="AD484" s="135"/>
      <c r="AE484" s="136"/>
      <c r="AF484" s="136"/>
      <c r="AG484" s="136"/>
      <c r="AH484" s="136"/>
      <c r="AI484" s="135"/>
      <c r="AJ484" s="135"/>
      <c r="AK484" s="135"/>
      <c r="AL484" s="49"/>
      <c r="AM484" s="135"/>
      <c r="AN484" s="135"/>
      <c r="AO484" s="135"/>
      <c r="AP484" s="135"/>
      <c r="AQ484" s="7"/>
      <c r="AR484" s="7"/>
      <c r="AS484" s="7"/>
      <c r="AT484" s="99"/>
      <c r="AU484" s="99"/>
      <c r="AV484" s="99"/>
      <c r="AW484" s="99"/>
      <c r="AX484" s="100"/>
      <c r="AY484" s="100"/>
      <c r="AZ484" s="100"/>
      <c r="BA484" s="100"/>
      <c r="BB484" s="100"/>
      <c r="BC484" s="100"/>
    </row>
    <row r="485" spans="12:55" ht="14.25" customHeight="1">
      <c r="L485" s="136"/>
      <c r="M485" s="136"/>
      <c r="N485" s="136"/>
      <c r="O485" s="136"/>
      <c r="P485" s="137"/>
      <c r="Q485" s="138"/>
      <c r="R485" s="138"/>
      <c r="S485" s="138"/>
      <c r="T485" s="138"/>
      <c r="U485" s="7"/>
      <c r="V485" s="7"/>
      <c r="W485" s="7"/>
      <c r="X485" s="136"/>
      <c r="Y485" s="136"/>
      <c r="Z485" s="136"/>
      <c r="AA485" s="136"/>
      <c r="AB485" s="135"/>
      <c r="AC485" s="135"/>
      <c r="AD485" s="135"/>
      <c r="AE485" s="136"/>
      <c r="AF485" s="136"/>
      <c r="AG485" s="136"/>
      <c r="AH485" s="136"/>
      <c r="AI485" s="135"/>
      <c r="AJ485" s="135"/>
      <c r="AK485" s="135"/>
      <c r="AL485" s="7"/>
      <c r="AM485" s="134"/>
      <c r="AN485" s="135"/>
      <c r="AO485" s="135"/>
      <c r="AP485" s="135"/>
      <c r="AQ485" s="7"/>
      <c r="AR485" s="7"/>
      <c r="AS485" s="7"/>
      <c r="AT485" s="99"/>
      <c r="AU485" s="99"/>
      <c r="AV485" s="99"/>
      <c r="AW485" s="99"/>
      <c r="AX485" s="100"/>
      <c r="AY485" s="100"/>
      <c r="AZ485" s="100"/>
      <c r="BA485" s="100"/>
      <c r="BB485" s="100"/>
      <c r="BC485" s="100"/>
    </row>
    <row r="486" spans="12:55" ht="14.25" customHeight="1">
      <c r="L486" s="136"/>
      <c r="M486" s="136"/>
      <c r="N486" s="136"/>
      <c r="O486" s="136"/>
      <c r="P486" s="137"/>
      <c r="Q486" s="138"/>
      <c r="R486" s="138"/>
      <c r="S486" s="138"/>
      <c r="T486" s="138"/>
      <c r="U486" s="7"/>
      <c r="V486" s="7"/>
      <c r="W486" s="7"/>
      <c r="X486" s="136"/>
      <c r="Y486" s="136"/>
      <c r="Z486" s="136"/>
      <c r="AA486" s="136"/>
      <c r="AB486" s="135"/>
      <c r="AC486" s="135"/>
      <c r="AD486" s="135"/>
      <c r="AE486" s="136"/>
      <c r="AF486" s="136"/>
      <c r="AG486" s="136"/>
      <c r="AH486" s="136"/>
      <c r="AI486" s="135"/>
      <c r="AJ486" s="135"/>
      <c r="AK486" s="135"/>
      <c r="AL486" s="7"/>
      <c r="AM486" s="135"/>
      <c r="AN486" s="135"/>
      <c r="AO486" s="135"/>
      <c r="AP486" s="135"/>
      <c r="AQ486" s="7"/>
      <c r="AR486" s="7"/>
      <c r="AS486" s="7"/>
      <c r="AT486" s="99"/>
      <c r="AU486" s="99"/>
      <c r="AV486" s="99"/>
      <c r="AW486" s="99"/>
      <c r="AX486" s="100"/>
      <c r="AY486" s="100"/>
      <c r="AZ486" s="100"/>
      <c r="BA486" s="100"/>
      <c r="BB486" s="100"/>
      <c r="BC486" s="100"/>
    </row>
    <row r="487" spans="12:55" ht="30.9" customHeight="1">
      <c r="L487" s="139"/>
      <c r="M487" s="139"/>
      <c r="N487" s="139"/>
      <c r="O487" s="140"/>
      <c r="P487" s="140"/>
      <c r="Q487" s="137"/>
      <c r="R487" s="137"/>
      <c r="S487" s="137"/>
      <c r="T487" s="137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  <c r="AH487" s="122"/>
      <c r="AI487" s="122"/>
      <c r="AJ487" s="122"/>
      <c r="AK487" s="122"/>
      <c r="AL487" s="122"/>
      <c r="AM487" s="122"/>
      <c r="AN487" s="122"/>
      <c r="AO487" s="122"/>
      <c r="AP487" s="122"/>
      <c r="AQ487" s="122"/>
      <c r="AR487" s="122"/>
      <c r="AS487" s="122"/>
      <c r="AT487" s="122"/>
      <c r="AU487" s="122"/>
      <c r="AV487" s="122"/>
      <c r="AW487" s="122"/>
      <c r="AX487" s="122"/>
      <c r="AY487" s="122"/>
      <c r="AZ487" s="122"/>
      <c r="BA487" s="122"/>
      <c r="BB487" s="122"/>
      <c r="BC487" s="122"/>
    </row>
    <row r="488" spans="12:55" ht="30.9" customHeight="1">
      <c r="L488" s="139"/>
      <c r="M488" s="139"/>
      <c r="N488" s="139"/>
      <c r="O488" s="140"/>
      <c r="P488" s="140"/>
      <c r="Q488" s="137"/>
      <c r="R488" s="137"/>
      <c r="S488" s="137"/>
      <c r="T488" s="137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  <c r="AH488" s="122"/>
      <c r="AI488" s="122"/>
      <c r="AJ488" s="122"/>
      <c r="AK488" s="122"/>
      <c r="AL488" s="122"/>
      <c r="AM488" s="122"/>
      <c r="AN488" s="122"/>
      <c r="AO488" s="122"/>
      <c r="AP488" s="122"/>
      <c r="AQ488" s="122"/>
      <c r="AR488" s="122"/>
      <c r="AS488" s="122"/>
      <c r="AT488" s="122"/>
      <c r="AU488" s="122"/>
      <c r="AV488" s="122"/>
      <c r="AW488" s="122"/>
      <c r="AX488" s="122"/>
      <c r="AY488" s="122"/>
      <c r="AZ488" s="122"/>
      <c r="BA488" s="122"/>
      <c r="BB488" s="122"/>
      <c r="BC488" s="122"/>
    </row>
    <row r="489" spans="12:55" ht="14.25" customHeight="1">
      <c r="L489" s="136"/>
      <c r="M489" s="136"/>
      <c r="N489" s="136"/>
      <c r="O489" s="136"/>
      <c r="P489" s="137"/>
      <c r="Q489" s="138"/>
      <c r="R489" s="138"/>
      <c r="S489" s="138"/>
      <c r="T489" s="138"/>
      <c r="U489" s="136"/>
      <c r="V489" s="136"/>
      <c r="W489" s="135"/>
      <c r="X489" s="135"/>
      <c r="Y489" s="136"/>
      <c r="Z489" s="136"/>
      <c r="AA489" s="135"/>
      <c r="AB489" s="135"/>
      <c r="AC489" s="135"/>
      <c r="AD489" s="135"/>
      <c r="AE489" s="136"/>
      <c r="AF489" s="136"/>
      <c r="AG489" s="135"/>
      <c r="AH489" s="135"/>
      <c r="AI489" s="136"/>
      <c r="AJ489" s="136"/>
      <c r="AK489" s="135"/>
      <c r="AL489" s="135"/>
      <c r="AM489" s="134"/>
      <c r="AN489" s="135"/>
      <c r="AO489" s="135"/>
      <c r="AP489" s="135"/>
      <c r="AQ489" s="7"/>
      <c r="AR489" s="7"/>
      <c r="AS489" s="7"/>
      <c r="AT489" s="136"/>
      <c r="AU489" s="136"/>
      <c r="AV489" s="136"/>
      <c r="AW489" s="136"/>
      <c r="AX489" s="135"/>
      <c r="AY489" s="135"/>
      <c r="AZ489" s="135"/>
      <c r="BA489" s="135"/>
      <c r="BB489" s="135"/>
      <c r="BC489" s="135"/>
    </row>
    <row r="490" spans="12:55" ht="14.25" customHeight="1">
      <c r="L490" s="136"/>
      <c r="M490" s="136"/>
      <c r="N490" s="136"/>
      <c r="O490" s="136"/>
      <c r="P490" s="137"/>
      <c r="Q490" s="138"/>
      <c r="R490" s="138"/>
      <c r="S490" s="138"/>
      <c r="T490" s="138"/>
      <c r="U490" s="136"/>
      <c r="V490" s="136"/>
      <c r="W490" s="135"/>
      <c r="X490" s="135"/>
      <c r="Y490" s="136"/>
      <c r="Z490" s="136"/>
      <c r="AA490" s="135"/>
      <c r="AB490" s="135"/>
      <c r="AC490" s="135"/>
      <c r="AD490" s="135"/>
      <c r="AE490" s="136"/>
      <c r="AF490" s="136"/>
      <c r="AG490" s="135"/>
      <c r="AH490" s="135"/>
      <c r="AI490" s="136"/>
      <c r="AJ490" s="136"/>
      <c r="AK490" s="135"/>
      <c r="AL490" s="135"/>
      <c r="AM490" s="135"/>
      <c r="AN490" s="135"/>
      <c r="AO490" s="135"/>
      <c r="AP490" s="135"/>
      <c r="AQ490" s="7"/>
      <c r="AR490" s="7"/>
      <c r="AS490" s="7"/>
      <c r="AT490" s="136"/>
      <c r="AU490" s="136"/>
      <c r="AV490" s="136"/>
      <c r="AW490" s="136"/>
      <c r="AX490" s="135"/>
      <c r="AY490" s="135"/>
      <c r="AZ490" s="135"/>
      <c r="BA490" s="135"/>
      <c r="BB490" s="135"/>
      <c r="BC490" s="135"/>
    </row>
    <row r="491" spans="12:55" ht="14.25" customHeight="1">
      <c r="L491" s="136"/>
      <c r="M491" s="136"/>
      <c r="N491" s="136"/>
      <c r="O491" s="136"/>
      <c r="P491" s="137"/>
      <c r="Q491" s="138"/>
      <c r="R491" s="138"/>
      <c r="S491" s="138"/>
      <c r="T491" s="138"/>
      <c r="U491" s="136"/>
      <c r="V491" s="136"/>
      <c r="W491" s="135"/>
      <c r="X491" s="135"/>
      <c r="Y491" s="136"/>
      <c r="Z491" s="136"/>
      <c r="AA491" s="135"/>
      <c r="AB491" s="135"/>
      <c r="AC491" s="135"/>
      <c r="AD491" s="135"/>
      <c r="AE491" s="136"/>
      <c r="AF491" s="136"/>
      <c r="AG491" s="135"/>
      <c r="AH491" s="135"/>
      <c r="AI491" s="136"/>
      <c r="AJ491" s="136"/>
      <c r="AK491" s="135"/>
      <c r="AL491" s="135"/>
      <c r="AM491" s="134"/>
      <c r="AN491" s="135"/>
      <c r="AO491" s="135"/>
      <c r="AP491" s="135"/>
      <c r="AQ491" s="7"/>
      <c r="AR491" s="7"/>
      <c r="AS491" s="7"/>
      <c r="AT491" s="99"/>
      <c r="AU491" s="99"/>
      <c r="AV491" s="99"/>
      <c r="AW491" s="99"/>
      <c r="AX491" s="100"/>
      <c r="AY491" s="100"/>
      <c r="AZ491" s="100"/>
      <c r="BA491" s="100"/>
      <c r="BB491" s="100"/>
      <c r="BC491" s="100"/>
    </row>
    <row r="492" spans="12:55" ht="14.25" customHeight="1">
      <c r="L492" s="136"/>
      <c r="M492" s="136"/>
      <c r="N492" s="136"/>
      <c r="O492" s="136"/>
      <c r="P492" s="137"/>
      <c r="Q492" s="138"/>
      <c r="R492" s="138"/>
      <c r="S492" s="138"/>
      <c r="T492" s="138"/>
      <c r="U492" s="49"/>
      <c r="V492" s="49"/>
      <c r="W492" s="49"/>
      <c r="X492" s="136"/>
      <c r="Y492" s="136"/>
      <c r="Z492" s="136"/>
      <c r="AA492" s="136"/>
      <c r="AB492" s="135"/>
      <c r="AC492" s="135"/>
      <c r="AD492" s="135"/>
      <c r="AE492" s="136"/>
      <c r="AF492" s="136"/>
      <c r="AG492" s="136"/>
      <c r="AH492" s="136"/>
      <c r="AI492" s="135"/>
      <c r="AJ492" s="135"/>
      <c r="AK492" s="135"/>
      <c r="AL492" s="49"/>
      <c r="AM492" s="135"/>
      <c r="AN492" s="135"/>
      <c r="AO492" s="135"/>
      <c r="AP492" s="135"/>
      <c r="AQ492" s="7"/>
      <c r="AR492" s="7"/>
      <c r="AS492" s="7"/>
      <c r="AT492" s="99"/>
      <c r="AU492" s="99"/>
      <c r="AV492" s="99"/>
      <c r="AW492" s="99"/>
      <c r="AX492" s="100"/>
      <c r="AY492" s="100"/>
      <c r="AZ492" s="100"/>
      <c r="BA492" s="100"/>
      <c r="BB492" s="100"/>
      <c r="BC492" s="100"/>
    </row>
    <row r="493" spans="12:55" ht="14.25" customHeight="1">
      <c r="L493" s="136"/>
      <c r="M493" s="136"/>
      <c r="N493" s="136"/>
      <c r="O493" s="136"/>
      <c r="P493" s="137"/>
      <c r="Q493" s="138"/>
      <c r="R493" s="138"/>
      <c r="S493" s="138"/>
      <c r="T493" s="138"/>
      <c r="U493" s="7"/>
      <c r="V493" s="7"/>
      <c r="W493" s="7"/>
      <c r="X493" s="136"/>
      <c r="Y493" s="136"/>
      <c r="Z493" s="136"/>
      <c r="AA493" s="136"/>
      <c r="AB493" s="135"/>
      <c r="AC493" s="135"/>
      <c r="AD493" s="135"/>
      <c r="AE493" s="136"/>
      <c r="AF493" s="136"/>
      <c r="AG493" s="136"/>
      <c r="AH493" s="136"/>
      <c r="AI493" s="135"/>
      <c r="AJ493" s="135"/>
      <c r="AK493" s="135"/>
      <c r="AL493" s="7"/>
      <c r="AM493" s="134"/>
      <c r="AN493" s="135"/>
      <c r="AO493" s="135"/>
      <c r="AP493" s="135"/>
      <c r="AQ493" s="7"/>
      <c r="AR493" s="7"/>
      <c r="AS493" s="7"/>
      <c r="AT493" s="99"/>
      <c r="AU493" s="99"/>
      <c r="AV493" s="99"/>
      <c r="AW493" s="99"/>
      <c r="AX493" s="100"/>
      <c r="AY493" s="100"/>
      <c r="AZ493" s="100"/>
      <c r="BA493" s="100"/>
      <c r="BB493" s="100"/>
      <c r="BC493" s="100"/>
    </row>
    <row r="494" spans="12:55" ht="14.25" customHeight="1">
      <c r="L494" s="136"/>
      <c r="M494" s="136"/>
      <c r="N494" s="136"/>
      <c r="O494" s="136"/>
      <c r="P494" s="137"/>
      <c r="Q494" s="138"/>
      <c r="R494" s="138"/>
      <c r="S494" s="138"/>
      <c r="T494" s="138"/>
      <c r="U494" s="7"/>
      <c r="V494" s="7"/>
      <c r="W494" s="7"/>
      <c r="X494" s="136"/>
      <c r="Y494" s="136"/>
      <c r="Z494" s="136"/>
      <c r="AA494" s="136"/>
      <c r="AB494" s="135"/>
      <c r="AC494" s="135"/>
      <c r="AD494" s="135"/>
      <c r="AE494" s="136"/>
      <c r="AF494" s="136"/>
      <c r="AG494" s="136"/>
      <c r="AH494" s="136"/>
      <c r="AI494" s="135"/>
      <c r="AJ494" s="135"/>
      <c r="AK494" s="135"/>
      <c r="AL494" s="7"/>
      <c r="AM494" s="135"/>
      <c r="AN494" s="135"/>
      <c r="AO494" s="135"/>
      <c r="AP494" s="135"/>
      <c r="AQ494" s="7"/>
      <c r="AR494" s="7"/>
      <c r="AS494" s="7"/>
      <c r="AT494" s="99"/>
      <c r="AU494" s="99"/>
      <c r="AV494" s="99"/>
      <c r="AW494" s="99"/>
      <c r="AX494" s="100"/>
      <c r="AY494" s="100"/>
      <c r="AZ494" s="100"/>
      <c r="BA494" s="100"/>
      <c r="BB494" s="100"/>
      <c r="BC494" s="100"/>
    </row>
    <row r="495" spans="12:55" ht="30.9" customHeight="1">
      <c r="L495" s="139"/>
      <c r="M495" s="139"/>
      <c r="N495" s="139"/>
      <c r="O495" s="140"/>
      <c r="P495" s="140"/>
      <c r="Q495" s="137"/>
      <c r="R495" s="137"/>
      <c r="S495" s="137"/>
      <c r="T495" s="137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  <c r="AH495" s="122"/>
      <c r="AI495" s="122"/>
      <c r="AJ495" s="122"/>
      <c r="AK495" s="122"/>
      <c r="AL495" s="122"/>
      <c r="AM495" s="122"/>
      <c r="AN495" s="122"/>
      <c r="AO495" s="122"/>
      <c r="AP495" s="122"/>
      <c r="AQ495" s="122"/>
      <c r="AR495" s="122"/>
      <c r="AS495" s="122"/>
      <c r="AT495" s="122"/>
      <c r="AU495" s="122"/>
      <c r="AV495" s="122"/>
      <c r="AW495" s="122"/>
      <c r="AX495" s="122"/>
      <c r="AY495" s="122"/>
      <c r="AZ495" s="122"/>
      <c r="BA495" s="122"/>
      <c r="BB495" s="122"/>
      <c r="BC495" s="122"/>
    </row>
    <row r="496" spans="12:55" ht="30.9" customHeight="1">
      <c r="L496" s="139"/>
      <c r="M496" s="139"/>
      <c r="N496" s="139"/>
      <c r="O496" s="140"/>
      <c r="P496" s="140"/>
      <c r="Q496" s="137"/>
      <c r="R496" s="137"/>
      <c r="S496" s="137"/>
      <c r="T496" s="137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  <c r="AH496" s="122"/>
      <c r="AI496" s="122"/>
      <c r="AJ496" s="122"/>
      <c r="AK496" s="122"/>
      <c r="AL496" s="122"/>
      <c r="AM496" s="122"/>
      <c r="AN496" s="122"/>
      <c r="AO496" s="122"/>
      <c r="AP496" s="122"/>
      <c r="AQ496" s="122"/>
      <c r="AR496" s="122"/>
      <c r="AS496" s="122"/>
      <c r="AT496" s="122"/>
      <c r="AU496" s="122"/>
      <c r="AV496" s="122"/>
      <c r="AW496" s="122"/>
      <c r="AX496" s="122"/>
      <c r="AY496" s="122"/>
      <c r="AZ496" s="122"/>
      <c r="BA496" s="122"/>
      <c r="BB496" s="122"/>
      <c r="BC496" s="122"/>
    </row>
    <row r="497" spans="12:55" ht="14.25" customHeight="1">
      <c r="L497" s="136"/>
      <c r="M497" s="136"/>
      <c r="N497" s="136"/>
      <c r="O497" s="136"/>
      <c r="P497" s="137"/>
      <c r="Q497" s="138"/>
      <c r="R497" s="138"/>
      <c r="S497" s="138"/>
      <c r="T497" s="138"/>
      <c r="U497" s="136"/>
      <c r="V497" s="136"/>
      <c r="W497" s="135"/>
      <c r="X497" s="135"/>
      <c r="Y497" s="136"/>
      <c r="Z497" s="136"/>
      <c r="AA497" s="135"/>
      <c r="AB497" s="135"/>
      <c r="AC497" s="135"/>
      <c r="AD497" s="135"/>
      <c r="AE497" s="136"/>
      <c r="AF497" s="136"/>
      <c r="AG497" s="135"/>
      <c r="AH497" s="135"/>
      <c r="AI497" s="136"/>
      <c r="AJ497" s="136"/>
      <c r="AK497" s="135"/>
      <c r="AL497" s="135"/>
      <c r="AM497" s="134"/>
      <c r="AN497" s="135"/>
      <c r="AO497" s="135"/>
      <c r="AP497" s="135"/>
      <c r="AQ497" s="7"/>
      <c r="AR497" s="7"/>
      <c r="AS497" s="7"/>
      <c r="AT497" s="136"/>
      <c r="AU497" s="136"/>
      <c r="AV497" s="136"/>
      <c r="AW497" s="136"/>
      <c r="AX497" s="135"/>
      <c r="AY497" s="135"/>
      <c r="AZ497" s="135"/>
      <c r="BA497" s="135"/>
      <c r="BB497" s="135"/>
      <c r="BC497" s="135"/>
    </row>
    <row r="498" spans="12:55" ht="14.25" customHeight="1">
      <c r="L498" s="136"/>
      <c r="M498" s="136"/>
      <c r="N498" s="136"/>
      <c r="O498" s="136"/>
      <c r="P498" s="137"/>
      <c r="Q498" s="138"/>
      <c r="R498" s="138"/>
      <c r="S498" s="138"/>
      <c r="T498" s="138"/>
      <c r="U498" s="136"/>
      <c r="V498" s="136"/>
      <c r="W498" s="135"/>
      <c r="X498" s="135"/>
      <c r="Y498" s="136"/>
      <c r="Z498" s="136"/>
      <c r="AA498" s="135"/>
      <c r="AB498" s="135"/>
      <c r="AC498" s="135"/>
      <c r="AD498" s="135"/>
      <c r="AE498" s="136"/>
      <c r="AF498" s="136"/>
      <c r="AG498" s="135"/>
      <c r="AH498" s="135"/>
      <c r="AI498" s="136"/>
      <c r="AJ498" s="136"/>
      <c r="AK498" s="135"/>
      <c r="AL498" s="135"/>
      <c r="AM498" s="135"/>
      <c r="AN498" s="135"/>
      <c r="AO498" s="135"/>
      <c r="AP498" s="135"/>
      <c r="AQ498" s="7"/>
      <c r="AR498" s="7"/>
      <c r="AS498" s="7"/>
      <c r="AT498" s="136"/>
      <c r="AU498" s="136"/>
      <c r="AV498" s="136"/>
      <c r="AW498" s="136"/>
      <c r="AX498" s="135"/>
      <c r="AY498" s="135"/>
      <c r="AZ498" s="135"/>
      <c r="BA498" s="135"/>
      <c r="BB498" s="135"/>
      <c r="BC498" s="135"/>
    </row>
    <row r="499" spans="12:55" ht="14.25" customHeight="1">
      <c r="L499" s="136"/>
      <c r="M499" s="136"/>
      <c r="N499" s="136"/>
      <c r="O499" s="136"/>
      <c r="P499" s="137"/>
      <c r="Q499" s="138"/>
      <c r="R499" s="138"/>
      <c r="S499" s="138"/>
      <c r="T499" s="138"/>
      <c r="U499" s="136"/>
      <c r="V499" s="136"/>
      <c r="W499" s="135"/>
      <c r="X499" s="135"/>
      <c r="Y499" s="136"/>
      <c r="Z499" s="136"/>
      <c r="AA499" s="135"/>
      <c r="AB499" s="135"/>
      <c r="AC499" s="135"/>
      <c r="AD499" s="135"/>
      <c r="AE499" s="136"/>
      <c r="AF499" s="136"/>
      <c r="AG499" s="135"/>
      <c r="AH499" s="135"/>
      <c r="AI499" s="136"/>
      <c r="AJ499" s="136"/>
      <c r="AK499" s="135"/>
      <c r="AL499" s="135"/>
      <c r="AM499" s="134"/>
      <c r="AN499" s="135"/>
      <c r="AO499" s="135"/>
      <c r="AP499" s="135"/>
      <c r="AQ499" s="7"/>
      <c r="AR499" s="7"/>
      <c r="AS499" s="7"/>
      <c r="AT499" s="99"/>
      <c r="AU499" s="99"/>
      <c r="AV499" s="99"/>
      <c r="AW499" s="99"/>
      <c r="AX499" s="100"/>
      <c r="AY499" s="100"/>
      <c r="AZ499" s="100"/>
      <c r="BA499" s="100"/>
      <c r="BB499" s="100"/>
      <c r="BC499" s="100"/>
    </row>
    <row r="500" spans="12:55" ht="14.25" customHeight="1">
      <c r="L500" s="136"/>
      <c r="M500" s="136"/>
      <c r="N500" s="136"/>
      <c r="O500" s="136"/>
      <c r="P500" s="137"/>
      <c r="Q500" s="138"/>
      <c r="R500" s="138"/>
      <c r="S500" s="138"/>
      <c r="T500" s="138"/>
      <c r="U500" s="49"/>
      <c r="V500" s="49"/>
      <c r="W500" s="49"/>
      <c r="X500" s="136"/>
      <c r="Y500" s="136"/>
      <c r="Z500" s="136"/>
      <c r="AA500" s="136"/>
      <c r="AB500" s="135"/>
      <c r="AC500" s="135"/>
      <c r="AD500" s="135"/>
      <c r="AE500" s="136"/>
      <c r="AF500" s="136"/>
      <c r="AG500" s="136"/>
      <c r="AH500" s="136"/>
      <c r="AI500" s="135"/>
      <c r="AJ500" s="135"/>
      <c r="AK500" s="135"/>
      <c r="AL500" s="49"/>
      <c r="AM500" s="135"/>
      <c r="AN500" s="135"/>
      <c r="AO500" s="135"/>
      <c r="AP500" s="135"/>
      <c r="AQ500" s="7"/>
      <c r="AR500" s="7"/>
      <c r="AS500" s="7"/>
      <c r="AT500" s="99"/>
      <c r="AU500" s="99"/>
      <c r="AV500" s="99"/>
      <c r="AW500" s="99"/>
      <c r="AX500" s="100"/>
      <c r="AY500" s="100"/>
      <c r="AZ500" s="100"/>
      <c r="BA500" s="100"/>
      <c r="BB500" s="100"/>
      <c r="BC500" s="100"/>
    </row>
    <row r="501" spans="12:55" ht="14.25" customHeight="1">
      <c r="L501" s="136"/>
      <c r="M501" s="136"/>
      <c r="N501" s="136"/>
      <c r="O501" s="136"/>
      <c r="P501" s="137"/>
      <c r="Q501" s="138"/>
      <c r="R501" s="138"/>
      <c r="S501" s="138"/>
      <c r="T501" s="138"/>
      <c r="U501" s="7"/>
      <c r="V501" s="7"/>
      <c r="W501" s="7"/>
      <c r="X501" s="136"/>
      <c r="Y501" s="136"/>
      <c r="Z501" s="136"/>
      <c r="AA501" s="136"/>
      <c r="AB501" s="135"/>
      <c r="AC501" s="135"/>
      <c r="AD501" s="135"/>
      <c r="AE501" s="136"/>
      <c r="AF501" s="136"/>
      <c r="AG501" s="136"/>
      <c r="AH501" s="136"/>
      <c r="AI501" s="135"/>
      <c r="AJ501" s="135"/>
      <c r="AK501" s="135"/>
      <c r="AL501" s="7"/>
      <c r="AM501" s="134"/>
      <c r="AN501" s="135"/>
      <c r="AO501" s="135"/>
      <c r="AP501" s="135"/>
      <c r="AQ501" s="7"/>
      <c r="AR501" s="7"/>
      <c r="AS501" s="7"/>
      <c r="AT501" s="99"/>
      <c r="AU501" s="99"/>
      <c r="AV501" s="99"/>
      <c r="AW501" s="99"/>
      <c r="AX501" s="100"/>
      <c r="AY501" s="100"/>
      <c r="AZ501" s="100"/>
      <c r="BA501" s="100"/>
      <c r="BB501" s="100"/>
      <c r="BC501" s="100"/>
    </row>
    <row r="502" spans="12:55" ht="14.25" customHeight="1">
      <c r="L502" s="136"/>
      <c r="M502" s="136"/>
      <c r="N502" s="136"/>
      <c r="O502" s="136"/>
      <c r="P502" s="137"/>
      <c r="Q502" s="138"/>
      <c r="R502" s="138"/>
      <c r="S502" s="138"/>
      <c r="T502" s="138"/>
      <c r="U502" s="7"/>
      <c r="V502" s="7"/>
      <c r="W502" s="7"/>
      <c r="X502" s="136"/>
      <c r="Y502" s="136"/>
      <c r="Z502" s="136"/>
      <c r="AA502" s="136"/>
      <c r="AB502" s="135"/>
      <c r="AC502" s="135"/>
      <c r="AD502" s="135"/>
      <c r="AE502" s="136"/>
      <c r="AF502" s="136"/>
      <c r="AG502" s="136"/>
      <c r="AH502" s="136"/>
      <c r="AI502" s="135"/>
      <c r="AJ502" s="135"/>
      <c r="AK502" s="135"/>
      <c r="AL502" s="7"/>
      <c r="AM502" s="135"/>
      <c r="AN502" s="135"/>
      <c r="AO502" s="135"/>
      <c r="AP502" s="135"/>
      <c r="AQ502" s="7"/>
      <c r="AR502" s="7"/>
      <c r="AS502" s="7"/>
      <c r="AT502" s="99"/>
      <c r="AU502" s="99"/>
      <c r="AV502" s="99"/>
      <c r="AW502" s="99"/>
      <c r="AX502" s="100"/>
      <c r="AY502" s="100"/>
      <c r="AZ502" s="100"/>
      <c r="BA502" s="100"/>
      <c r="BB502" s="100"/>
      <c r="BC502" s="100"/>
    </row>
    <row r="503" spans="12:55" ht="30.9" customHeight="1">
      <c r="L503" s="139"/>
      <c r="M503" s="139"/>
      <c r="N503" s="139"/>
      <c r="O503" s="140"/>
      <c r="P503" s="140"/>
      <c r="Q503" s="137"/>
      <c r="R503" s="137"/>
      <c r="S503" s="137"/>
      <c r="T503" s="137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  <c r="AH503" s="122"/>
      <c r="AI503" s="122"/>
      <c r="AJ503" s="122"/>
      <c r="AK503" s="122"/>
      <c r="AL503" s="122"/>
      <c r="AM503" s="122"/>
      <c r="AN503" s="122"/>
      <c r="AO503" s="122"/>
      <c r="AP503" s="122"/>
      <c r="AQ503" s="122"/>
      <c r="AR503" s="122"/>
      <c r="AS503" s="122"/>
      <c r="AT503" s="122"/>
      <c r="AU503" s="122"/>
      <c r="AV503" s="122"/>
      <c r="AW503" s="122"/>
      <c r="AX503" s="122"/>
      <c r="AY503" s="122"/>
      <c r="AZ503" s="122"/>
      <c r="BA503" s="122"/>
      <c r="BB503" s="122"/>
      <c r="BC503" s="122"/>
    </row>
    <row r="504" spans="12:55" ht="30.9" customHeight="1">
      <c r="L504" s="139"/>
      <c r="M504" s="139"/>
      <c r="N504" s="139"/>
      <c r="O504" s="140"/>
      <c r="P504" s="140"/>
      <c r="Q504" s="137"/>
      <c r="R504" s="137"/>
      <c r="S504" s="137"/>
      <c r="T504" s="137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  <c r="AH504" s="122"/>
      <c r="AI504" s="122"/>
      <c r="AJ504" s="122"/>
      <c r="AK504" s="122"/>
      <c r="AL504" s="122"/>
      <c r="AM504" s="122"/>
      <c r="AN504" s="122"/>
      <c r="AO504" s="122"/>
      <c r="AP504" s="122"/>
      <c r="AQ504" s="122"/>
      <c r="AR504" s="122"/>
      <c r="AS504" s="122"/>
      <c r="AT504" s="122"/>
      <c r="AU504" s="122"/>
      <c r="AV504" s="122"/>
      <c r="AW504" s="122"/>
      <c r="AX504" s="122"/>
      <c r="AY504" s="122"/>
      <c r="AZ504" s="122"/>
      <c r="BA504" s="122"/>
      <c r="BB504" s="122"/>
      <c r="BC504" s="122"/>
    </row>
    <row r="505" spans="12:55" ht="14.25" customHeight="1">
      <c r="L505" s="136"/>
      <c r="M505" s="136"/>
      <c r="N505" s="136"/>
      <c r="O505" s="136"/>
      <c r="P505" s="137"/>
      <c r="Q505" s="138"/>
      <c r="R505" s="138"/>
      <c r="S505" s="138"/>
      <c r="T505" s="138"/>
      <c r="U505" s="136"/>
      <c r="V505" s="136"/>
      <c r="W505" s="135"/>
      <c r="X505" s="135"/>
      <c r="Y505" s="136"/>
      <c r="Z505" s="136"/>
      <c r="AA505" s="135"/>
      <c r="AB505" s="135"/>
      <c r="AC505" s="135"/>
      <c r="AD505" s="135"/>
      <c r="AE505" s="136"/>
      <c r="AF505" s="136"/>
      <c r="AG505" s="135"/>
      <c r="AH505" s="135"/>
      <c r="AI505" s="136"/>
      <c r="AJ505" s="136"/>
      <c r="AK505" s="135"/>
      <c r="AL505" s="135"/>
      <c r="AM505" s="134"/>
      <c r="AN505" s="135"/>
      <c r="AO505" s="135"/>
      <c r="AP505" s="135"/>
      <c r="AQ505" s="7"/>
      <c r="AR505" s="7"/>
      <c r="AS505" s="7"/>
      <c r="AT505" s="136"/>
      <c r="AU505" s="136"/>
      <c r="AV505" s="136"/>
      <c r="AW505" s="136"/>
      <c r="AX505" s="135"/>
      <c r="AY505" s="135"/>
      <c r="AZ505" s="135"/>
      <c r="BA505" s="135"/>
      <c r="BB505" s="135"/>
      <c r="BC505" s="135"/>
    </row>
    <row r="506" spans="12:55" ht="14.25" customHeight="1">
      <c r="L506" s="136"/>
      <c r="M506" s="136"/>
      <c r="N506" s="136"/>
      <c r="O506" s="136"/>
      <c r="P506" s="137"/>
      <c r="Q506" s="138"/>
      <c r="R506" s="138"/>
      <c r="S506" s="138"/>
      <c r="T506" s="138"/>
      <c r="U506" s="136"/>
      <c r="V506" s="136"/>
      <c r="W506" s="135"/>
      <c r="X506" s="135"/>
      <c r="Y506" s="136"/>
      <c r="Z506" s="136"/>
      <c r="AA506" s="135"/>
      <c r="AB506" s="135"/>
      <c r="AC506" s="135"/>
      <c r="AD506" s="135"/>
      <c r="AE506" s="136"/>
      <c r="AF506" s="136"/>
      <c r="AG506" s="135"/>
      <c r="AH506" s="135"/>
      <c r="AI506" s="136"/>
      <c r="AJ506" s="136"/>
      <c r="AK506" s="135"/>
      <c r="AL506" s="135"/>
      <c r="AM506" s="135"/>
      <c r="AN506" s="135"/>
      <c r="AO506" s="135"/>
      <c r="AP506" s="135"/>
      <c r="AQ506" s="7"/>
      <c r="AR506" s="7"/>
      <c r="AS506" s="7"/>
      <c r="AT506" s="136"/>
      <c r="AU506" s="136"/>
      <c r="AV506" s="136"/>
      <c r="AW506" s="136"/>
      <c r="AX506" s="135"/>
      <c r="AY506" s="135"/>
      <c r="AZ506" s="135"/>
      <c r="BA506" s="135"/>
      <c r="BB506" s="135"/>
      <c r="BC506" s="135"/>
    </row>
    <row r="507" spans="12:55" ht="14.25" customHeight="1">
      <c r="L507" s="136"/>
      <c r="M507" s="136"/>
      <c r="N507" s="136"/>
      <c r="O507" s="136"/>
      <c r="P507" s="137"/>
      <c r="Q507" s="138"/>
      <c r="R507" s="138"/>
      <c r="S507" s="138"/>
      <c r="T507" s="138"/>
      <c r="U507" s="136"/>
      <c r="V507" s="136"/>
      <c r="W507" s="135"/>
      <c r="X507" s="135"/>
      <c r="Y507" s="136"/>
      <c r="Z507" s="136"/>
      <c r="AA507" s="135"/>
      <c r="AB507" s="135"/>
      <c r="AC507" s="135"/>
      <c r="AD507" s="135"/>
      <c r="AE507" s="136"/>
      <c r="AF507" s="136"/>
      <c r="AG507" s="135"/>
      <c r="AH507" s="135"/>
      <c r="AI507" s="136"/>
      <c r="AJ507" s="136"/>
      <c r="AK507" s="135"/>
      <c r="AL507" s="135"/>
      <c r="AM507" s="134"/>
      <c r="AN507" s="135"/>
      <c r="AO507" s="135"/>
      <c r="AP507" s="135"/>
      <c r="AQ507" s="7"/>
      <c r="AR507" s="7"/>
      <c r="AS507" s="7"/>
      <c r="AT507" s="99"/>
      <c r="AU507" s="99"/>
      <c r="AV507" s="99"/>
      <c r="AW507" s="99"/>
      <c r="AX507" s="100"/>
      <c r="AY507" s="100"/>
      <c r="AZ507" s="100"/>
      <c r="BA507" s="100"/>
      <c r="BB507" s="100"/>
      <c r="BC507" s="100"/>
    </row>
    <row r="508" spans="12:55" ht="14.25" customHeight="1">
      <c r="L508" s="136"/>
      <c r="M508" s="136"/>
      <c r="N508" s="136"/>
      <c r="O508" s="136"/>
      <c r="P508" s="137"/>
      <c r="Q508" s="138"/>
      <c r="R508" s="138"/>
      <c r="S508" s="138"/>
      <c r="T508" s="138"/>
      <c r="U508" s="49"/>
      <c r="V508" s="49"/>
      <c r="W508" s="49"/>
      <c r="X508" s="136"/>
      <c r="Y508" s="136"/>
      <c r="Z508" s="136"/>
      <c r="AA508" s="136"/>
      <c r="AB508" s="135"/>
      <c r="AC508" s="135"/>
      <c r="AD508" s="135"/>
      <c r="AE508" s="136"/>
      <c r="AF508" s="136"/>
      <c r="AG508" s="136"/>
      <c r="AH508" s="136"/>
      <c r="AI508" s="135"/>
      <c r="AJ508" s="135"/>
      <c r="AK508" s="135"/>
      <c r="AL508" s="49"/>
      <c r="AM508" s="135"/>
      <c r="AN508" s="135"/>
      <c r="AO508" s="135"/>
      <c r="AP508" s="135"/>
      <c r="AQ508" s="7"/>
      <c r="AR508" s="7"/>
      <c r="AS508" s="7"/>
      <c r="AT508" s="99"/>
      <c r="AU508" s="99"/>
      <c r="AV508" s="99"/>
      <c r="AW508" s="99"/>
      <c r="AX508" s="100"/>
      <c r="AY508" s="100"/>
      <c r="AZ508" s="100"/>
      <c r="BA508" s="100"/>
      <c r="BB508" s="100"/>
      <c r="BC508" s="100"/>
    </row>
    <row r="509" spans="12:55" ht="14.25" customHeight="1">
      <c r="L509" s="136"/>
      <c r="M509" s="136"/>
      <c r="N509" s="136"/>
      <c r="O509" s="136"/>
      <c r="P509" s="137"/>
      <c r="Q509" s="138"/>
      <c r="R509" s="138"/>
      <c r="S509" s="138"/>
      <c r="T509" s="138"/>
      <c r="U509" s="7"/>
      <c r="V509" s="7"/>
      <c r="W509" s="7"/>
      <c r="X509" s="136"/>
      <c r="Y509" s="136"/>
      <c r="Z509" s="136"/>
      <c r="AA509" s="136"/>
      <c r="AB509" s="135"/>
      <c r="AC509" s="135"/>
      <c r="AD509" s="135"/>
      <c r="AE509" s="136"/>
      <c r="AF509" s="136"/>
      <c r="AG509" s="136"/>
      <c r="AH509" s="136"/>
      <c r="AI509" s="135"/>
      <c r="AJ509" s="135"/>
      <c r="AK509" s="135"/>
      <c r="AL509" s="7"/>
      <c r="AM509" s="134"/>
      <c r="AN509" s="135"/>
      <c r="AO509" s="135"/>
      <c r="AP509" s="135"/>
      <c r="AQ509" s="7"/>
      <c r="AR509" s="7"/>
      <c r="AS509" s="7"/>
      <c r="AT509" s="99"/>
      <c r="AU509" s="99"/>
      <c r="AV509" s="99"/>
      <c r="AW509" s="99"/>
      <c r="AX509" s="100"/>
      <c r="AY509" s="100"/>
      <c r="AZ509" s="100"/>
      <c r="BA509" s="100"/>
      <c r="BB509" s="100"/>
      <c r="BC509" s="100"/>
    </row>
    <row r="510" spans="12:55" ht="14.25" customHeight="1">
      <c r="L510" s="136"/>
      <c r="M510" s="136"/>
      <c r="N510" s="136"/>
      <c r="O510" s="136"/>
      <c r="P510" s="137"/>
      <c r="Q510" s="138"/>
      <c r="R510" s="138"/>
      <c r="S510" s="138"/>
      <c r="T510" s="138"/>
      <c r="U510" s="7"/>
      <c r="V510" s="7"/>
      <c r="W510" s="7"/>
      <c r="X510" s="136"/>
      <c r="Y510" s="136"/>
      <c r="Z510" s="136"/>
      <c r="AA510" s="136"/>
      <c r="AB510" s="135"/>
      <c r="AC510" s="135"/>
      <c r="AD510" s="135"/>
      <c r="AE510" s="136"/>
      <c r="AF510" s="136"/>
      <c r="AG510" s="136"/>
      <c r="AH510" s="136"/>
      <c r="AI510" s="135"/>
      <c r="AJ510" s="135"/>
      <c r="AK510" s="135"/>
      <c r="AL510" s="7"/>
      <c r="AM510" s="135"/>
      <c r="AN510" s="135"/>
      <c r="AO510" s="135"/>
      <c r="AP510" s="135"/>
      <c r="AQ510" s="7"/>
      <c r="AR510" s="7"/>
      <c r="AS510" s="7"/>
      <c r="AT510" s="99"/>
      <c r="AU510" s="99"/>
      <c r="AV510" s="99"/>
      <c r="AW510" s="99"/>
      <c r="AX510" s="100"/>
      <c r="AY510" s="100"/>
      <c r="AZ510" s="100"/>
      <c r="BA510" s="100"/>
      <c r="BB510" s="100"/>
      <c r="BC510" s="100"/>
    </row>
    <row r="511" spans="12:55" ht="30.9" customHeight="1">
      <c r="L511" s="139"/>
      <c r="M511" s="139"/>
      <c r="N511" s="139"/>
      <c r="O511" s="140"/>
      <c r="P511" s="140"/>
      <c r="Q511" s="137"/>
      <c r="R511" s="137"/>
      <c r="S511" s="137"/>
      <c r="T511" s="137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  <c r="AH511" s="122"/>
      <c r="AI511" s="122"/>
      <c r="AJ511" s="122"/>
      <c r="AK511" s="122"/>
      <c r="AL511" s="122"/>
      <c r="AM511" s="122"/>
      <c r="AN511" s="122"/>
      <c r="AO511" s="122"/>
      <c r="AP511" s="122"/>
      <c r="AQ511" s="122"/>
      <c r="AR511" s="122"/>
      <c r="AS511" s="122"/>
      <c r="AT511" s="122"/>
      <c r="AU511" s="122"/>
      <c r="AV511" s="122"/>
      <c r="AW511" s="122"/>
      <c r="AX511" s="122"/>
      <c r="AY511" s="122"/>
      <c r="AZ511" s="122"/>
      <c r="BA511" s="122"/>
      <c r="BB511" s="122"/>
      <c r="BC511" s="122"/>
    </row>
    <row r="512" spans="12:55" ht="30.9" customHeight="1">
      <c r="L512" s="139"/>
      <c r="M512" s="139"/>
      <c r="N512" s="139"/>
      <c r="O512" s="140"/>
      <c r="P512" s="140"/>
      <c r="Q512" s="137"/>
      <c r="R512" s="137"/>
      <c r="S512" s="137"/>
      <c r="T512" s="137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  <c r="AH512" s="122"/>
      <c r="AI512" s="122"/>
      <c r="AJ512" s="122"/>
      <c r="AK512" s="122"/>
      <c r="AL512" s="122"/>
      <c r="AM512" s="122"/>
      <c r="AN512" s="122"/>
      <c r="AO512" s="122"/>
      <c r="AP512" s="122"/>
      <c r="AQ512" s="122"/>
      <c r="AR512" s="122"/>
      <c r="AS512" s="122"/>
      <c r="AT512" s="122"/>
      <c r="AU512" s="122"/>
      <c r="AV512" s="122"/>
      <c r="AW512" s="122"/>
      <c r="AX512" s="122"/>
      <c r="AY512" s="122"/>
      <c r="AZ512" s="122"/>
      <c r="BA512" s="122"/>
      <c r="BB512" s="122"/>
      <c r="BC512" s="122"/>
    </row>
    <row r="513" spans="12:55" ht="14.25" customHeight="1">
      <c r="L513" s="136"/>
      <c r="M513" s="136"/>
      <c r="N513" s="136"/>
      <c r="O513" s="136"/>
      <c r="P513" s="137"/>
      <c r="Q513" s="138"/>
      <c r="R513" s="138"/>
      <c r="S513" s="138"/>
      <c r="T513" s="138"/>
      <c r="U513" s="136"/>
      <c r="V513" s="136"/>
      <c r="W513" s="135"/>
      <c r="X513" s="135"/>
      <c r="Y513" s="136"/>
      <c r="Z513" s="136"/>
      <c r="AA513" s="135"/>
      <c r="AB513" s="135"/>
      <c r="AC513" s="135"/>
      <c r="AD513" s="135"/>
      <c r="AE513" s="136"/>
      <c r="AF513" s="136"/>
      <c r="AG513" s="135"/>
      <c r="AH513" s="135"/>
      <c r="AI513" s="136"/>
      <c r="AJ513" s="136"/>
      <c r="AK513" s="135"/>
      <c r="AL513" s="135"/>
      <c r="AM513" s="134"/>
      <c r="AN513" s="135"/>
      <c r="AO513" s="135"/>
      <c r="AP513" s="135"/>
      <c r="AQ513" s="7"/>
      <c r="AR513" s="7"/>
      <c r="AS513" s="7"/>
      <c r="AT513" s="136"/>
      <c r="AU513" s="136"/>
      <c r="AV513" s="136"/>
      <c r="AW513" s="136"/>
      <c r="AX513" s="135"/>
      <c r="AY513" s="135"/>
      <c r="AZ513" s="135"/>
      <c r="BA513" s="135"/>
      <c r="BB513" s="135"/>
      <c r="BC513" s="135"/>
    </row>
    <row r="514" spans="12:55" ht="14.25" customHeight="1">
      <c r="L514" s="136"/>
      <c r="M514" s="136"/>
      <c r="N514" s="136"/>
      <c r="O514" s="136"/>
      <c r="P514" s="137"/>
      <c r="Q514" s="138"/>
      <c r="R514" s="138"/>
      <c r="S514" s="138"/>
      <c r="T514" s="138"/>
      <c r="U514" s="136"/>
      <c r="V514" s="136"/>
      <c r="W514" s="135"/>
      <c r="X514" s="135"/>
      <c r="Y514" s="136"/>
      <c r="Z514" s="136"/>
      <c r="AA514" s="135"/>
      <c r="AB514" s="135"/>
      <c r="AC514" s="135"/>
      <c r="AD514" s="135"/>
      <c r="AE514" s="136"/>
      <c r="AF514" s="136"/>
      <c r="AG514" s="135"/>
      <c r="AH514" s="135"/>
      <c r="AI514" s="136"/>
      <c r="AJ514" s="136"/>
      <c r="AK514" s="135"/>
      <c r="AL514" s="135"/>
      <c r="AM514" s="135"/>
      <c r="AN514" s="135"/>
      <c r="AO514" s="135"/>
      <c r="AP514" s="135"/>
      <c r="AQ514" s="7"/>
      <c r="AR514" s="7"/>
      <c r="AS514" s="7"/>
      <c r="AT514" s="136"/>
      <c r="AU514" s="136"/>
      <c r="AV514" s="136"/>
      <c r="AW514" s="136"/>
      <c r="AX514" s="135"/>
      <c r="AY514" s="135"/>
      <c r="AZ514" s="135"/>
      <c r="BA514" s="135"/>
      <c r="BB514" s="135"/>
      <c r="BC514" s="135"/>
    </row>
    <row r="515" spans="12:55" ht="14.25" customHeight="1">
      <c r="L515" s="136"/>
      <c r="M515" s="136"/>
      <c r="N515" s="136"/>
      <c r="O515" s="136"/>
      <c r="P515" s="137"/>
      <c r="Q515" s="138"/>
      <c r="R515" s="138"/>
      <c r="S515" s="138"/>
      <c r="T515" s="138"/>
      <c r="U515" s="136"/>
      <c r="V515" s="136"/>
      <c r="W515" s="135"/>
      <c r="X515" s="135"/>
      <c r="Y515" s="136"/>
      <c r="Z515" s="136"/>
      <c r="AA515" s="135"/>
      <c r="AB515" s="135"/>
      <c r="AC515" s="135"/>
      <c r="AD515" s="135"/>
      <c r="AE515" s="136"/>
      <c r="AF515" s="136"/>
      <c r="AG515" s="135"/>
      <c r="AH515" s="135"/>
      <c r="AI515" s="136"/>
      <c r="AJ515" s="136"/>
      <c r="AK515" s="135"/>
      <c r="AL515" s="135"/>
      <c r="AM515" s="134"/>
      <c r="AN515" s="135"/>
      <c r="AO515" s="135"/>
      <c r="AP515" s="135"/>
      <c r="AQ515" s="7"/>
      <c r="AR515" s="7"/>
      <c r="AS515" s="7"/>
      <c r="AT515" s="99"/>
      <c r="AU515" s="99"/>
      <c r="AV515" s="99"/>
      <c r="AW515" s="99"/>
      <c r="AX515" s="100"/>
      <c r="AY515" s="100"/>
      <c r="AZ515" s="100"/>
      <c r="BA515" s="100"/>
      <c r="BB515" s="100"/>
      <c r="BC515" s="100"/>
    </row>
    <row r="516" spans="12:55" ht="14.25" customHeight="1">
      <c r="L516" s="136"/>
      <c r="M516" s="136"/>
      <c r="N516" s="136"/>
      <c r="O516" s="136"/>
      <c r="P516" s="137"/>
      <c r="Q516" s="138"/>
      <c r="R516" s="138"/>
      <c r="S516" s="138"/>
      <c r="T516" s="138"/>
      <c r="U516" s="49"/>
      <c r="V516" s="49"/>
      <c r="W516" s="49"/>
      <c r="X516" s="136"/>
      <c r="Y516" s="136"/>
      <c r="Z516" s="136"/>
      <c r="AA516" s="136"/>
      <c r="AB516" s="135"/>
      <c r="AC516" s="135"/>
      <c r="AD516" s="135"/>
      <c r="AE516" s="136"/>
      <c r="AF516" s="136"/>
      <c r="AG516" s="136"/>
      <c r="AH516" s="136"/>
      <c r="AI516" s="135"/>
      <c r="AJ516" s="135"/>
      <c r="AK516" s="135"/>
      <c r="AL516" s="49"/>
      <c r="AM516" s="135"/>
      <c r="AN516" s="135"/>
      <c r="AO516" s="135"/>
      <c r="AP516" s="135"/>
      <c r="AQ516" s="7"/>
      <c r="AR516" s="7"/>
      <c r="AS516" s="7"/>
      <c r="AT516" s="99"/>
      <c r="AU516" s="99"/>
      <c r="AV516" s="99"/>
      <c r="AW516" s="99"/>
      <c r="AX516" s="100"/>
      <c r="AY516" s="100"/>
      <c r="AZ516" s="100"/>
      <c r="BA516" s="100"/>
      <c r="BB516" s="100"/>
      <c r="BC516" s="100"/>
    </row>
    <row r="517" spans="12:55" ht="14.25" customHeight="1">
      <c r="L517" s="136"/>
      <c r="M517" s="136"/>
      <c r="N517" s="136"/>
      <c r="O517" s="136"/>
      <c r="P517" s="137"/>
      <c r="Q517" s="138"/>
      <c r="R517" s="138"/>
      <c r="S517" s="138"/>
      <c r="T517" s="138"/>
      <c r="U517" s="7"/>
      <c r="V517" s="7"/>
      <c r="W517" s="7"/>
      <c r="X517" s="136"/>
      <c r="Y517" s="136"/>
      <c r="Z517" s="136"/>
      <c r="AA517" s="136"/>
      <c r="AB517" s="135"/>
      <c r="AC517" s="135"/>
      <c r="AD517" s="135"/>
      <c r="AE517" s="136"/>
      <c r="AF517" s="136"/>
      <c r="AG517" s="136"/>
      <c r="AH517" s="136"/>
      <c r="AI517" s="135"/>
      <c r="AJ517" s="135"/>
      <c r="AK517" s="135"/>
      <c r="AL517" s="7"/>
      <c r="AM517" s="134"/>
      <c r="AN517" s="135"/>
      <c r="AO517" s="135"/>
      <c r="AP517" s="135"/>
      <c r="AQ517" s="7"/>
      <c r="AR517" s="7"/>
      <c r="AS517" s="7"/>
      <c r="AT517" s="99"/>
      <c r="AU517" s="99"/>
      <c r="AV517" s="99"/>
      <c r="AW517" s="99"/>
      <c r="AX517" s="100"/>
      <c r="AY517" s="100"/>
      <c r="AZ517" s="100"/>
      <c r="BA517" s="100"/>
      <c r="BB517" s="100"/>
      <c r="BC517" s="100"/>
    </row>
    <row r="518" spans="12:55" ht="14.25" customHeight="1">
      <c r="L518" s="136"/>
      <c r="M518" s="136"/>
      <c r="N518" s="136"/>
      <c r="O518" s="136"/>
      <c r="P518" s="137"/>
      <c r="Q518" s="138"/>
      <c r="R518" s="138"/>
      <c r="S518" s="138"/>
      <c r="T518" s="138"/>
      <c r="U518" s="7"/>
      <c r="V518" s="7"/>
      <c r="W518" s="7"/>
      <c r="X518" s="136"/>
      <c r="Y518" s="136"/>
      <c r="Z518" s="136"/>
      <c r="AA518" s="136"/>
      <c r="AB518" s="135"/>
      <c r="AC518" s="135"/>
      <c r="AD518" s="135"/>
      <c r="AE518" s="136"/>
      <c r="AF518" s="136"/>
      <c r="AG518" s="136"/>
      <c r="AH518" s="136"/>
      <c r="AI518" s="135"/>
      <c r="AJ518" s="135"/>
      <c r="AK518" s="135"/>
      <c r="AL518" s="7"/>
      <c r="AM518" s="135"/>
      <c r="AN518" s="135"/>
      <c r="AO518" s="135"/>
      <c r="AP518" s="135"/>
      <c r="AQ518" s="7"/>
      <c r="AR518" s="7"/>
      <c r="AS518" s="7"/>
      <c r="AT518" s="99"/>
      <c r="AU518" s="99"/>
      <c r="AV518" s="99"/>
      <c r="AW518" s="99"/>
      <c r="AX518" s="100"/>
      <c r="AY518" s="100"/>
      <c r="AZ518" s="100"/>
      <c r="BA518" s="100"/>
      <c r="BB518" s="100"/>
      <c r="BC518" s="100"/>
    </row>
    <row r="519" spans="12:55" ht="30.9" customHeight="1">
      <c r="L519" s="139"/>
      <c r="M519" s="139"/>
      <c r="N519" s="139"/>
      <c r="O519" s="140"/>
      <c r="P519" s="140"/>
      <c r="Q519" s="137"/>
      <c r="R519" s="137"/>
      <c r="S519" s="137"/>
      <c r="T519" s="137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  <c r="AH519" s="122"/>
      <c r="AI519" s="122"/>
      <c r="AJ519" s="122"/>
      <c r="AK519" s="122"/>
      <c r="AL519" s="122"/>
      <c r="AM519" s="122"/>
      <c r="AN519" s="122"/>
      <c r="AO519" s="122"/>
      <c r="AP519" s="122"/>
      <c r="AQ519" s="122"/>
      <c r="AR519" s="122"/>
      <c r="AS519" s="122"/>
      <c r="AT519" s="122"/>
      <c r="AU519" s="122"/>
      <c r="AV519" s="122"/>
      <c r="AW519" s="122"/>
      <c r="AX519" s="122"/>
      <c r="AY519" s="122"/>
      <c r="AZ519" s="122"/>
      <c r="BA519" s="122"/>
      <c r="BB519" s="122"/>
      <c r="BC519" s="122"/>
    </row>
    <row r="520" spans="12:55" ht="30.9" customHeight="1">
      <c r="L520" s="139"/>
      <c r="M520" s="139"/>
      <c r="N520" s="139"/>
      <c r="O520" s="140"/>
      <c r="P520" s="140"/>
      <c r="Q520" s="137"/>
      <c r="R520" s="137"/>
      <c r="S520" s="137"/>
      <c r="T520" s="137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  <c r="AH520" s="122"/>
      <c r="AI520" s="122"/>
      <c r="AJ520" s="122"/>
      <c r="AK520" s="122"/>
      <c r="AL520" s="122"/>
      <c r="AM520" s="122"/>
      <c r="AN520" s="122"/>
      <c r="AO520" s="122"/>
      <c r="AP520" s="122"/>
      <c r="AQ520" s="122"/>
      <c r="AR520" s="122"/>
      <c r="AS520" s="122"/>
      <c r="AT520" s="122"/>
      <c r="AU520" s="122"/>
      <c r="AV520" s="122"/>
      <c r="AW520" s="122"/>
      <c r="AX520" s="122"/>
      <c r="AY520" s="122"/>
      <c r="AZ520" s="122"/>
      <c r="BA520" s="122"/>
      <c r="BB520" s="122"/>
      <c r="BC520" s="122"/>
    </row>
    <row r="521" spans="12:55" ht="14.25" customHeight="1">
      <c r="L521" s="136"/>
      <c r="M521" s="136"/>
      <c r="N521" s="136"/>
      <c r="O521" s="136"/>
      <c r="P521" s="137"/>
      <c r="Q521" s="138"/>
      <c r="R521" s="138"/>
      <c r="S521" s="138"/>
      <c r="T521" s="138"/>
      <c r="U521" s="136"/>
      <c r="V521" s="136"/>
      <c r="W521" s="137"/>
      <c r="X521" s="137"/>
      <c r="Y521" s="136"/>
      <c r="Z521" s="136"/>
      <c r="AA521" s="137"/>
      <c r="AB521" s="137"/>
      <c r="AC521" s="137"/>
      <c r="AD521" s="137"/>
      <c r="AE521" s="136"/>
      <c r="AF521" s="136"/>
      <c r="AG521" s="137"/>
      <c r="AH521" s="137"/>
      <c r="AI521" s="136"/>
      <c r="AJ521" s="136"/>
      <c r="AK521" s="137"/>
      <c r="AL521" s="137"/>
      <c r="AM521" s="138"/>
      <c r="AN521" s="138"/>
      <c r="AO521" s="138"/>
      <c r="AP521" s="138"/>
      <c r="AQ521" s="7"/>
      <c r="AR521" s="7"/>
      <c r="AS521" s="7"/>
      <c r="AT521" s="136"/>
      <c r="AU521" s="136"/>
      <c r="AV521" s="136"/>
      <c r="AW521" s="136"/>
      <c r="AX521" s="137"/>
      <c r="AY521" s="137"/>
      <c r="AZ521" s="137"/>
      <c r="BA521" s="137"/>
      <c r="BB521" s="137"/>
      <c r="BC521" s="137"/>
    </row>
    <row r="522" spans="12:55" ht="14.25" customHeight="1">
      <c r="L522" s="136"/>
      <c r="M522" s="136"/>
      <c r="N522" s="136"/>
      <c r="O522" s="136"/>
      <c r="P522" s="137"/>
      <c r="Q522" s="138"/>
      <c r="R522" s="138"/>
      <c r="S522" s="138"/>
      <c r="T522" s="138"/>
      <c r="U522" s="136"/>
      <c r="V522" s="136"/>
      <c r="W522" s="137"/>
      <c r="X522" s="137"/>
      <c r="Y522" s="136"/>
      <c r="Z522" s="136"/>
      <c r="AA522" s="137"/>
      <c r="AB522" s="137"/>
      <c r="AC522" s="137"/>
      <c r="AD522" s="137"/>
      <c r="AE522" s="136"/>
      <c r="AF522" s="136"/>
      <c r="AG522" s="137"/>
      <c r="AH522" s="137"/>
      <c r="AI522" s="136"/>
      <c r="AJ522" s="136"/>
      <c r="AK522" s="137"/>
      <c r="AL522" s="137"/>
      <c r="AM522" s="138"/>
      <c r="AN522" s="138"/>
      <c r="AO522" s="138"/>
      <c r="AP522" s="138"/>
      <c r="AQ522" s="7"/>
      <c r="AR522" s="7"/>
      <c r="AS522" s="7"/>
      <c r="AT522" s="136"/>
      <c r="AU522" s="136"/>
      <c r="AV522" s="136"/>
      <c r="AW522" s="136"/>
      <c r="AX522" s="137"/>
      <c r="AY522" s="137"/>
      <c r="AZ522" s="137"/>
      <c r="BA522" s="137"/>
      <c r="BB522" s="137"/>
      <c r="BC522" s="137"/>
    </row>
    <row r="523" spans="12:55" ht="14.25" customHeight="1">
      <c r="L523" s="136"/>
      <c r="M523" s="136"/>
      <c r="N523" s="136"/>
      <c r="O523" s="136"/>
      <c r="P523" s="137"/>
      <c r="Q523" s="138"/>
      <c r="R523" s="138"/>
      <c r="S523" s="138"/>
      <c r="T523" s="138"/>
      <c r="U523" s="136"/>
      <c r="V523" s="136"/>
      <c r="W523" s="137"/>
      <c r="X523" s="137"/>
      <c r="Y523" s="136"/>
      <c r="Z523" s="136"/>
      <c r="AA523" s="137"/>
      <c r="AB523" s="137"/>
      <c r="AC523" s="137"/>
      <c r="AD523" s="137"/>
      <c r="AE523" s="136"/>
      <c r="AF523" s="136"/>
      <c r="AG523" s="137"/>
      <c r="AH523" s="137"/>
      <c r="AI523" s="136"/>
      <c r="AJ523" s="136"/>
      <c r="AK523" s="137"/>
      <c r="AL523" s="137"/>
      <c r="AM523" s="138"/>
      <c r="AN523" s="138"/>
      <c r="AO523" s="138"/>
      <c r="AP523" s="138"/>
      <c r="AQ523" s="7"/>
      <c r="AR523" s="7"/>
      <c r="AS523" s="7"/>
      <c r="AT523" s="99"/>
      <c r="AU523" s="99"/>
      <c r="AV523" s="99"/>
      <c r="AW523" s="99"/>
      <c r="AX523" s="100"/>
      <c r="AY523" s="100"/>
      <c r="AZ523" s="100"/>
      <c r="BA523" s="97"/>
      <c r="BB523" s="97"/>
      <c r="BC523" s="97"/>
    </row>
    <row r="524" spans="12:55" ht="14.25" customHeight="1">
      <c r="L524" s="136"/>
      <c r="M524" s="136"/>
      <c r="N524" s="136"/>
      <c r="O524" s="136"/>
      <c r="P524" s="137"/>
      <c r="Q524" s="138"/>
      <c r="R524" s="138"/>
      <c r="S524" s="138"/>
      <c r="T524" s="138"/>
      <c r="U524" s="49"/>
      <c r="V524" s="49"/>
      <c r="W524" s="49"/>
      <c r="X524" s="136"/>
      <c r="Y524" s="136"/>
      <c r="Z524" s="136"/>
      <c r="AA524" s="136"/>
      <c r="AB524" s="137"/>
      <c r="AC524" s="137"/>
      <c r="AD524" s="137"/>
      <c r="AE524" s="136"/>
      <c r="AF524" s="136"/>
      <c r="AG524" s="136"/>
      <c r="AH524" s="136"/>
      <c r="AI524" s="137"/>
      <c r="AJ524" s="137"/>
      <c r="AK524" s="137"/>
      <c r="AL524" s="49"/>
      <c r="AM524" s="138"/>
      <c r="AN524" s="138"/>
      <c r="AO524" s="138"/>
      <c r="AP524" s="138"/>
      <c r="AQ524" s="7"/>
      <c r="AR524" s="7"/>
      <c r="AS524" s="7"/>
      <c r="AT524" s="99"/>
      <c r="AU524" s="99"/>
      <c r="AV524" s="99"/>
      <c r="AW524" s="99"/>
      <c r="AX524" s="100"/>
      <c r="AY524" s="100"/>
      <c r="AZ524" s="100"/>
      <c r="BA524" s="97"/>
      <c r="BB524" s="97"/>
      <c r="BC524" s="97"/>
    </row>
    <row r="525" spans="12:55" ht="14.25" customHeight="1">
      <c r="L525" s="136"/>
      <c r="M525" s="136"/>
      <c r="N525" s="136"/>
      <c r="O525" s="136"/>
      <c r="P525" s="137"/>
      <c r="Q525" s="138"/>
      <c r="R525" s="138"/>
      <c r="S525" s="138"/>
      <c r="T525" s="138"/>
      <c r="U525" s="7"/>
      <c r="V525" s="7"/>
      <c r="W525" s="7"/>
      <c r="X525" s="136"/>
      <c r="Y525" s="136"/>
      <c r="Z525" s="136"/>
      <c r="AA525" s="136"/>
      <c r="AB525" s="137"/>
      <c r="AC525" s="137"/>
      <c r="AD525" s="137"/>
      <c r="AE525" s="136"/>
      <c r="AF525" s="136"/>
      <c r="AG525" s="136"/>
      <c r="AH525" s="136"/>
      <c r="AI525" s="137"/>
      <c r="AJ525" s="137"/>
      <c r="AK525" s="137"/>
      <c r="AL525" s="7"/>
      <c r="AM525" s="138"/>
      <c r="AN525" s="138"/>
      <c r="AO525" s="138"/>
      <c r="AP525" s="138"/>
      <c r="AQ525" s="7"/>
      <c r="AR525" s="7"/>
      <c r="AS525" s="7"/>
      <c r="AT525" s="99"/>
      <c r="AU525" s="99"/>
      <c r="AV525" s="99"/>
      <c r="AW525" s="99"/>
      <c r="AX525" s="100"/>
      <c r="AY525" s="100"/>
      <c r="AZ525" s="100"/>
      <c r="BA525" s="97"/>
      <c r="BB525" s="97"/>
      <c r="BC525" s="97"/>
    </row>
    <row r="526" spans="12:55" ht="14.25" customHeight="1">
      <c r="L526" s="136"/>
      <c r="M526" s="136"/>
      <c r="N526" s="136"/>
      <c r="O526" s="136"/>
      <c r="P526" s="137"/>
      <c r="Q526" s="138"/>
      <c r="R526" s="138"/>
      <c r="S526" s="138"/>
      <c r="T526" s="138"/>
      <c r="U526" s="7"/>
      <c r="V526" s="7"/>
      <c r="W526" s="7"/>
      <c r="X526" s="136"/>
      <c r="Y526" s="136"/>
      <c r="Z526" s="136"/>
      <c r="AA526" s="136"/>
      <c r="AB526" s="137"/>
      <c r="AC526" s="137"/>
      <c r="AD526" s="137"/>
      <c r="AE526" s="136"/>
      <c r="AF526" s="136"/>
      <c r="AG526" s="136"/>
      <c r="AH526" s="136"/>
      <c r="AI526" s="137"/>
      <c r="AJ526" s="137"/>
      <c r="AK526" s="137"/>
      <c r="AL526" s="7"/>
      <c r="AM526" s="138"/>
      <c r="AN526" s="138"/>
      <c r="AO526" s="138"/>
      <c r="AP526" s="138"/>
      <c r="AQ526" s="7"/>
      <c r="AR526" s="7"/>
      <c r="AS526" s="7"/>
      <c r="AT526" s="99"/>
      <c r="AU526" s="99"/>
      <c r="AV526" s="99"/>
      <c r="AW526" s="99"/>
      <c r="AX526" s="100"/>
      <c r="AY526" s="100"/>
      <c r="AZ526" s="100"/>
      <c r="BA526" s="97"/>
      <c r="BB526" s="97"/>
      <c r="BC526" s="97"/>
    </row>
    <row r="527" spans="12:55" ht="30.9" customHeight="1">
      <c r="L527" s="139"/>
      <c r="M527" s="139"/>
      <c r="N527" s="139"/>
      <c r="O527" s="140"/>
      <c r="P527" s="140"/>
      <c r="Q527" s="137"/>
      <c r="R527" s="137"/>
      <c r="S527" s="137"/>
      <c r="T527" s="137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  <c r="AH527" s="122"/>
      <c r="AI527" s="122"/>
      <c r="AJ527" s="122"/>
      <c r="AK527" s="122"/>
      <c r="AL527" s="122"/>
      <c r="AM527" s="122"/>
      <c r="AN527" s="122"/>
      <c r="AO527" s="122"/>
      <c r="AP527" s="122"/>
      <c r="AQ527" s="122"/>
      <c r="AR527" s="122"/>
      <c r="AS527" s="122"/>
      <c r="AT527" s="122"/>
      <c r="AU527" s="122"/>
      <c r="AV527" s="122"/>
      <c r="AW527" s="122"/>
      <c r="AX527" s="122"/>
      <c r="AY527" s="122"/>
      <c r="AZ527" s="122"/>
      <c r="BA527" s="122"/>
      <c r="BB527" s="122"/>
      <c r="BC527" s="122"/>
    </row>
    <row r="528" spans="12:55" ht="30.9" customHeight="1">
      <c r="L528" s="139"/>
      <c r="M528" s="139"/>
      <c r="N528" s="139"/>
      <c r="O528" s="140"/>
      <c r="P528" s="140"/>
      <c r="Q528" s="137"/>
      <c r="R528" s="137"/>
      <c r="S528" s="137"/>
      <c r="T528" s="137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  <c r="AH528" s="122"/>
      <c r="AI528" s="122"/>
      <c r="AJ528" s="122"/>
      <c r="AK528" s="122"/>
      <c r="AL528" s="122"/>
      <c r="AM528" s="122"/>
      <c r="AN528" s="122"/>
      <c r="AO528" s="122"/>
      <c r="AP528" s="122"/>
      <c r="AQ528" s="122"/>
      <c r="AR528" s="122"/>
      <c r="AS528" s="122"/>
      <c r="AT528" s="122"/>
      <c r="AU528" s="122"/>
      <c r="AV528" s="122"/>
      <c r="AW528" s="122"/>
      <c r="AX528" s="122"/>
      <c r="AY528" s="122"/>
      <c r="AZ528" s="122"/>
      <c r="BA528" s="122"/>
      <c r="BB528" s="122"/>
      <c r="BC528" s="122"/>
    </row>
    <row r="529" spans="12:60" ht="14.25" customHeight="1">
      <c r="L529" s="136"/>
      <c r="M529" s="136"/>
      <c r="N529" s="136"/>
      <c r="O529" s="136"/>
      <c r="P529" s="137"/>
      <c r="Q529" s="138"/>
      <c r="R529" s="138"/>
      <c r="S529" s="138"/>
      <c r="T529" s="138"/>
      <c r="U529" s="136"/>
      <c r="V529" s="136"/>
      <c r="W529" s="135"/>
      <c r="X529" s="135"/>
      <c r="Y529" s="136"/>
      <c r="Z529" s="136"/>
      <c r="AA529" s="135"/>
      <c r="AB529" s="135"/>
      <c r="AC529" s="135"/>
      <c r="AD529" s="135"/>
      <c r="AE529" s="136"/>
      <c r="AF529" s="136"/>
      <c r="AG529" s="135"/>
      <c r="AH529" s="135"/>
      <c r="AI529" s="136"/>
      <c r="AJ529" s="136"/>
      <c r="AK529" s="135"/>
      <c r="AL529" s="135"/>
      <c r="AM529" s="134"/>
      <c r="AN529" s="135"/>
      <c r="AO529" s="135"/>
      <c r="AP529" s="135"/>
      <c r="AQ529" s="7"/>
      <c r="AR529" s="7"/>
      <c r="AS529" s="7"/>
      <c r="AT529" s="136"/>
      <c r="AU529" s="136"/>
      <c r="AV529" s="136"/>
      <c r="AW529" s="136"/>
      <c r="AX529" s="135"/>
      <c r="AY529" s="135"/>
      <c r="AZ529" s="135"/>
      <c r="BA529" s="135"/>
      <c r="BB529" s="135"/>
      <c r="BC529" s="135"/>
    </row>
    <row r="530" spans="12:60" ht="14.25" customHeight="1">
      <c r="L530" s="136"/>
      <c r="M530" s="136"/>
      <c r="N530" s="136"/>
      <c r="O530" s="136"/>
      <c r="P530" s="137"/>
      <c r="Q530" s="138"/>
      <c r="R530" s="138"/>
      <c r="S530" s="138"/>
      <c r="T530" s="138"/>
      <c r="U530" s="136"/>
      <c r="V530" s="136"/>
      <c r="W530" s="135"/>
      <c r="X530" s="135"/>
      <c r="Y530" s="136"/>
      <c r="Z530" s="136"/>
      <c r="AA530" s="135"/>
      <c r="AB530" s="135"/>
      <c r="AC530" s="135"/>
      <c r="AD530" s="135"/>
      <c r="AE530" s="136"/>
      <c r="AF530" s="136"/>
      <c r="AG530" s="135"/>
      <c r="AH530" s="135"/>
      <c r="AI530" s="136"/>
      <c r="AJ530" s="136"/>
      <c r="AK530" s="135"/>
      <c r="AL530" s="135"/>
      <c r="AM530" s="135"/>
      <c r="AN530" s="135"/>
      <c r="AO530" s="135"/>
      <c r="AP530" s="135"/>
      <c r="AQ530" s="7"/>
      <c r="AR530" s="7"/>
      <c r="AS530" s="7"/>
      <c r="AT530" s="136"/>
      <c r="AU530" s="136"/>
      <c r="AV530" s="136"/>
      <c r="AW530" s="136"/>
      <c r="AX530" s="135"/>
      <c r="AY530" s="135"/>
      <c r="AZ530" s="135"/>
      <c r="BA530" s="135"/>
      <c r="BB530" s="135"/>
      <c r="BC530" s="135"/>
    </row>
    <row r="531" spans="12:60" ht="14.25" customHeight="1">
      <c r="L531" s="136"/>
      <c r="M531" s="136"/>
      <c r="N531" s="136"/>
      <c r="O531" s="136"/>
      <c r="P531" s="137"/>
      <c r="Q531" s="138"/>
      <c r="R531" s="138"/>
      <c r="S531" s="138"/>
      <c r="T531" s="138"/>
      <c r="U531" s="136"/>
      <c r="V531" s="136"/>
      <c r="W531" s="135"/>
      <c r="X531" s="135"/>
      <c r="Y531" s="136"/>
      <c r="Z531" s="136"/>
      <c r="AA531" s="135"/>
      <c r="AB531" s="135"/>
      <c r="AC531" s="135"/>
      <c r="AD531" s="135"/>
      <c r="AE531" s="136"/>
      <c r="AF531" s="136"/>
      <c r="AG531" s="135"/>
      <c r="AH531" s="135"/>
      <c r="AI531" s="136"/>
      <c r="AJ531" s="136"/>
      <c r="AK531" s="135"/>
      <c r="AL531" s="135"/>
      <c r="AM531" s="134"/>
      <c r="AN531" s="135"/>
      <c r="AO531" s="135"/>
      <c r="AP531" s="135"/>
      <c r="AQ531" s="7"/>
      <c r="AR531" s="7"/>
      <c r="AS531" s="7"/>
      <c r="AT531" s="99"/>
      <c r="AU531" s="99"/>
      <c r="AV531" s="99"/>
      <c r="AW531" s="99"/>
      <c r="AX531" s="100"/>
      <c r="AY531" s="100"/>
      <c r="AZ531" s="100"/>
      <c r="BA531" s="100"/>
      <c r="BB531" s="100"/>
      <c r="BC531" s="100"/>
    </row>
    <row r="532" spans="12:60" ht="14.25" customHeight="1">
      <c r="L532" s="136"/>
      <c r="M532" s="136"/>
      <c r="N532" s="136"/>
      <c r="O532" s="136"/>
      <c r="P532" s="137"/>
      <c r="Q532" s="138"/>
      <c r="R532" s="138"/>
      <c r="S532" s="138"/>
      <c r="T532" s="138"/>
      <c r="U532" s="49"/>
      <c r="V532" s="49"/>
      <c r="W532" s="49"/>
      <c r="X532" s="136"/>
      <c r="Y532" s="136"/>
      <c r="Z532" s="136"/>
      <c r="AA532" s="136"/>
      <c r="AB532" s="135"/>
      <c r="AC532" s="135"/>
      <c r="AD532" s="135"/>
      <c r="AE532" s="136"/>
      <c r="AF532" s="136"/>
      <c r="AG532" s="136"/>
      <c r="AH532" s="136"/>
      <c r="AI532" s="135"/>
      <c r="AJ532" s="135"/>
      <c r="AK532" s="135"/>
      <c r="AL532" s="49"/>
      <c r="AM532" s="135"/>
      <c r="AN532" s="135"/>
      <c r="AO532" s="135"/>
      <c r="AP532" s="135"/>
      <c r="AQ532" s="7"/>
      <c r="AR532" s="7"/>
      <c r="AS532" s="7"/>
      <c r="AT532" s="99"/>
      <c r="AU532" s="99"/>
      <c r="AV532" s="99"/>
      <c r="AW532" s="99"/>
      <c r="AX532" s="100"/>
      <c r="AY532" s="100"/>
      <c r="AZ532" s="100"/>
      <c r="BA532" s="100"/>
      <c r="BB532" s="100"/>
      <c r="BC532" s="100"/>
    </row>
    <row r="533" spans="12:60" ht="14.25" customHeight="1">
      <c r="L533" s="136"/>
      <c r="M533" s="136"/>
      <c r="N533" s="136"/>
      <c r="O533" s="136"/>
      <c r="P533" s="137"/>
      <c r="Q533" s="138"/>
      <c r="R533" s="138"/>
      <c r="S533" s="138"/>
      <c r="T533" s="138"/>
      <c r="U533" s="7"/>
      <c r="V533" s="7"/>
      <c r="W533" s="7"/>
      <c r="X533" s="136"/>
      <c r="Y533" s="136"/>
      <c r="Z533" s="136"/>
      <c r="AA533" s="136"/>
      <c r="AB533" s="135"/>
      <c r="AC533" s="135"/>
      <c r="AD533" s="135"/>
      <c r="AE533" s="136"/>
      <c r="AF533" s="136"/>
      <c r="AG533" s="136"/>
      <c r="AH533" s="136"/>
      <c r="AI533" s="135"/>
      <c r="AJ533" s="135"/>
      <c r="AK533" s="135"/>
      <c r="AL533" s="7"/>
      <c r="AM533" s="134"/>
      <c r="AN533" s="135"/>
      <c r="AO533" s="135"/>
      <c r="AP533" s="135"/>
      <c r="AQ533" s="7"/>
      <c r="AR533" s="7"/>
      <c r="AS533" s="7"/>
      <c r="AT533" s="99"/>
      <c r="AU533" s="99"/>
      <c r="AV533" s="99"/>
      <c r="AW533" s="99"/>
      <c r="AX533" s="100"/>
      <c r="AY533" s="100"/>
      <c r="AZ533" s="100"/>
      <c r="BA533" s="100"/>
      <c r="BB533" s="100"/>
      <c r="BC533" s="100"/>
    </row>
    <row r="534" spans="12:60" ht="14.25" customHeight="1">
      <c r="L534" s="136"/>
      <c r="M534" s="136"/>
      <c r="N534" s="136"/>
      <c r="O534" s="136"/>
      <c r="P534" s="137"/>
      <c r="Q534" s="138"/>
      <c r="R534" s="138"/>
      <c r="S534" s="138"/>
      <c r="T534" s="138"/>
      <c r="U534" s="7"/>
      <c r="V534" s="7"/>
      <c r="W534" s="7"/>
      <c r="X534" s="136"/>
      <c r="Y534" s="136"/>
      <c r="Z534" s="136"/>
      <c r="AA534" s="136"/>
      <c r="AB534" s="135"/>
      <c r="AC534" s="135"/>
      <c r="AD534" s="135"/>
      <c r="AE534" s="136"/>
      <c r="AF534" s="136"/>
      <c r="AG534" s="136"/>
      <c r="AH534" s="136"/>
      <c r="AI534" s="135"/>
      <c r="AJ534" s="135"/>
      <c r="AK534" s="135"/>
      <c r="AL534" s="7"/>
      <c r="AM534" s="135"/>
      <c r="AN534" s="135"/>
      <c r="AO534" s="135"/>
      <c r="AP534" s="135"/>
      <c r="AQ534" s="7"/>
      <c r="AR534" s="7"/>
      <c r="AS534" s="7"/>
      <c r="AT534" s="99"/>
      <c r="AU534" s="99"/>
      <c r="AV534" s="99"/>
      <c r="AW534" s="99"/>
      <c r="AX534" s="100"/>
      <c r="AY534" s="100"/>
      <c r="AZ534" s="100"/>
      <c r="BA534" s="100"/>
      <c r="BB534" s="100"/>
      <c r="BC534" s="100"/>
    </row>
    <row r="535" spans="12:60" ht="30.9" customHeight="1">
      <c r="L535" s="139"/>
      <c r="M535" s="139"/>
      <c r="N535" s="139"/>
      <c r="O535" s="140"/>
      <c r="P535" s="140"/>
      <c r="Q535" s="137"/>
      <c r="R535" s="137"/>
      <c r="S535" s="137"/>
      <c r="T535" s="137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  <c r="AH535" s="122"/>
      <c r="AI535" s="122"/>
      <c r="AJ535" s="122"/>
      <c r="AK535" s="122"/>
      <c r="AL535" s="122"/>
      <c r="AM535" s="122"/>
      <c r="AN535" s="122"/>
      <c r="AO535" s="122"/>
      <c r="AP535" s="122"/>
      <c r="AQ535" s="122"/>
      <c r="AR535" s="122"/>
      <c r="AS535" s="122"/>
      <c r="AT535" s="122"/>
      <c r="AU535" s="122"/>
      <c r="AV535" s="122"/>
      <c r="AW535" s="122"/>
      <c r="AX535" s="122"/>
      <c r="AY535" s="122"/>
      <c r="AZ535" s="122"/>
      <c r="BA535" s="122"/>
      <c r="BB535" s="122"/>
      <c r="BC535" s="122"/>
    </row>
    <row r="536" spans="12:60" ht="30.9" customHeight="1">
      <c r="L536" s="139"/>
      <c r="M536" s="139"/>
      <c r="N536" s="139"/>
      <c r="O536" s="140"/>
      <c r="P536" s="140"/>
      <c r="Q536" s="137"/>
      <c r="R536" s="137"/>
      <c r="S536" s="137"/>
      <c r="T536" s="137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  <c r="AH536" s="122"/>
      <c r="AI536" s="122"/>
      <c r="AJ536" s="122"/>
      <c r="AK536" s="122"/>
      <c r="AL536" s="122"/>
      <c r="AM536" s="122"/>
      <c r="AN536" s="122"/>
      <c r="AO536" s="122"/>
      <c r="AP536" s="122"/>
      <c r="AQ536" s="122"/>
      <c r="AR536" s="122"/>
      <c r="AS536" s="122"/>
      <c r="AT536" s="122"/>
      <c r="AU536" s="122"/>
      <c r="AV536" s="122"/>
      <c r="AW536" s="122"/>
      <c r="AX536" s="122"/>
      <c r="AY536" s="122"/>
      <c r="AZ536" s="122"/>
      <c r="BA536" s="122"/>
      <c r="BB536" s="122"/>
      <c r="BC536" s="122"/>
    </row>
    <row r="538" spans="12:60" ht="15" customHeight="1">
      <c r="L538" s="5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17"/>
      <c r="AF538" s="17"/>
      <c r="AG538" s="17"/>
      <c r="AH538" s="17"/>
      <c r="AI538" s="17"/>
      <c r="AJ538" s="17"/>
      <c r="AK538" s="17"/>
      <c r="AL538" s="17"/>
      <c r="AM538" s="17"/>
      <c r="AN538" s="17"/>
      <c r="AO538" s="17"/>
      <c r="AP538" s="17"/>
      <c r="AQ538" s="17"/>
      <c r="AR538" s="17"/>
      <c r="AS538" s="17"/>
      <c r="AT538" s="17"/>
      <c r="AU538" s="17"/>
      <c r="AV538" s="17"/>
      <c r="AW538" s="17"/>
      <c r="AX538" s="17"/>
      <c r="AY538" s="17"/>
      <c r="AZ538" s="17"/>
      <c r="BA538" s="75"/>
      <c r="BB538" s="17"/>
      <c r="BC538" s="17"/>
    </row>
    <row r="539" spans="12:60" ht="22.5" customHeight="1">
      <c r="L539" s="91"/>
      <c r="M539" s="91"/>
      <c r="N539" s="91"/>
      <c r="O539" s="91"/>
      <c r="P539" s="91"/>
      <c r="Q539" s="91"/>
      <c r="R539" s="91"/>
      <c r="S539" s="91"/>
      <c r="T539" s="91"/>
      <c r="U539" s="91"/>
      <c r="V539" s="91"/>
      <c r="W539" s="91"/>
      <c r="X539" s="91"/>
      <c r="Y539" s="91"/>
      <c r="Z539" s="91"/>
      <c r="AA539" s="91"/>
      <c r="AB539" s="91"/>
      <c r="AC539" s="91"/>
      <c r="AD539" s="91"/>
      <c r="AE539" s="18"/>
      <c r="AF539" s="18"/>
      <c r="AG539" s="18"/>
      <c r="AH539" s="18"/>
      <c r="AI539" s="18"/>
      <c r="AJ539" s="18"/>
      <c r="AK539" s="18"/>
      <c r="AL539" s="18"/>
      <c r="AM539" s="18"/>
      <c r="AN539" s="18"/>
      <c r="AO539" s="18"/>
      <c r="AP539" s="18"/>
      <c r="AQ539" s="18"/>
      <c r="AR539" s="18"/>
      <c r="AS539" s="18"/>
      <c r="AT539" s="18"/>
      <c r="AU539" s="18"/>
      <c r="AV539" s="18"/>
      <c r="AW539" s="18"/>
      <c r="AX539" s="18"/>
      <c r="AY539" s="18"/>
      <c r="AZ539" s="18"/>
      <c r="BA539" s="18"/>
      <c r="BB539" s="18"/>
      <c r="BC539" s="18"/>
    </row>
    <row r="540" spans="12:60" ht="22.5" customHeight="1">
      <c r="L540" s="51"/>
      <c r="M540" s="91"/>
      <c r="N540" s="94"/>
      <c r="O540" s="94"/>
      <c r="P540" s="94"/>
      <c r="Q540" s="91"/>
      <c r="R540" s="117"/>
      <c r="S540" s="117"/>
      <c r="T540" s="117"/>
      <c r="U540" s="117"/>
      <c r="V540" s="117"/>
      <c r="W540" s="117"/>
      <c r="X540" s="117"/>
      <c r="Y540" s="117"/>
      <c r="Z540" s="117"/>
      <c r="AA540" s="117"/>
      <c r="AB540" s="117"/>
      <c r="AC540" s="117"/>
      <c r="AD540" s="117"/>
      <c r="AE540" s="117"/>
      <c r="AF540" s="117"/>
      <c r="AG540" s="117"/>
      <c r="AH540" s="117"/>
      <c r="AI540" s="117"/>
      <c r="AJ540" s="51"/>
      <c r="AK540" s="91"/>
      <c r="AL540" s="94"/>
      <c r="AM540" s="94"/>
      <c r="AN540" s="94"/>
      <c r="AO540" s="94"/>
      <c r="AP540" s="94"/>
      <c r="AQ540" s="91"/>
      <c r="AR540" s="94"/>
      <c r="AS540" s="94"/>
      <c r="AT540" s="94"/>
      <c r="AU540" s="94"/>
      <c r="AV540" s="94"/>
      <c r="AW540" s="94"/>
      <c r="AX540" s="94"/>
      <c r="AY540" s="94"/>
      <c r="AZ540" s="94"/>
      <c r="BA540" s="94"/>
      <c r="BB540" s="94"/>
      <c r="BC540" s="94"/>
    </row>
    <row r="541" spans="12:60" ht="21.75" customHeight="1">
      <c r="L541" s="41"/>
      <c r="M541" s="94"/>
      <c r="N541" s="94"/>
      <c r="O541" s="94"/>
      <c r="P541" s="94"/>
      <c r="Q541" s="117"/>
      <c r="R541" s="117"/>
      <c r="S541" s="117"/>
      <c r="T541" s="117"/>
      <c r="U541" s="117"/>
      <c r="V541" s="117"/>
      <c r="W541" s="117"/>
      <c r="X541" s="117"/>
      <c r="Y541" s="117"/>
      <c r="Z541" s="117"/>
      <c r="AA541" s="117"/>
      <c r="AB541" s="117"/>
      <c r="AC541" s="117"/>
      <c r="AD541" s="117"/>
      <c r="AE541" s="117"/>
      <c r="AF541" s="117"/>
      <c r="AG541" s="117"/>
      <c r="AH541" s="117"/>
      <c r="AI541" s="117"/>
      <c r="AJ541" s="41"/>
      <c r="AK541" s="94"/>
      <c r="AL541" s="94"/>
      <c r="AM541" s="94"/>
      <c r="AN541" s="94"/>
      <c r="AO541" s="94"/>
      <c r="AP541" s="94"/>
      <c r="AQ541" s="94"/>
      <c r="AR541" s="94"/>
      <c r="AS541" s="94"/>
      <c r="AT541" s="94"/>
      <c r="AU541" s="94"/>
      <c r="AV541" s="94"/>
      <c r="AW541" s="94"/>
      <c r="AX541" s="94"/>
      <c r="AY541" s="94"/>
      <c r="AZ541" s="94"/>
      <c r="BA541" s="94"/>
      <c r="BB541" s="94"/>
      <c r="BC541" s="94"/>
    </row>
    <row r="542" spans="12:60" ht="14.4">
      <c r="L542" s="52"/>
      <c r="M542" s="96"/>
      <c r="N542" s="96"/>
      <c r="O542" s="96"/>
      <c r="P542" s="96"/>
      <c r="Q542" s="60"/>
      <c r="R542" s="96"/>
      <c r="S542" s="96"/>
      <c r="T542" s="96"/>
      <c r="U542" s="96"/>
      <c r="V542" s="96"/>
      <c r="W542" s="96"/>
      <c r="X542" s="96"/>
      <c r="Y542" s="96"/>
      <c r="Z542" s="96"/>
      <c r="AA542" s="96"/>
      <c r="AB542" s="96"/>
      <c r="AC542" s="96"/>
      <c r="AD542" s="96"/>
      <c r="AE542" s="96"/>
      <c r="AF542" s="96"/>
      <c r="AG542" s="96"/>
      <c r="AH542" s="96"/>
      <c r="AI542" s="96"/>
      <c r="AJ542" s="96"/>
      <c r="AK542" s="96"/>
      <c r="AL542" s="96"/>
      <c r="AM542" s="96"/>
      <c r="AN542" s="96"/>
      <c r="AO542" s="96"/>
      <c r="AP542" s="96"/>
      <c r="AQ542" s="96"/>
      <c r="AR542" s="96"/>
      <c r="AS542" s="96"/>
      <c r="AT542" s="96"/>
      <c r="AU542" s="96"/>
      <c r="AV542" s="96"/>
      <c r="AW542" s="96"/>
      <c r="AX542" s="96"/>
      <c r="AY542" s="96"/>
      <c r="AZ542" s="96"/>
      <c r="BA542" s="96"/>
      <c r="BB542" s="96"/>
      <c r="BC542" s="96"/>
      <c r="BD542" s="20"/>
      <c r="BE542" s="20"/>
      <c r="BF542" s="20"/>
      <c r="BG542" s="20"/>
      <c r="BH542" s="20"/>
    </row>
    <row r="543" spans="12:60" ht="14.4">
      <c r="L543" s="54"/>
      <c r="M543" s="96"/>
      <c r="N543" s="96"/>
      <c r="O543" s="96"/>
      <c r="P543" s="96"/>
      <c r="Q543" s="61"/>
      <c r="R543" s="96"/>
      <c r="S543" s="96"/>
      <c r="T543" s="96"/>
      <c r="U543" s="96"/>
      <c r="V543" s="96"/>
      <c r="W543" s="96"/>
      <c r="X543" s="96"/>
      <c r="Y543" s="96"/>
      <c r="Z543" s="96"/>
      <c r="AA543" s="96"/>
      <c r="AB543" s="96"/>
      <c r="AC543" s="96"/>
      <c r="AD543" s="96"/>
      <c r="AE543" s="96"/>
      <c r="AF543" s="96"/>
      <c r="AG543" s="96"/>
      <c r="AH543" s="96"/>
      <c r="AI543" s="96"/>
      <c r="AJ543" s="96"/>
      <c r="AK543" s="96"/>
      <c r="AL543" s="96"/>
      <c r="AM543" s="96"/>
      <c r="AN543" s="96"/>
      <c r="AO543" s="96"/>
      <c r="AP543" s="96"/>
      <c r="AQ543" s="96"/>
      <c r="AR543" s="96"/>
      <c r="AS543" s="96"/>
      <c r="AT543" s="96"/>
      <c r="AU543" s="96"/>
      <c r="AV543" s="96"/>
      <c r="AW543" s="96"/>
      <c r="AX543" s="96"/>
      <c r="AY543" s="96"/>
      <c r="AZ543" s="96"/>
      <c r="BA543" s="96"/>
      <c r="BB543" s="96"/>
      <c r="BC543" s="96"/>
      <c r="BD543" s="20"/>
      <c r="BE543" s="20"/>
      <c r="BF543" s="20"/>
      <c r="BG543" s="20"/>
      <c r="BH543" s="20"/>
    </row>
    <row r="544" spans="12:60" ht="15" customHeight="1">
      <c r="L544" s="136"/>
      <c r="M544" s="136"/>
      <c r="N544" s="136"/>
      <c r="O544" s="136"/>
      <c r="P544" s="137"/>
      <c r="Q544" s="138"/>
      <c r="R544" s="138"/>
      <c r="S544" s="138"/>
      <c r="T544" s="138"/>
      <c r="U544" s="136"/>
      <c r="V544" s="136"/>
      <c r="W544" s="137"/>
      <c r="X544" s="137"/>
      <c r="Y544" s="136"/>
      <c r="Z544" s="136"/>
      <c r="AA544" s="137"/>
      <c r="AB544" s="137"/>
      <c r="AC544" s="137"/>
      <c r="AD544" s="137"/>
      <c r="AE544" s="136"/>
      <c r="AF544" s="136"/>
      <c r="AG544" s="137"/>
      <c r="AH544" s="137"/>
      <c r="AI544" s="136"/>
      <c r="AJ544" s="136"/>
      <c r="AK544" s="137"/>
      <c r="AL544" s="137"/>
      <c r="AM544" s="138"/>
      <c r="AN544" s="138"/>
      <c r="AO544" s="138"/>
      <c r="AP544" s="138"/>
      <c r="AQ544" s="7"/>
      <c r="AR544" s="7"/>
      <c r="AS544" s="7"/>
      <c r="AT544" s="136"/>
      <c r="AU544" s="136"/>
      <c r="AV544" s="136"/>
      <c r="AW544" s="136"/>
      <c r="AX544" s="137"/>
      <c r="AY544" s="137"/>
      <c r="AZ544" s="137"/>
      <c r="BA544" s="137"/>
      <c r="BB544" s="137"/>
      <c r="BC544" s="137"/>
    </row>
    <row r="545" spans="12:55" ht="14.25" customHeight="1">
      <c r="L545" s="136"/>
      <c r="M545" s="136"/>
      <c r="N545" s="136"/>
      <c r="O545" s="136"/>
      <c r="P545" s="137"/>
      <c r="Q545" s="138"/>
      <c r="R545" s="138"/>
      <c r="S545" s="138"/>
      <c r="T545" s="138"/>
      <c r="U545" s="136"/>
      <c r="V545" s="136"/>
      <c r="W545" s="137"/>
      <c r="X545" s="137"/>
      <c r="Y545" s="136"/>
      <c r="Z545" s="136"/>
      <c r="AA545" s="137"/>
      <c r="AB545" s="137"/>
      <c r="AC545" s="137"/>
      <c r="AD545" s="137"/>
      <c r="AE545" s="136"/>
      <c r="AF545" s="136"/>
      <c r="AG545" s="137"/>
      <c r="AH545" s="137"/>
      <c r="AI545" s="136"/>
      <c r="AJ545" s="136"/>
      <c r="AK545" s="137"/>
      <c r="AL545" s="137"/>
      <c r="AM545" s="138"/>
      <c r="AN545" s="138"/>
      <c r="AO545" s="138"/>
      <c r="AP545" s="138"/>
      <c r="AQ545" s="7"/>
      <c r="AR545" s="7"/>
      <c r="AS545" s="7"/>
      <c r="AT545" s="136"/>
      <c r="AU545" s="136"/>
      <c r="AV545" s="136"/>
      <c r="AW545" s="136"/>
      <c r="AX545" s="137"/>
      <c r="AY545" s="137"/>
      <c r="AZ545" s="137"/>
      <c r="BA545" s="137"/>
      <c r="BB545" s="137"/>
      <c r="BC545" s="137"/>
    </row>
    <row r="546" spans="12:55" ht="14.25" customHeight="1">
      <c r="L546" s="136"/>
      <c r="M546" s="136"/>
      <c r="N546" s="136"/>
      <c r="O546" s="136"/>
      <c r="P546" s="137"/>
      <c r="Q546" s="138"/>
      <c r="R546" s="138"/>
      <c r="S546" s="138"/>
      <c r="T546" s="138"/>
      <c r="U546" s="136"/>
      <c r="V546" s="136"/>
      <c r="W546" s="137"/>
      <c r="X546" s="137"/>
      <c r="Y546" s="136"/>
      <c r="Z546" s="136"/>
      <c r="AA546" s="137"/>
      <c r="AB546" s="137"/>
      <c r="AC546" s="137"/>
      <c r="AD546" s="137"/>
      <c r="AE546" s="136"/>
      <c r="AF546" s="136"/>
      <c r="AG546" s="137"/>
      <c r="AH546" s="137"/>
      <c r="AI546" s="136"/>
      <c r="AJ546" s="136"/>
      <c r="AK546" s="137"/>
      <c r="AL546" s="137"/>
      <c r="AM546" s="138"/>
      <c r="AN546" s="138"/>
      <c r="AO546" s="138"/>
      <c r="AP546" s="138"/>
      <c r="AQ546" s="7"/>
      <c r="AR546" s="7"/>
      <c r="AS546" s="7"/>
      <c r="AT546" s="99"/>
      <c r="AU546" s="99"/>
      <c r="AV546" s="99"/>
      <c r="AW546" s="99"/>
      <c r="AX546" s="100"/>
      <c r="AY546" s="100"/>
      <c r="AZ546" s="100"/>
      <c r="BA546" s="97"/>
      <c r="BB546" s="97"/>
      <c r="BC546" s="97"/>
    </row>
    <row r="547" spans="12:55" ht="14.25" customHeight="1">
      <c r="L547" s="136"/>
      <c r="M547" s="136"/>
      <c r="N547" s="136"/>
      <c r="O547" s="136"/>
      <c r="P547" s="137"/>
      <c r="Q547" s="138"/>
      <c r="R547" s="138"/>
      <c r="S547" s="138"/>
      <c r="T547" s="138"/>
      <c r="U547" s="49"/>
      <c r="V547" s="49"/>
      <c r="W547" s="49"/>
      <c r="X547" s="136"/>
      <c r="Y547" s="136"/>
      <c r="Z547" s="136"/>
      <c r="AA547" s="136"/>
      <c r="AB547" s="137"/>
      <c r="AC547" s="137"/>
      <c r="AD547" s="137"/>
      <c r="AE547" s="136"/>
      <c r="AF547" s="136"/>
      <c r="AG547" s="136"/>
      <c r="AH547" s="136"/>
      <c r="AI547" s="137"/>
      <c r="AJ547" s="137"/>
      <c r="AK547" s="137"/>
      <c r="AL547" s="49"/>
      <c r="AM547" s="138"/>
      <c r="AN547" s="138"/>
      <c r="AO547" s="138"/>
      <c r="AP547" s="138"/>
      <c r="AQ547" s="7"/>
      <c r="AR547" s="7"/>
      <c r="AS547" s="7"/>
      <c r="AT547" s="99"/>
      <c r="AU547" s="99"/>
      <c r="AV547" s="99"/>
      <c r="AW547" s="99"/>
      <c r="AX547" s="100"/>
      <c r="AY547" s="100"/>
      <c r="AZ547" s="100"/>
      <c r="BA547" s="97"/>
      <c r="BB547" s="97"/>
      <c r="BC547" s="97"/>
    </row>
    <row r="548" spans="12:55" ht="14.25" customHeight="1">
      <c r="L548" s="136"/>
      <c r="M548" s="136"/>
      <c r="N548" s="136"/>
      <c r="O548" s="136"/>
      <c r="P548" s="137"/>
      <c r="Q548" s="138"/>
      <c r="R548" s="138"/>
      <c r="S548" s="138"/>
      <c r="T548" s="138"/>
      <c r="U548" s="7"/>
      <c r="V548" s="7"/>
      <c r="W548" s="7"/>
      <c r="X548" s="136"/>
      <c r="Y548" s="136"/>
      <c r="Z548" s="136"/>
      <c r="AA548" s="136"/>
      <c r="AB548" s="137"/>
      <c r="AC548" s="137"/>
      <c r="AD548" s="137"/>
      <c r="AE548" s="136"/>
      <c r="AF548" s="136"/>
      <c r="AG548" s="136"/>
      <c r="AH548" s="136"/>
      <c r="AI548" s="137"/>
      <c r="AJ548" s="137"/>
      <c r="AK548" s="137"/>
      <c r="AL548" s="7"/>
      <c r="AM548" s="138"/>
      <c r="AN548" s="138"/>
      <c r="AO548" s="138"/>
      <c r="AP548" s="138"/>
      <c r="AQ548" s="7"/>
      <c r="AR548" s="7"/>
      <c r="AS548" s="7"/>
      <c r="AT548" s="99"/>
      <c r="AU548" s="99"/>
      <c r="AV548" s="99"/>
      <c r="AW548" s="99"/>
      <c r="AX548" s="100"/>
      <c r="AY548" s="100"/>
      <c r="AZ548" s="100"/>
      <c r="BA548" s="97"/>
      <c r="BB548" s="97"/>
      <c r="BC548" s="97"/>
    </row>
    <row r="549" spans="12:55" ht="14.25" customHeight="1">
      <c r="L549" s="136"/>
      <c r="M549" s="136"/>
      <c r="N549" s="136"/>
      <c r="O549" s="136"/>
      <c r="P549" s="137"/>
      <c r="Q549" s="138"/>
      <c r="R549" s="138"/>
      <c r="S549" s="138"/>
      <c r="T549" s="138"/>
      <c r="U549" s="7"/>
      <c r="V549" s="7"/>
      <c r="W549" s="7"/>
      <c r="X549" s="136"/>
      <c r="Y549" s="136"/>
      <c r="Z549" s="136"/>
      <c r="AA549" s="136"/>
      <c r="AB549" s="137"/>
      <c r="AC549" s="137"/>
      <c r="AD549" s="137"/>
      <c r="AE549" s="136"/>
      <c r="AF549" s="136"/>
      <c r="AG549" s="136"/>
      <c r="AH549" s="136"/>
      <c r="AI549" s="137"/>
      <c r="AJ549" s="137"/>
      <c r="AK549" s="137"/>
      <c r="AL549" s="7"/>
      <c r="AM549" s="138"/>
      <c r="AN549" s="138"/>
      <c r="AO549" s="138"/>
      <c r="AP549" s="138"/>
      <c r="AQ549" s="7"/>
      <c r="AR549" s="7"/>
      <c r="AS549" s="7"/>
      <c r="AT549" s="99"/>
      <c r="AU549" s="99"/>
      <c r="AV549" s="99"/>
      <c r="AW549" s="99"/>
      <c r="AX549" s="100"/>
      <c r="AY549" s="100"/>
      <c r="AZ549" s="100"/>
      <c r="BA549" s="97"/>
      <c r="BB549" s="97"/>
      <c r="BC549" s="97"/>
    </row>
    <row r="550" spans="12:55" ht="30.9" customHeight="1">
      <c r="L550" s="139"/>
      <c r="M550" s="139"/>
      <c r="N550" s="139"/>
      <c r="O550" s="140"/>
      <c r="P550" s="140"/>
      <c r="Q550" s="137"/>
      <c r="R550" s="137"/>
      <c r="S550" s="137"/>
      <c r="T550" s="137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  <c r="AH550" s="122"/>
      <c r="AI550" s="122"/>
      <c r="AJ550" s="122"/>
      <c r="AK550" s="122"/>
      <c r="AL550" s="122"/>
      <c r="AM550" s="122"/>
      <c r="AN550" s="122"/>
      <c r="AO550" s="122"/>
      <c r="AP550" s="122"/>
      <c r="AQ550" s="122"/>
      <c r="AR550" s="122"/>
      <c r="AS550" s="122"/>
      <c r="AT550" s="122"/>
      <c r="AU550" s="122"/>
      <c r="AV550" s="122"/>
      <c r="AW550" s="122"/>
      <c r="AX550" s="122"/>
      <c r="AY550" s="122"/>
      <c r="AZ550" s="122"/>
      <c r="BA550" s="122"/>
      <c r="BB550" s="122"/>
      <c r="BC550" s="122"/>
    </row>
    <row r="551" spans="12:55" ht="30.9" customHeight="1">
      <c r="L551" s="139"/>
      <c r="M551" s="139"/>
      <c r="N551" s="139"/>
      <c r="O551" s="140"/>
      <c r="P551" s="140"/>
      <c r="Q551" s="137"/>
      <c r="R551" s="137"/>
      <c r="S551" s="137"/>
      <c r="T551" s="137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  <c r="AH551" s="122"/>
      <c r="AI551" s="122"/>
      <c r="AJ551" s="122"/>
      <c r="AK551" s="122"/>
      <c r="AL551" s="122"/>
      <c r="AM551" s="122"/>
      <c r="AN551" s="122"/>
      <c r="AO551" s="122"/>
      <c r="AP551" s="122"/>
      <c r="AQ551" s="122"/>
      <c r="AR551" s="122"/>
      <c r="AS551" s="122"/>
      <c r="AT551" s="122"/>
      <c r="AU551" s="122"/>
      <c r="AV551" s="122"/>
      <c r="AW551" s="122"/>
      <c r="AX551" s="122"/>
      <c r="AY551" s="122"/>
      <c r="AZ551" s="122"/>
      <c r="BA551" s="122"/>
      <c r="BB551" s="122"/>
      <c r="BC551" s="122"/>
    </row>
    <row r="552" spans="12:55" ht="15" customHeight="1">
      <c r="L552" s="136"/>
      <c r="M552" s="136"/>
      <c r="N552" s="136"/>
      <c r="O552" s="136"/>
      <c r="P552" s="137"/>
      <c r="Q552" s="138"/>
      <c r="R552" s="138"/>
      <c r="S552" s="138"/>
      <c r="T552" s="138"/>
      <c r="U552" s="136"/>
      <c r="V552" s="136"/>
      <c r="W552" s="137"/>
      <c r="X552" s="137"/>
      <c r="Y552" s="136"/>
      <c r="Z552" s="136"/>
      <c r="AA552" s="137"/>
      <c r="AB552" s="137"/>
      <c r="AC552" s="137"/>
      <c r="AD552" s="137"/>
      <c r="AE552" s="136"/>
      <c r="AF552" s="136"/>
      <c r="AG552" s="137"/>
      <c r="AH552" s="137"/>
      <c r="AI552" s="136"/>
      <c r="AJ552" s="136"/>
      <c r="AK552" s="137"/>
      <c r="AL552" s="137"/>
      <c r="AM552" s="138"/>
      <c r="AN552" s="138"/>
      <c r="AO552" s="138"/>
      <c r="AP552" s="138"/>
      <c r="AQ552" s="7"/>
      <c r="AR552" s="7"/>
      <c r="AS552" s="7"/>
      <c r="AT552" s="136"/>
      <c r="AU552" s="136"/>
      <c r="AV552" s="136"/>
      <c r="AW552" s="136"/>
      <c r="AX552" s="137"/>
      <c r="AY552" s="137"/>
      <c r="AZ552" s="137"/>
      <c r="BA552" s="137"/>
      <c r="BB552" s="137"/>
      <c r="BC552" s="137"/>
    </row>
    <row r="553" spans="12:55" ht="14.25" customHeight="1">
      <c r="L553" s="136"/>
      <c r="M553" s="136"/>
      <c r="N553" s="136"/>
      <c r="O553" s="136"/>
      <c r="P553" s="137"/>
      <c r="Q553" s="138"/>
      <c r="R553" s="138"/>
      <c r="S553" s="138"/>
      <c r="T553" s="138"/>
      <c r="U553" s="136"/>
      <c r="V553" s="136"/>
      <c r="W553" s="137"/>
      <c r="X553" s="137"/>
      <c r="Y553" s="136"/>
      <c r="Z553" s="136"/>
      <c r="AA553" s="137"/>
      <c r="AB553" s="137"/>
      <c r="AC553" s="137"/>
      <c r="AD553" s="137"/>
      <c r="AE553" s="136"/>
      <c r="AF553" s="136"/>
      <c r="AG553" s="137"/>
      <c r="AH553" s="137"/>
      <c r="AI553" s="136"/>
      <c r="AJ553" s="136"/>
      <c r="AK553" s="137"/>
      <c r="AL553" s="137"/>
      <c r="AM553" s="138"/>
      <c r="AN553" s="138"/>
      <c r="AO553" s="138"/>
      <c r="AP553" s="138"/>
      <c r="AQ553" s="7"/>
      <c r="AR553" s="7"/>
      <c r="AS553" s="7"/>
      <c r="AT553" s="136"/>
      <c r="AU553" s="136"/>
      <c r="AV553" s="136"/>
      <c r="AW553" s="136"/>
      <c r="AX553" s="137"/>
      <c r="AY553" s="137"/>
      <c r="AZ553" s="137"/>
      <c r="BA553" s="137"/>
      <c r="BB553" s="137"/>
      <c r="BC553" s="137"/>
    </row>
    <row r="554" spans="12:55" ht="14.25" customHeight="1">
      <c r="L554" s="136"/>
      <c r="M554" s="136"/>
      <c r="N554" s="136"/>
      <c r="O554" s="136"/>
      <c r="P554" s="137"/>
      <c r="Q554" s="138"/>
      <c r="R554" s="138"/>
      <c r="S554" s="138"/>
      <c r="T554" s="138"/>
      <c r="U554" s="136"/>
      <c r="V554" s="136"/>
      <c r="W554" s="137"/>
      <c r="X554" s="137"/>
      <c r="Y554" s="136"/>
      <c r="Z554" s="136"/>
      <c r="AA554" s="137"/>
      <c r="AB554" s="137"/>
      <c r="AC554" s="137"/>
      <c r="AD554" s="137"/>
      <c r="AE554" s="136"/>
      <c r="AF554" s="136"/>
      <c r="AG554" s="137"/>
      <c r="AH554" s="137"/>
      <c r="AI554" s="136"/>
      <c r="AJ554" s="136"/>
      <c r="AK554" s="137"/>
      <c r="AL554" s="137"/>
      <c r="AM554" s="138"/>
      <c r="AN554" s="138"/>
      <c r="AO554" s="138"/>
      <c r="AP554" s="138"/>
      <c r="AQ554" s="7"/>
      <c r="AR554" s="7"/>
      <c r="AS554" s="7"/>
      <c r="AT554" s="99"/>
      <c r="AU554" s="99"/>
      <c r="AV554" s="99"/>
      <c r="AW554" s="99"/>
      <c r="AX554" s="100"/>
      <c r="AY554" s="100"/>
      <c r="AZ554" s="100"/>
      <c r="BA554" s="97"/>
      <c r="BB554" s="97"/>
      <c r="BC554" s="97"/>
    </row>
    <row r="555" spans="12:55" ht="14.25" customHeight="1">
      <c r="L555" s="136"/>
      <c r="M555" s="136"/>
      <c r="N555" s="136"/>
      <c r="O555" s="136"/>
      <c r="P555" s="137"/>
      <c r="Q555" s="138"/>
      <c r="R555" s="138"/>
      <c r="S555" s="138"/>
      <c r="T555" s="138"/>
      <c r="U555" s="49"/>
      <c r="V555" s="49"/>
      <c r="W555" s="49"/>
      <c r="X555" s="136"/>
      <c r="Y555" s="136"/>
      <c r="Z555" s="136"/>
      <c r="AA555" s="136"/>
      <c r="AB555" s="137"/>
      <c r="AC555" s="137"/>
      <c r="AD555" s="137"/>
      <c r="AE555" s="136"/>
      <c r="AF555" s="136"/>
      <c r="AG555" s="136"/>
      <c r="AH555" s="136"/>
      <c r="AI555" s="137"/>
      <c r="AJ555" s="137"/>
      <c r="AK555" s="137"/>
      <c r="AL555" s="49"/>
      <c r="AM555" s="138"/>
      <c r="AN555" s="138"/>
      <c r="AO555" s="138"/>
      <c r="AP555" s="138"/>
      <c r="AQ555" s="7"/>
      <c r="AR555" s="7"/>
      <c r="AS555" s="7"/>
      <c r="AT555" s="99"/>
      <c r="AU555" s="99"/>
      <c r="AV555" s="99"/>
      <c r="AW555" s="99"/>
      <c r="AX555" s="100"/>
      <c r="AY555" s="100"/>
      <c r="AZ555" s="100"/>
      <c r="BA555" s="97"/>
      <c r="BB555" s="97"/>
      <c r="BC555" s="97"/>
    </row>
    <row r="556" spans="12:55" ht="14.25" customHeight="1">
      <c r="L556" s="136"/>
      <c r="M556" s="136"/>
      <c r="N556" s="136"/>
      <c r="O556" s="136"/>
      <c r="P556" s="137"/>
      <c r="Q556" s="138"/>
      <c r="R556" s="138"/>
      <c r="S556" s="138"/>
      <c r="T556" s="138"/>
      <c r="U556" s="7"/>
      <c r="V556" s="7"/>
      <c r="W556" s="7"/>
      <c r="X556" s="136"/>
      <c r="Y556" s="136"/>
      <c r="Z556" s="136"/>
      <c r="AA556" s="136"/>
      <c r="AB556" s="137"/>
      <c r="AC556" s="137"/>
      <c r="AD556" s="137"/>
      <c r="AE556" s="136"/>
      <c r="AF556" s="136"/>
      <c r="AG556" s="136"/>
      <c r="AH556" s="136"/>
      <c r="AI556" s="137"/>
      <c r="AJ556" s="137"/>
      <c r="AK556" s="137"/>
      <c r="AL556" s="7"/>
      <c r="AM556" s="138"/>
      <c r="AN556" s="138"/>
      <c r="AO556" s="138"/>
      <c r="AP556" s="138"/>
      <c r="AQ556" s="7"/>
      <c r="AR556" s="7"/>
      <c r="AS556" s="7"/>
      <c r="AT556" s="99"/>
      <c r="AU556" s="99"/>
      <c r="AV556" s="99"/>
      <c r="AW556" s="99"/>
      <c r="AX556" s="100"/>
      <c r="AY556" s="100"/>
      <c r="AZ556" s="100"/>
      <c r="BA556" s="97"/>
      <c r="BB556" s="97"/>
      <c r="BC556" s="97"/>
    </row>
    <row r="557" spans="12:55" ht="14.25" customHeight="1">
      <c r="L557" s="136"/>
      <c r="M557" s="136"/>
      <c r="N557" s="136"/>
      <c r="O557" s="136"/>
      <c r="P557" s="137"/>
      <c r="Q557" s="138"/>
      <c r="R557" s="138"/>
      <c r="S557" s="138"/>
      <c r="T557" s="138"/>
      <c r="U557" s="7"/>
      <c r="V557" s="7"/>
      <c r="W557" s="7"/>
      <c r="X557" s="136"/>
      <c r="Y557" s="136"/>
      <c r="Z557" s="136"/>
      <c r="AA557" s="136"/>
      <c r="AB557" s="137"/>
      <c r="AC557" s="137"/>
      <c r="AD557" s="137"/>
      <c r="AE557" s="136"/>
      <c r="AF557" s="136"/>
      <c r="AG557" s="136"/>
      <c r="AH557" s="136"/>
      <c r="AI557" s="137"/>
      <c r="AJ557" s="137"/>
      <c r="AK557" s="137"/>
      <c r="AL557" s="7"/>
      <c r="AM557" s="138"/>
      <c r="AN557" s="138"/>
      <c r="AO557" s="138"/>
      <c r="AP557" s="138"/>
      <c r="AQ557" s="7"/>
      <c r="AR557" s="7"/>
      <c r="AS557" s="7"/>
      <c r="AT557" s="99"/>
      <c r="AU557" s="99"/>
      <c r="AV557" s="99"/>
      <c r="AW557" s="99"/>
      <c r="AX557" s="100"/>
      <c r="AY557" s="100"/>
      <c r="AZ557" s="100"/>
      <c r="BA557" s="97"/>
      <c r="BB557" s="97"/>
      <c r="BC557" s="97"/>
    </row>
    <row r="558" spans="12:55" ht="30.9" customHeight="1">
      <c r="L558" s="139"/>
      <c r="M558" s="139"/>
      <c r="N558" s="139"/>
      <c r="O558" s="140"/>
      <c r="P558" s="140"/>
      <c r="Q558" s="137"/>
      <c r="R558" s="137"/>
      <c r="S558" s="137"/>
      <c r="T558" s="137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  <c r="AH558" s="122"/>
      <c r="AI558" s="122"/>
      <c r="AJ558" s="122"/>
      <c r="AK558" s="122"/>
      <c r="AL558" s="122"/>
      <c r="AM558" s="122"/>
      <c r="AN558" s="122"/>
      <c r="AO558" s="122"/>
      <c r="AP558" s="122"/>
      <c r="AQ558" s="122"/>
      <c r="AR558" s="122"/>
      <c r="AS558" s="122"/>
      <c r="AT558" s="122"/>
      <c r="AU558" s="122"/>
      <c r="AV558" s="122"/>
      <c r="AW558" s="122"/>
      <c r="AX558" s="122"/>
      <c r="AY558" s="122"/>
      <c r="AZ558" s="122"/>
      <c r="BA558" s="122"/>
      <c r="BB558" s="122"/>
      <c r="BC558" s="122"/>
    </row>
    <row r="559" spans="12:55" ht="30.9" customHeight="1">
      <c r="L559" s="139"/>
      <c r="M559" s="139"/>
      <c r="N559" s="139"/>
      <c r="O559" s="140"/>
      <c r="P559" s="140"/>
      <c r="Q559" s="137"/>
      <c r="R559" s="137"/>
      <c r="S559" s="137"/>
      <c r="T559" s="137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  <c r="AH559" s="122"/>
      <c r="AI559" s="122"/>
      <c r="AJ559" s="122"/>
      <c r="AK559" s="122"/>
      <c r="AL559" s="122"/>
      <c r="AM559" s="122"/>
      <c r="AN559" s="122"/>
      <c r="AO559" s="122"/>
      <c r="AP559" s="122"/>
      <c r="AQ559" s="122"/>
      <c r="AR559" s="122"/>
      <c r="AS559" s="122"/>
      <c r="AT559" s="122"/>
      <c r="AU559" s="122"/>
      <c r="AV559" s="122"/>
      <c r="AW559" s="122"/>
      <c r="AX559" s="122"/>
      <c r="AY559" s="122"/>
      <c r="AZ559" s="122"/>
      <c r="BA559" s="122"/>
      <c r="BB559" s="122"/>
      <c r="BC559" s="122"/>
    </row>
    <row r="560" spans="12:55" ht="14.25" customHeight="1">
      <c r="L560" s="136"/>
      <c r="M560" s="136"/>
      <c r="N560" s="136"/>
      <c r="O560" s="136"/>
      <c r="P560" s="137"/>
      <c r="Q560" s="138"/>
      <c r="R560" s="138"/>
      <c r="S560" s="138"/>
      <c r="T560" s="138"/>
      <c r="U560" s="136"/>
      <c r="V560" s="136"/>
      <c r="W560" s="137"/>
      <c r="X560" s="137"/>
      <c r="Y560" s="136"/>
      <c r="Z560" s="136"/>
      <c r="AA560" s="137"/>
      <c r="AB560" s="137"/>
      <c r="AC560" s="137"/>
      <c r="AD560" s="137"/>
      <c r="AE560" s="136"/>
      <c r="AF560" s="136"/>
      <c r="AG560" s="137"/>
      <c r="AH560" s="137"/>
      <c r="AI560" s="136"/>
      <c r="AJ560" s="136"/>
      <c r="AK560" s="137"/>
      <c r="AL560" s="137"/>
      <c r="AM560" s="138"/>
      <c r="AN560" s="138"/>
      <c r="AO560" s="138"/>
      <c r="AP560" s="138"/>
      <c r="AQ560" s="7"/>
      <c r="AR560" s="7"/>
      <c r="AS560" s="7"/>
      <c r="AT560" s="136"/>
      <c r="AU560" s="136"/>
      <c r="AV560" s="136"/>
      <c r="AW560" s="136"/>
      <c r="AX560" s="137"/>
      <c r="AY560" s="137"/>
      <c r="AZ560" s="137"/>
      <c r="BA560" s="137"/>
      <c r="BB560" s="137"/>
      <c r="BC560" s="137"/>
    </row>
    <row r="561" spans="12:55" ht="14.25" customHeight="1">
      <c r="L561" s="136"/>
      <c r="M561" s="136"/>
      <c r="N561" s="136"/>
      <c r="O561" s="136"/>
      <c r="P561" s="137"/>
      <c r="Q561" s="138"/>
      <c r="R561" s="138"/>
      <c r="S561" s="138"/>
      <c r="T561" s="138"/>
      <c r="U561" s="136"/>
      <c r="V561" s="136"/>
      <c r="W561" s="137"/>
      <c r="X561" s="137"/>
      <c r="Y561" s="136"/>
      <c r="Z561" s="136"/>
      <c r="AA561" s="137"/>
      <c r="AB561" s="137"/>
      <c r="AC561" s="137"/>
      <c r="AD561" s="137"/>
      <c r="AE561" s="136"/>
      <c r="AF561" s="136"/>
      <c r="AG561" s="137"/>
      <c r="AH561" s="137"/>
      <c r="AI561" s="136"/>
      <c r="AJ561" s="136"/>
      <c r="AK561" s="137"/>
      <c r="AL561" s="137"/>
      <c r="AM561" s="138"/>
      <c r="AN561" s="138"/>
      <c r="AO561" s="138"/>
      <c r="AP561" s="138"/>
      <c r="AQ561" s="7"/>
      <c r="AR561" s="7"/>
      <c r="AS561" s="7"/>
      <c r="AT561" s="136"/>
      <c r="AU561" s="136"/>
      <c r="AV561" s="136"/>
      <c r="AW561" s="136"/>
      <c r="AX561" s="137"/>
      <c r="AY561" s="137"/>
      <c r="AZ561" s="137"/>
      <c r="BA561" s="137"/>
      <c r="BB561" s="137"/>
      <c r="BC561" s="137"/>
    </row>
    <row r="562" spans="12:55" ht="14.25" customHeight="1">
      <c r="L562" s="136"/>
      <c r="M562" s="136"/>
      <c r="N562" s="136"/>
      <c r="O562" s="136"/>
      <c r="P562" s="137"/>
      <c r="Q562" s="138"/>
      <c r="R562" s="138"/>
      <c r="S562" s="138"/>
      <c r="T562" s="138"/>
      <c r="U562" s="136"/>
      <c r="V562" s="136"/>
      <c r="W562" s="137"/>
      <c r="X562" s="137"/>
      <c r="Y562" s="136"/>
      <c r="Z562" s="136"/>
      <c r="AA562" s="137"/>
      <c r="AB562" s="137"/>
      <c r="AC562" s="137"/>
      <c r="AD562" s="137"/>
      <c r="AE562" s="136"/>
      <c r="AF562" s="136"/>
      <c r="AG562" s="137"/>
      <c r="AH562" s="137"/>
      <c r="AI562" s="136"/>
      <c r="AJ562" s="136"/>
      <c r="AK562" s="137"/>
      <c r="AL562" s="137"/>
      <c r="AM562" s="138"/>
      <c r="AN562" s="138"/>
      <c r="AO562" s="138"/>
      <c r="AP562" s="138"/>
      <c r="AQ562" s="7"/>
      <c r="AR562" s="7"/>
      <c r="AS562" s="7"/>
      <c r="AT562" s="99"/>
      <c r="AU562" s="99"/>
      <c r="AV562" s="99"/>
      <c r="AW562" s="99"/>
      <c r="AX562" s="100"/>
      <c r="AY562" s="100"/>
      <c r="AZ562" s="100"/>
      <c r="BA562" s="97"/>
      <c r="BB562" s="97"/>
      <c r="BC562" s="97"/>
    </row>
    <row r="563" spans="12:55" ht="14.25" customHeight="1">
      <c r="L563" s="136"/>
      <c r="M563" s="136"/>
      <c r="N563" s="136"/>
      <c r="O563" s="136"/>
      <c r="P563" s="137"/>
      <c r="Q563" s="138"/>
      <c r="R563" s="138"/>
      <c r="S563" s="138"/>
      <c r="T563" s="138"/>
      <c r="U563" s="49"/>
      <c r="V563" s="49"/>
      <c r="W563" s="49"/>
      <c r="X563" s="136"/>
      <c r="Y563" s="136"/>
      <c r="Z563" s="136"/>
      <c r="AA563" s="136"/>
      <c r="AB563" s="137"/>
      <c r="AC563" s="137"/>
      <c r="AD563" s="137"/>
      <c r="AE563" s="136"/>
      <c r="AF563" s="136"/>
      <c r="AG563" s="136"/>
      <c r="AH563" s="136"/>
      <c r="AI563" s="137"/>
      <c r="AJ563" s="137"/>
      <c r="AK563" s="137"/>
      <c r="AL563" s="49"/>
      <c r="AM563" s="138"/>
      <c r="AN563" s="138"/>
      <c r="AO563" s="138"/>
      <c r="AP563" s="138"/>
      <c r="AQ563" s="7"/>
      <c r="AR563" s="7"/>
      <c r="AS563" s="7"/>
      <c r="AT563" s="99"/>
      <c r="AU563" s="99"/>
      <c r="AV563" s="99"/>
      <c r="AW563" s="99"/>
      <c r="AX563" s="100"/>
      <c r="AY563" s="100"/>
      <c r="AZ563" s="100"/>
      <c r="BA563" s="97"/>
      <c r="BB563" s="97"/>
      <c r="BC563" s="97"/>
    </row>
    <row r="564" spans="12:55" ht="14.25" customHeight="1">
      <c r="L564" s="136"/>
      <c r="M564" s="136"/>
      <c r="N564" s="136"/>
      <c r="O564" s="136"/>
      <c r="P564" s="137"/>
      <c r="Q564" s="138"/>
      <c r="R564" s="138"/>
      <c r="S564" s="138"/>
      <c r="T564" s="138"/>
      <c r="U564" s="7"/>
      <c r="V564" s="7"/>
      <c r="W564" s="7"/>
      <c r="X564" s="136"/>
      <c r="Y564" s="136"/>
      <c r="Z564" s="136"/>
      <c r="AA564" s="136"/>
      <c r="AB564" s="137"/>
      <c r="AC564" s="137"/>
      <c r="AD564" s="137"/>
      <c r="AE564" s="136"/>
      <c r="AF564" s="136"/>
      <c r="AG564" s="136"/>
      <c r="AH564" s="136"/>
      <c r="AI564" s="137"/>
      <c r="AJ564" s="137"/>
      <c r="AK564" s="137"/>
      <c r="AL564" s="7"/>
      <c r="AM564" s="138"/>
      <c r="AN564" s="138"/>
      <c r="AO564" s="138"/>
      <c r="AP564" s="138"/>
      <c r="AQ564" s="7"/>
      <c r="AR564" s="7"/>
      <c r="AS564" s="7"/>
      <c r="AT564" s="99"/>
      <c r="AU564" s="99"/>
      <c r="AV564" s="99"/>
      <c r="AW564" s="99"/>
      <c r="AX564" s="100"/>
      <c r="AY564" s="100"/>
      <c r="AZ564" s="100"/>
      <c r="BA564" s="97"/>
      <c r="BB564" s="97"/>
      <c r="BC564" s="97"/>
    </row>
    <row r="565" spans="12:55" ht="14.25" customHeight="1">
      <c r="L565" s="136"/>
      <c r="M565" s="136"/>
      <c r="N565" s="136"/>
      <c r="O565" s="136"/>
      <c r="P565" s="137"/>
      <c r="Q565" s="138"/>
      <c r="R565" s="138"/>
      <c r="S565" s="138"/>
      <c r="T565" s="138"/>
      <c r="U565" s="7"/>
      <c r="V565" s="7"/>
      <c r="W565" s="7"/>
      <c r="X565" s="136"/>
      <c r="Y565" s="136"/>
      <c r="Z565" s="136"/>
      <c r="AA565" s="136"/>
      <c r="AB565" s="137"/>
      <c r="AC565" s="137"/>
      <c r="AD565" s="137"/>
      <c r="AE565" s="136"/>
      <c r="AF565" s="136"/>
      <c r="AG565" s="136"/>
      <c r="AH565" s="136"/>
      <c r="AI565" s="137"/>
      <c r="AJ565" s="137"/>
      <c r="AK565" s="137"/>
      <c r="AL565" s="7"/>
      <c r="AM565" s="138"/>
      <c r="AN565" s="138"/>
      <c r="AO565" s="138"/>
      <c r="AP565" s="138"/>
      <c r="AQ565" s="7"/>
      <c r="AR565" s="7"/>
      <c r="AS565" s="7"/>
      <c r="AT565" s="99"/>
      <c r="AU565" s="99"/>
      <c r="AV565" s="99"/>
      <c r="AW565" s="99"/>
      <c r="AX565" s="100"/>
      <c r="AY565" s="100"/>
      <c r="AZ565" s="100"/>
      <c r="BA565" s="97"/>
      <c r="BB565" s="97"/>
      <c r="BC565" s="97"/>
    </row>
    <row r="566" spans="12:55" ht="30.9" customHeight="1">
      <c r="L566" s="139"/>
      <c r="M566" s="139"/>
      <c r="N566" s="139"/>
      <c r="O566" s="140"/>
      <c r="P566" s="140"/>
      <c r="Q566" s="137"/>
      <c r="R566" s="137"/>
      <c r="S566" s="137"/>
      <c r="T566" s="137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  <c r="AH566" s="122"/>
      <c r="AI566" s="122"/>
      <c r="AJ566" s="122"/>
      <c r="AK566" s="122"/>
      <c r="AL566" s="122"/>
      <c r="AM566" s="122"/>
      <c r="AN566" s="122"/>
      <c r="AO566" s="122"/>
      <c r="AP566" s="122"/>
      <c r="AQ566" s="122"/>
      <c r="AR566" s="122"/>
      <c r="AS566" s="122"/>
      <c r="AT566" s="122"/>
      <c r="AU566" s="122"/>
      <c r="AV566" s="122"/>
      <c r="AW566" s="122"/>
      <c r="AX566" s="122"/>
      <c r="AY566" s="122"/>
      <c r="AZ566" s="122"/>
      <c r="BA566" s="122"/>
      <c r="BB566" s="122"/>
      <c r="BC566" s="122"/>
    </row>
    <row r="567" spans="12:55" ht="30.9" customHeight="1">
      <c r="L567" s="139"/>
      <c r="M567" s="139"/>
      <c r="N567" s="139"/>
      <c r="O567" s="140"/>
      <c r="P567" s="140"/>
      <c r="Q567" s="137"/>
      <c r="R567" s="137"/>
      <c r="S567" s="137"/>
      <c r="T567" s="137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  <c r="AH567" s="122"/>
      <c r="AI567" s="122"/>
      <c r="AJ567" s="122"/>
      <c r="AK567" s="122"/>
      <c r="AL567" s="122"/>
      <c r="AM567" s="122"/>
      <c r="AN567" s="122"/>
      <c r="AO567" s="122"/>
      <c r="AP567" s="122"/>
      <c r="AQ567" s="122"/>
      <c r="AR567" s="122"/>
      <c r="AS567" s="122"/>
      <c r="AT567" s="122"/>
      <c r="AU567" s="122"/>
      <c r="AV567" s="122"/>
      <c r="AW567" s="122"/>
      <c r="AX567" s="122"/>
      <c r="AY567" s="122"/>
      <c r="AZ567" s="122"/>
      <c r="BA567" s="122"/>
      <c r="BB567" s="122"/>
      <c r="BC567" s="122"/>
    </row>
    <row r="568" spans="12:55" ht="14.25" customHeight="1">
      <c r="L568" s="136"/>
      <c r="M568" s="136"/>
      <c r="N568" s="136"/>
      <c r="O568" s="136"/>
      <c r="P568" s="137"/>
      <c r="Q568" s="138"/>
      <c r="R568" s="138"/>
      <c r="S568" s="138"/>
      <c r="T568" s="138"/>
      <c r="U568" s="136"/>
      <c r="V568" s="136"/>
      <c r="W568" s="137"/>
      <c r="X568" s="137"/>
      <c r="Y568" s="136"/>
      <c r="Z568" s="136"/>
      <c r="AA568" s="137"/>
      <c r="AB568" s="137"/>
      <c r="AC568" s="137"/>
      <c r="AD568" s="137"/>
      <c r="AE568" s="136"/>
      <c r="AF568" s="136"/>
      <c r="AG568" s="137"/>
      <c r="AH568" s="137"/>
      <c r="AI568" s="136"/>
      <c r="AJ568" s="136"/>
      <c r="AK568" s="137"/>
      <c r="AL568" s="137"/>
      <c r="AM568" s="138"/>
      <c r="AN568" s="138"/>
      <c r="AO568" s="138"/>
      <c r="AP568" s="138"/>
      <c r="AQ568" s="7"/>
      <c r="AR568" s="7"/>
      <c r="AS568" s="7"/>
      <c r="AT568" s="136"/>
      <c r="AU568" s="136"/>
      <c r="AV568" s="136"/>
      <c r="AW568" s="136"/>
      <c r="AX568" s="137"/>
      <c r="AY568" s="137"/>
      <c r="AZ568" s="137"/>
      <c r="BA568" s="137"/>
      <c r="BB568" s="137"/>
      <c r="BC568" s="137"/>
    </row>
    <row r="569" spans="12:55" ht="14.25" customHeight="1">
      <c r="L569" s="136"/>
      <c r="M569" s="136"/>
      <c r="N569" s="136"/>
      <c r="O569" s="136"/>
      <c r="P569" s="137"/>
      <c r="Q569" s="138"/>
      <c r="R569" s="138"/>
      <c r="S569" s="138"/>
      <c r="T569" s="138"/>
      <c r="U569" s="136"/>
      <c r="V569" s="136"/>
      <c r="W569" s="137"/>
      <c r="X569" s="137"/>
      <c r="Y569" s="136"/>
      <c r="Z569" s="136"/>
      <c r="AA569" s="137"/>
      <c r="AB569" s="137"/>
      <c r="AC569" s="137"/>
      <c r="AD569" s="137"/>
      <c r="AE569" s="136"/>
      <c r="AF569" s="136"/>
      <c r="AG569" s="137"/>
      <c r="AH569" s="137"/>
      <c r="AI569" s="136"/>
      <c r="AJ569" s="136"/>
      <c r="AK569" s="137"/>
      <c r="AL569" s="137"/>
      <c r="AM569" s="138"/>
      <c r="AN569" s="138"/>
      <c r="AO569" s="138"/>
      <c r="AP569" s="138"/>
      <c r="AQ569" s="7"/>
      <c r="AR569" s="7"/>
      <c r="AS569" s="7"/>
      <c r="AT569" s="136"/>
      <c r="AU569" s="136"/>
      <c r="AV569" s="136"/>
      <c r="AW569" s="136"/>
      <c r="AX569" s="137"/>
      <c r="AY569" s="137"/>
      <c r="AZ569" s="137"/>
      <c r="BA569" s="137"/>
      <c r="BB569" s="137"/>
      <c r="BC569" s="137"/>
    </row>
    <row r="570" spans="12:55" ht="14.25" customHeight="1">
      <c r="L570" s="136"/>
      <c r="M570" s="136"/>
      <c r="N570" s="136"/>
      <c r="O570" s="136"/>
      <c r="P570" s="137"/>
      <c r="Q570" s="138"/>
      <c r="R570" s="138"/>
      <c r="S570" s="138"/>
      <c r="T570" s="138"/>
      <c r="U570" s="136"/>
      <c r="V570" s="136"/>
      <c r="W570" s="137"/>
      <c r="X570" s="137"/>
      <c r="Y570" s="136"/>
      <c r="Z570" s="136"/>
      <c r="AA570" s="137"/>
      <c r="AB570" s="137"/>
      <c r="AC570" s="137"/>
      <c r="AD570" s="137"/>
      <c r="AE570" s="136"/>
      <c r="AF570" s="136"/>
      <c r="AG570" s="137"/>
      <c r="AH570" s="137"/>
      <c r="AI570" s="136"/>
      <c r="AJ570" s="136"/>
      <c r="AK570" s="137"/>
      <c r="AL570" s="137"/>
      <c r="AM570" s="138"/>
      <c r="AN570" s="138"/>
      <c r="AO570" s="138"/>
      <c r="AP570" s="138"/>
      <c r="AQ570" s="7"/>
      <c r="AR570" s="7"/>
      <c r="AS570" s="7"/>
      <c r="AT570" s="99"/>
      <c r="AU570" s="99"/>
      <c r="AV570" s="99"/>
      <c r="AW570" s="99"/>
      <c r="AX570" s="100"/>
      <c r="AY570" s="100"/>
      <c r="AZ570" s="100"/>
      <c r="BA570" s="97"/>
      <c r="BB570" s="97"/>
      <c r="BC570" s="97"/>
    </row>
    <row r="571" spans="12:55" ht="14.25" customHeight="1">
      <c r="L571" s="136"/>
      <c r="M571" s="136"/>
      <c r="N571" s="136"/>
      <c r="O571" s="136"/>
      <c r="P571" s="137"/>
      <c r="Q571" s="138"/>
      <c r="R571" s="138"/>
      <c r="S571" s="138"/>
      <c r="T571" s="138"/>
      <c r="U571" s="49"/>
      <c r="V571" s="49"/>
      <c r="W571" s="49"/>
      <c r="X571" s="136"/>
      <c r="Y571" s="136"/>
      <c r="Z571" s="136"/>
      <c r="AA571" s="136"/>
      <c r="AB571" s="137"/>
      <c r="AC571" s="137"/>
      <c r="AD571" s="137"/>
      <c r="AE571" s="136"/>
      <c r="AF571" s="136"/>
      <c r="AG571" s="136"/>
      <c r="AH571" s="136"/>
      <c r="AI571" s="137"/>
      <c r="AJ571" s="137"/>
      <c r="AK571" s="137"/>
      <c r="AL571" s="49"/>
      <c r="AM571" s="138"/>
      <c r="AN571" s="138"/>
      <c r="AO571" s="138"/>
      <c r="AP571" s="138"/>
      <c r="AQ571" s="7"/>
      <c r="AR571" s="7"/>
      <c r="AS571" s="7"/>
      <c r="AT571" s="99"/>
      <c r="AU571" s="99"/>
      <c r="AV571" s="99"/>
      <c r="AW571" s="99"/>
      <c r="AX571" s="100"/>
      <c r="AY571" s="100"/>
      <c r="AZ571" s="100"/>
      <c r="BA571" s="97"/>
      <c r="BB571" s="97"/>
      <c r="BC571" s="97"/>
    </row>
    <row r="572" spans="12:55" ht="14.25" customHeight="1">
      <c r="L572" s="136"/>
      <c r="M572" s="136"/>
      <c r="N572" s="136"/>
      <c r="O572" s="136"/>
      <c r="P572" s="137"/>
      <c r="Q572" s="138"/>
      <c r="R572" s="138"/>
      <c r="S572" s="138"/>
      <c r="T572" s="138"/>
      <c r="U572" s="7"/>
      <c r="V572" s="7"/>
      <c r="W572" s="7"/>
      <c r="X572" s="136"/>
      <c r="Y572" s="136"/>
      <c r="Z572" s="136"/>
      <c r="AA572" s="136"/>
      <c r="AB572" s="137"/>
      <c r="AC572" s="137"/>
      <c r="AD572" s="137"/>
      <c r="AE572" s="136"/>
      <c r="AF572" s="136"/>
      <c r="AG572" s="136"/>
      <c r="AH572" s="136"/>
      <c r="AI572" s="137"/>
      <c r="AJ572" s="137"/>
      <c r="AK572" s="137"/>
      <c r="AL572" s="7"/>
      <c r="AM572" s="138"/>
      <c r="AN572" s="138"/>
      <c r="AO572" s="138"/>
      <c r="AP572" s="138"/>
      <c r="AQ572" s="7"/>
      <c r="AR572" s="7"/>
      <c r="AS572" s="7"/>
      <c r="AT572" s="99"/>
      <c r="AU572" s="99"/>
      <c r="AV572" s="99"/>
      <c r="AW572" s="99"/>
      <c r="AX572" s="100"/>
      <c r="AY572" s="100"/>
      <c r="AZ572" s="100"/>
      <c r="BA572" s="97"/>
      <c r="BB572" s="97"/>
      <c r="BC572" s="97"/>
    </row>
    <row r="573" spans="12:55" ht="14.25" customHeight="1">
      <c r="L573" s="136"/>
      <c r="M573" s="136"/>
      <c r="N573" s="136"/>
      <c r="O573" s="136"/>
      <c r="P573" s="137"/>
      <c r="Q573" s="138"/>
      <c r="R573" s="138"/>
      <c r="S573" s="138"/>
      <c r="T573" s="138"/>
      <c r="U573" s="7"/>
      <c r="V573" s="7"/>
      <c r="W573" s="7"/>
      <c r="X573" s="136"/>
      <c r="Y573" s="136"/>
      <c r="Z573" s="136"/>
      <c r="AA573" s="136"/>
      <c r="AB573" s="137"/>
      <c r="AC573" s="137"/>
      <c r="AD573" s="137"/>
      <c r="AE573" s="136"/>
      <c r="AF573" s="136"/>
      <c r="AG573" s="136"/>
      <c r="AH573" s="136"/>
      <c r="AI573" s="137"/>
      <c r="AJ573" s="137"/>
      <c r="AK573" s="137"/>
      <c r="AL573" s="7"/>
      <c r="AM573" s="138"/>
      <c r="AN573" s="138"/>
      <c r="AO573" s="138"/>
      <c r="AP573" s="138"/>
      <c r="AQ573" s="7"/>
      <c r="AR573" s="7"/>
      <c r="AS573" s="7"/>
      <c r="AT573" s="99"/>
      <c r="AU573" s="99"/>
      <c r="AV573" s="99"/>
      <c r="AW573" s="99"/>
      <c r="AX573" s="100"/>
      <c r="AY573" s="100"/>
      <c r="AZ573" s="100"/>
      <c r="BA573" s="97"/>
      <c r="BB573" s="97"/>
      <c r="BC573" s="97"/>
    </row>
    <row r="574" spans="12:55" ht="30.9" customHeight="1">
      <c r="L574" s="139"/>
      <c r="M574" s="139"/>
      <c r="N574" s="139"/>
      <c r="O574" s="140"/>
      <c r="P574" s="140"/>
      <c r="Q574" s="137"/>
      <c r="R574" s="137"/>
      <c r="S574" s="137"/>
      <c r="T574" s="137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  <c r="AH574" s="122"/>
      <c r="AI574" s="122"/>
      <c r="AJ574" s="122"/>
      <c r="AK574" s="122"/>
      <c r="AL574" s="122"/>
      <c r="AM574" s="122"/>
      <c r="AN574" s="122"/>
      <c r="AO574" s="122"/>
      <c r="AP574" s="122"/>
      <c r="AQ574" s="122"/>
      <c r="AR574" s="122"/>
      <c r="AS574" s="122"/>
      <c r="AT574" s="122"/>
      <c r="AU574" s="122"/>
      <c r="AV574" s="122"/>
      <c r="AW574" s="122"/>
      <c r="AX574" s="122"/>
      <c r="AY574" s="122"/>
      <c r="AZ574" s="122"/>
      <c r="BA574" s="122"/>
      <c r="BB574" s="122"/>
      <c r="BC574" s="122"/>
    </row>
    <row r="575" spans="12:55" ht="30.9" customHeight="1">
      <c r="L575" s="139"/>
      <c r="M575" s="139"/>
      <c r="N575" s="139"/>
      <c r="O575" s="140"/>
      <c r="P575" s="140"/>
      <c r="Q575" s="137"/>
      <c r="R575" s="137"/>
      <c r="S575" s="137"/>
      <c r="T575" s="137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  <c r="AH575" s="122"/>
      <c r="AI575" s="122"/>
      <c r="AJ575" s="122"/>
      <c r="AK575" s="122"/>
      <c r="AL575" s="122"/>
      <c r="AM575" s="122"/>
      <c r="AN575" s="122"/>
      <c r="AO575" s="122"/>
      <c r="AP575" s="122"/>
      <c r="AQ575" s="122"/>
      <c r="AR575" s="122"/>
      <c r="AS575" s="122"/>
      <c r="AT575" s="122"/>
      <c r="AU575" s="122"/>
      <c r="AV575" s="122"/>
      <c r="AW575" s="122"/>
      <c r="AX575" s="122"/>
      <c r="AY575" s="122"/>
      <c r="AZ575" s="122"/>
      <c r="BA575" s="122"/>
      <c r="BB575" s="122"/>
      <c r="BC575" s="122"/>
    </row>
    <row r="576" spans="12:55" ht="14.25" customHeight="1">
      <c r="L576" s="136"/>
      <c r="M576" s="136"/>
      <c r="N576" s="136"/>
      <c r="O576" s="136"/>
      <c r="P576" s="137"/>
      <c r="Q576" s="138"/>
      <c r="R576" s="138"/>
      <c r="S576" s="138"/>
      <c r="T576" s="138"/>
      <c r="U576" s="136"/>
      <c r="V576" s="136"/>
      <c r="W576" s="137"/>
      <c r="X576" s="137"/>
      <c r="Y576" s="136"/>
      <c r="Z576" s="136"/>
      <c r="AA576" s="137"/>
      <c r="AB576" s="137"/>
      <c r="AC576" s="137"/>
      <c r="AD576" s="137"/>
      <c r="AE576" s="136"/>
      <c r="AF576" s="136"/>
      <c r="AG576" s="137"/>
      <c r="AH576" s="137"/>
      <c r="AI576" s="136"/>
      <c r="AJ576" s="136"/>
      <c r="AK576" s="137"/>
      <c r="AL576" s="137"/>
      <c r="AM576" s="138"/>
      <c r="AN576" s="138"/>
      <c r="AO576" s="138"/>
      <c r="AP576" s="138"/>
      <c r="AQ576" s="7"/>
      <c r="AR576" s="7"/>
      <c r="AS576" s="7"/>
      <c r="AT576" s="136"/>
      <c r="AU576" s="136"/>
      <c r="AV576" s="136"/>
      <c r="AW576" s="136"/>
      <c r="AX576" s="137"/>
      <c r="AY576" s="137"/>
      <c r="AZ576" s="137"/>
      <c r="BA576" s="137"/>
      <c r="BB576" s="137"/>
      <c r="BC576" s="137"/>
    </row>
    <row r="577" spans="12:55" ht="14.25" customHeight="1">
      <c r="L577" s="136"/>
      <c r="M577" s="136"/>
      <c r="N577" s="136"/>
      <c r="O577" s="136"/>
      <c r="P577" s="137"/>
      <c r="Q577" s="138"/>
      <c r="R577" s="138"/>
      <c r="S577" s="138"/>
      <c r="T577" s="138"/>
      <c r="U577" s="136"/>
      <c r="V577" s="136"/>
      <c r="W577" s="137"/>
      <c r="X577" s="137"/>
      <c r="Y577" s="136"/>
      <c r="Z577" s="136"/>
      <c r="AA577" s="137"/>
      <c r="AB577" s="137"/>
      <c r="AC577" s="137"/>
      <c r="AD577" s="137"/>
      <c r="AE577" s="136"/>
      <c r="AF577" s="136"/>
      <c r="AG577" s="137"/>
      <c r="AH577" s="137"/>
      <c r="AI577" s="136"/>
      <c r="AJ577" s="136"/>
      <c r="AK577" s="137"/>
      <c r="AL577" s="137"/>
      <c r="AM577" s="138"/>
      <c r="AN577" s="138"/>
      <c r="AO577" s="138"/>
      <c r="AP577" s="138"/>
      <c r="AQ577" s="7"/>
      <c r="AR577" s="7"/>
      <c r="AS577" s="7"/>
      <c r="AT577" s="136"/>
      <c r="AU577" s="136"/>
      <c r="AV577" s="136"/>
      <c r="AW577" s="136"/>
      <c r="AX577" s="137"/>
      <c r="AY577" s="137"/>
      <c r="AZ577" s="137"/>
      <c r="BA577" s="137"/>
      <c r="BB577" s="137"/>
      <c r="BC577" s="137"/>
    </row>
    <row r="578" spans="12:55" ht="14.25" customHeight="1">
      <c r="L578" s="136"/>
      <c r="M578" s="136"/>
      <c r="N578" s="136"/>
      <c r="O578" s="136"/>
      <c r="P578" s="137"/>
      <c r="Q578" s="138"/>
      <c r="R578" s="138"/>
      <c r="S578" s="138"/>
      <c r="T578" s="138"/>
      <c r="U578" s="136"/>
      <c r="V578" s="136"/>
      <c r="W578" s="137"/>
      <c r="X578" s="137"/>
      <c r="Y578" s="136"/>
      <c r="Z578" s="136"/>
      <c r="AA578" s="137"/>
      <c r="AB578" s="137"/>
      <c r="AC578" s="137"/>
      <c r="AD578" s="137"/>
      <c r="AE578" s="136"/>
      <c r="AF578" s="136"/>
      <c r="AG578" s="137"/>
      <c r="AH578" s="137"/>
      <c r="AI578" s="136"/>
      <c r="AJ578" s="136"/>
      <c r="AK578" s="137"/>
      <c r="AL578" s="137"/>
      <c r="AM578" s="138"/>
      <c r="AN578" s="138"/>
      <c r="AO578" s="138"/>
      <c r="AP578" s="138"/>
      <c r="AQ578" s="7"/>
      <c r="AR578" s="7"/>
      <c r="AS578" s="7"/>
      <c r="AT578" s="99"/>
      <c r="AU578" s="99"/>
      <c r="AV578" s="99"/>
      <c r="AW578" s="99"/>
      <c r="AX578" s="100"/>
      <c r="AY578" s="100"/>
      <c r="AZ578" s="100"/>
      <c r="BA578" s="97"/>
      <c r="BB578" s="97"/>
      <c r="BC578" s="97"/>
    </row>
    <row r="579" spans="12:55" ht="14.25" customHeight="1">
      <c r="L579" s="136"/>
      <c r="M579" s="136"/>
      <c r="N579" s="136"/>
      <c r="O579" s="136"/>
      <c r="P579" s="137"/>
      <c r="Q579" s="138"/>
      <c r="R579" s="138"/>
      <c r="S579" s="138"/>
      <c r="T579" s="138"/>
      <c r="U579" s="49"/>
      <c r="V579" s="49"/>
      <c r="W579" s="49"/>
      <c r="X579" s="136"/>
      <c r="Y579" s="136"/>
      <c r="Z579" s="136"/>
      <c r="AA579" s="136"/>
      <c r="AB579" s="137"/>
      <c r="AC579" s="137"/>
      <c r="AD579" s="137"/>
      <c r="AE579" s="136"/>
      <c r="AF579" s="136"/>
      <c r="AG579" s="136"/>
      <c r="AH579" s="136"/>
      <c r="AI579" s="137"/>
      <c r="AJ579" s="137"/>
      <c r="AK579" s="137"/>
      <c r="AL579" s="49"/>
      <c r="AM579" s="138"/>
      <c r="AN579" s="138"/>
      <c r="AO579" s="138"/>
      <c r="AP579" s="138"/>
      <c r="AQ579" s="7"/>
      <c r="AR579" s="7"/>
      <c r="AS579" s="7"/>
      <c r="AT579" s="99"/>
      <c r="AU579" s="99"/>
      <c r="AV579" s="99"/>
      <c r="AW579" s="99"/>
      <c r="AX579" s="100"/>
      <c r="AY579" s="100"/>
      <c r="AZ579" s="100"/>
      <c r="BA579" s="97"/>
      <c r="BB579" s="97"/>
      <c r="BC579" s="97"/>
    </row>
    <row r="580" spans="12:55" ht="14.25" customHeight="1">
      <c r="L580" s="136"/>
      <c r="M580" s="136"/>
      <c r="N580" s="136"/>
      <c r="O580" s="136"/>
      <c r="P580" s="137"/>
      <c r="Q580" s="138"/>
      <c r="R580" s="138"/>
      <c r="S580" s="138"/>
      <c r="T580" s="138"/>
      <c r="U580" s="7"/>
      <c r="V580" s="7"/>
      <c r="W580" s="7"/>
      <c r="X580" s="136"/>
      <c r="Y580" s="136"/>
      <c r="Z580" s="136"/>
      <c r="AA580" s="136"/>
      <c r="AB580" s="137"/>
      <c r="AC580" s="137"/>
      <c r="AD580" s="137"/>
      <c r="AE580" s="136"/>
      <c r="AF580" s="136"/>
      <c r="AG580" s="136"/>
      <c r="AH580" s="136"/>
      <c r="AI580" s="137"/>
      <c r="AJ580" s="137"/>
      <c r="AK580" s="137"/>
      <c r="AL580" s="7"/>
      <c r="AM580" s="138"/>
      <c r="AN580" s="138"/>
      <c r="AO580" s="138"/>
      <c r="AP580" s="138"/>
      <c r="AQ580" s="7"/>
      <c r="AR580" s="7"/>
      <c r="AS580" s="7"/>
      <c r="AT580" s="99"/>
      <c r="AU580" s="99"/>
      <c r="AV580" s="99"/>
      <c r="AW580" s="99"/>
      <c r="AX580" s="100"/>
      <c r="AY580" s="100"/>
      <c r="AZ580" s="100"/>
      <c r="BA580" s="97"/>
      <c r="BB580" s="97"/>
      <c r="BC580" s="97"/>
    </row>
    <row r="581" spans="12:55" ht="14.25" customHeight="1">
      <c r="L581" s="136"/>
      <c r="M581" s="136"/>
      <c r="N581" s="136"/>
      <c r="O581" s="136"/>
      <c r="P581" s="137"/>
      <c r="Q581" s="138"/>
      <c r="R581" s="138"/>
      <c r="S581" s="138"/>
      <c r="T581" s="138"/>
      <c r="U581" s="7"/>
      <c r="V581" s="7"/>
      <c r="W581" s="7"/>
      <c r="X581" s="136"/>
      <c r="Y581" s="136"/>
      <c r="Z581" s="136"/>
      <c r="AA581" s="136"/>
      <c r="AB581" s="137"/>
      <c r="AC581" s="137"/>
      <c r="AD581" s="137"/>
      <c r="AE581" s="136"/>
      <c r="AF581" s="136"/>
      <c r="AG581" s="136"/>
      <c r="AH581" s="136"/>
      <c r="AI581" s="137"/>
      <c r="AJ581" s="137"/>
      <c r="AK581" s="137"/>
      <c r="AL581" s="7"/>
      <c r="AM581" s="138"/>
      <c r="AN581" s="138"/>
      <c r="AO581" s="138"/>
      <c r="AP581" s="138"/>
      <c r="AQ581" s="7"/>
      <c r="AR581" s="7"/>
      <c r="AS581" s="7"/>
      <c r="AT581" s="99"/>
      <c r="AU581" s="99"/>
      <c r="AV581" s="99"/>
      <c r="AW581" s="99"/>
      <c r="AX581" s="100"/>
      <c r="AY581" s="100"/>
      <c r="AZ581" s="100"/>
      <c r="BA581" s="97"/>
      <c r="BB581" s="97"/>
      <c r="BC581" s="97"/>
    </row>
    <row r="582" spans="12:55" ht="30.9" customHeight="1">
      <c r="L582" s="139"/>
      <c r="M582" s="139"/>
      <c r="N582" s="139"/>
      <c r="O582" s="140"/>
      <c r="P582" s="140"/>
      <c r="Q582" s="137"/>
      <c r="R582" s="137"/>
      <c r="S582" s="137"/>
      <c r="T582" s="137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  <c r="AH582" s="122"/>
      <c r="AI582" s="122"/>
      <c r="AJ582" s="122"/>
      <c r="AK582" s="122"/>
      <c r="AL582" s="122"/>
      <c r="AM582" s="122"/>
      <c r="AN582" s="122"/>
      <c r="AO582" s="122"/>
      <c r="AP582" s="122"/>
      <c r="AQ582" s="122"/>
      <c r="AR582" s="122"/>
      <c r="AS582" s="122"/>
      <c r="AT582" s="122"/>
      <c r="AU582" s="122"/>
      <c r="AV582" s="122"/>
      <c r="AW582" s="122"/>
      <c r="AX582" s="122"/>
      <c r="AY582" s="122"/>
      <c r="AZ582" s="122"/>
      <c r="BA582" s="122"/>
      <c r="BB582" s="122"/>
      <c r="BC582" s="122"/>
    </row>
    <row r="583" spans="12:55" ht="30.9" customHeight="1">
      <c r="L583" s="139"/>
      <c r="M583" s="139"/>
      <c r="N583" s="139"/>
      <c r="O583" s="140"/>
      <c r="P583" s="140"/>
      <c r="Q583" s="137"/>
      <c r="R583" s="137"/>
      <c r="S583" s="137"/>
      <c r="T583" s="137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  <c r="AH583" s="122"/>
      <c r="AI583" s="122"/>
      <c r="AJ583" s="122"/>
      <c r="AK583" s="122"/>
      <c r="AL583" s="122"/>
      <c r="AM583" s="122"/>
      <c r="AN583" s="122"/>
      <c r="AO583" s="122"/>
      <c r="AP583" s="122"/>
      <c r="AQ583" s="122"/>
      <c r="AR583" s="122"/>
      <c r="AS583" s="122"/>
      <c r="AT583" s="122"/>
      <c r="AU583" s="122"/>
      <c r="AV583" s="122"/>
      <c r="AW583" s="122"/>
      <c r="AX583" s="122"/>
      <c r="AY583" s="122"/>
      <c r="AZ583" s="122"/>
      <c r="BA583" s="122"/>
      <c r="BB583" s="122"/>
      <c r="BC583" s="122"/>
    </row>
    <row r="584" spans="12:55" ht="14.25" customHeight="1">
      <c r="L584" s="136"/>
      <c r="M584" s="136"/>
      <c r="N584" s="136"/>
      <c r="O584" s="136"/>
      <c r="P584" s="137"/>
      <c r="Q584" s="138"/>
      <c r="R584" s="138"/>
      <c r="S584" s="138"/>
      <c r="T584" s="138"/>
      <c r="U584" s="136"/>
      <c r="V584" s="136"/>
      <c r="W584" s="137"/>
      <c r="X584" s="137"/>
      <c r="Y584" s="136"/>
      <c r="Z584" s="136"/>
      <c r="AA584" s="137"/>
      <c r="AB584" s="137"/>
      <c r="AC584" s="137"/>
      <c r="AD584" s="137"/>
      <c r="AE584" s="136"/>
      <c r="AF584" s="136"/>
      <c r="AG584" s="137"/>
      <c r="AH584" s="137"/>
      <c r="AI584" s="136"/>
      <c r="AJ584" s="136"/>
      <c r="AK584" s="137"/>
      <c r="AL584" s="137"/>
      <c r="AM584" s="138"/>
      <c r="AN584" s="138"/>
      <c r="AO584" s="138"/>
      <c r="AP584" s="138"/>
      <c r="AQ584" s="7"/>
      <c r="AR584" s="7"/>
      <c r="AS584" s="7"/>
      <c r="AT584" s="136"/>
      <c r="AU584" s="136"/>
      <c r="AV584" s="136"/>
      <c r="AW584" s="136"/>
      <c r="AX584" s="137"/>
      <c r="AY584" s="137"/>
      <c r="AZ584" s="137"/>
      <c r="BA584" s="137"/>
      <c r="BB584" s="137"/>
      <c r="BC584" s="137"/>
    </row>
    <row r="585" spans="12:55" ht="14.25" customHeight="1">
      <c r="L585" s="136"/>
      <c r="M585" s="136"/>
      <c r="N585" s="136"/>
      <c r="O585" s="136"/>
      <c r="P585" s="137"/>
      <c r="Q585" s="138"/>
      <c r="R585" s="138"/>
      <c r="S585" s="138"/>
      <c r="T585" s="138"/>
      <c r="U585" s="136"/>
      <c r="V585" s="136"/>
      <c r="W585" s="137"/>
      <c r="X585" s="137"/>
      <c r="Y585" s="136"/>
      <c r="Z585" s="136"/>
      <c r="AA585" s="137"/>
      <c r="AB585" s="137"/>
      <c r="AC585" s="137"/>
      <c r="AD585" s="137"/>
      <c r="AE585" s="136"/>
      <c r="AF585" s="136"/>
      <c r="AG585" s="137"/>
      <c r="AH585" s="137"/>
      <c r="AI585" s="136"/>
      <c r="AJ585" s="136"/>
      <c r="AK585" s="137"/>
      <c r="AL585" s="137"/>
      <c r="AM585" s="138"/>
      <c r="AN585" s="138"/>
      <c r="AO585" s="138"/>
      <c r="AP585" s="138"/>
      <c r="AQ585" s="7"/>
      <c r="AR585" s="7"/>
      <c r="AS585" s="7"/>
      <c r="AT585" s="136"/>
      <c r="AU585" s="136"/>
      <c r="AV585" s="136"/>
      <c r="AW585" s="136"/>
      <c r="AX585" s="137"/>
      <c r="AY585" s="137"/>
      <c r="AZ585" s="137"/>
      <c r="BA585" s="137"/>
      <c r="BB585" s="137"/>
      <c r="BC585" s="137"/>
    </row>
    <row r="586" spans="12:55" ht="14.25" customHeight="1">
      <c r="L586" s="136"/>
      <c r="M586" s="136"/>
      <c r="N586" s="136"/>
      <c r="O586" s="136"/>
      <c r="P586" s="137"/>
      <c r="Q586" s="138"/>
      <c r="R586" s="138"/>
      <c r="S586" s="138"/>
      <c r="T586" s="138"/>
      <c r="U586" s="136"/>
      <c r="V586" s="136"/>
      <c r="W586" s="137"/>
      <c r="X586" s="137"/>
      <c r="Y586" s="136"/>
      <c r="Z586" s="136"/>
      <c r="AA586" s="137"/>
      <c r="AB586" s="137"/>
      <c r="AC586" s="137"/>
      <c r="AD586" s="137"/>
      <c r="AE586" s="136"/>
      <c r="AF586" s="136"/>
      <c r="AG586" s="137"/>
      <c r="AH586" s="137"/>
      <c r="AI586" s="136"/>
      <c r="AJ586" s="136"/>
      <c r="AK586" s="137"/>
      <c r="AL586" s="137"/>
      <c r="AM586" s="138"/>
      <c r="AN586" s="138"/>
      <c r="AO586" s="138"/>
      <c r="AP586" s="138"/>
      <c r="AQ586" s="7"/>
      <c r="AR586" s="7"/>
      <c r="AS586" s="7"/>
      <c r="AT586" s="99"/>
      <c r="AU586" s="99"/>
      <c r="AV586" s="99"/>
      <c r="AW586" s="99"/>
      <c r="AX586" s="100"/>
      <c r="AY586" s="100"/>
      <c r="AZ586" s="100"/>
      <c r="BA586" s="97"/>
      <c r="BB586" s="97"/>
      <c r="BC586" s="97"/>
    </row>
    <row r="587" spans="12:55" ht="14.25" customHeight="1">
      <c r="L587" s="136"/>
      <c r="M587" s="136"/>
      <c r="N587" s="136"/>
      <c r="O587" s="136"/>
      <c r="P587" s="137"/>
      <c r="Q587" s="138"/>
      <c r="R587" s="138"/>
      <c r="S587" s="138"/>
      <c r="T587" s="138"/>
      <c r="U587" s="49"/>
      <c r="V587" s="49"/>
      <c r="W587" s="49"/>
      <c r="X587" s="136"/>
      <c r="Y587" s="136"/>
      <c r="Z587" s="136"/>
      <c r="AA587" s="136"/>
      <c r="AB587" s="137"/>
      <c r="AC587" s="137"/>
      <c r="AD587" s="137"/>
      <c r="AE587" s="136"/>
      <c r="AF587" s="136"/>
      <c r="AG587" s="136"/>
      <c r="AH587" s="136"/>
      <c r="AI587" s="137"/>
      <c r="AJ587" s="137"/>
      <c r="AK587" s="137"/>
      <c r="AL587" s="49"/>
      <c r="AM587" s="138"/>
      <c r="AN587" s="138"/>
      <c r="AO587" s="138"/>
      <c r="AP587" s="138"/>
      <c r="AQ587" s="7"/>
      <c r="AR587" s="7"/>
      <c r="AS587" s="7"/>
      <c r="AT587" s="99"/>
      <c r="AU587" s="99"/>
      <c r="AV587" s="99"/>
      <c r="AW587" s="99"/>
      <c r="AX587" s="100"/>
      <c r="AY587" s="100"/>
      <c r="AZ587" s="100"/>
      <c r="BA587" s="97"/>
      <c r="BB587" s="97"/>
      <c r="BC587" s="97"/>
    </row>
    <row r="588" spans="12:55" ht="14.25" customHeight="1">
      <c r="L588" s="136"/>
      <c r="M588" s="136"/>
      <c r="N588" s="136"/>
      <c r="O588" s="136"/>
      <c r="P588" s="137"/>
      <c r="Q588" s="138"/>
      <c r="R588" s="138"/>
      <c r="S588" s="138"/>
      <c r="T588" s="138"/>
      <c r="U588" s="7"/>
      <c r="V588" s="7"/>
      <c r="W588" s="7"/>
      <c r="X588" s="136"/>
      <c r="Y588" s="136"/>
      <c r="Z588" s="136"/>
      <c r="AA588" s="136"/>
      <c r="AB588" s="137"/>
      <c r="AC588" s="137"/>
      <c r="AD588" s="137"/>
      <c r="AE588" s="136"/>
      <c r="AF588" s="136"/>
      <c r="AG588" s="136"/>
      <c r="AH588" s="136"/>
      <c r="AI588" s="137"/>
      <c r="AJ588" s="137"/>
      <c r="AK588" s="137"/>
      <c r="AL588" s="7"/>
      <c r="AM588" s="138"/>
      <c r="AN588" s="138"/>
      <c r="AO588" s="138"/>
      <c r="AP588" s="138"/>
      <c r="AQ588" s="7"/>
      <c r="AR588" s="7"/>
      <c r="AS588" s="7"/>
      <c r="AT588" s="99"/>
      <c r="AU588" s="99"/>
      <c r="AV588" s="99"/>
      <c r="AW588" s="99"/>
      <c r="AX588" s="100"/>
      <c r="AY588" s="100"/>
      <c r="AZ588" s="100"/>
      <c r="BA588" s="97"/>
      <c r="BB588" s="97"/>
      <c r="BC588" s="97"/>
    </row>
    <row r="589" spans="12:55" ht="14.25" customHeight="1">
      <c r="L589" s="136"/>
      <c r="M589" s="136"/>
      <c r="N589" s="136"/>
      <c r="O589" s="136"/>
      <c r="P589" s="137"/>
      <c r="Q589" s="138"/>
      <c r="R589" s="138"/>
      <c r="S589" s="138"/>
      <c r="T589" s="138"/>
      <c r="U589" s="7"/>
      <c r="V589" s="7"/>
      <c r="W589" s="7"/>
      <c r="X589" s="136"/>
      <c r="Y589" s="136"/>
      <c r="Z589" s="136"/>
      <c r="AA589" s="136"/>
      <c r="AB589" s="137"/>
      <c r="AC589" s="137"/>
      <c r="AD589" s="137"/>
      <c r="AE589" s="136"/>
      <c r="AF589" s="136"/>
      <c r="AG589" s="136"/>
      <c r="AH589" s="136"/>
      <c r="AI589" s="137"/>
      <c r="AJ589" s="137"/>
      <c r="AK589" s="137"/>
      <c r="AL589" s="7"/>
      <c r="AM589" s="138"/>
      <c r="AN589" s="138"/>
      <c r="AO589" s="138"/>
      <c r="AP589" s="138"/>
      <c r="AQ589" s="7"/>
      <c r="AR589" s="7"/>
      <c r="AS589" s="7"/>
      <c r="AT589" s="99"/>
      <c r="AU589" s="99"/>
      <c r="AV589" s="99"/>
      <c r="AW589" s="99"/>
      <c r="AX589" s="100"/>
      <c r="AY589" s="100"/>
      <c r="AZ589" s="100"/>
      <c r="BA589" s="97"/>
      <c r="BB589" s="97"/>
      <c r="BC589" s="97"/>
    </row>
    <row r="590" spans="12:55" ht="30.9" customHeight="1">
      <c r="L590" s="139"/>
      <c r="M590" s="139"/>
      <c r="N590" s="139"/>
      <c r="O590" s="140"/>
      <c r="P590" s="140"/>
      <c r="Q590" s="137"/>
      <c r="R590" s="137"/>
      <c r="S590" s="137"/>
      <c r="T590" s="137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  <c r="AH590" s="122"/>
      <c r="AI590" s="122"/>
      <c r="AJ590" s="122"/>
      <c r="AK590" s="122"/>
      <c r="AL590" s="122"/>
      <c r="AM590" s="122"/>
      <c r="AN590" s="122"/>
      <c r="AO590" s="122"/>
      <c r="AP590" s="122"/>
      <c r="AQ590" s="122"/>
      <c r="AR590" s="122"/>
      <c r="AS590" s="122"/>
      <c r="AT590" s="122"/>
      <c r="AU590" s="122"/>
      <c r="AV590" s="122"/>
      <c r="AW590" s="122"/>
      <c r="AX590" s="122"/>
      <c r="AY590" s="122"/>
      <c r="AZ590" s="122"/>
      <c r="BA590" s="122"/>
      <c r="BB590" s="122"/>
      <c r="BC590" s="122"/>
    </row>
    <row r="591" spans="12:55" ht="30.9" customHeight="1">
      <c r="L591" s="139"/>
      <c r="M591" s="139"/>
      <c r="N591" s="139"/>
      <c r="O591" s="140"/>
      <c r="P591" s="140"/>
      <c r="Q591" s="137"/>
      <c r="R591" s="137"/>
      <c r="S591" s="137"/>
      <c r="T591" s="137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  <c r="AH591" s="122"/>
      <c r="AI591" s="122"/>
      <c r="AJ591" s="122"/>
      <c r="AK591" s="122"/>
      <c r="AL591" s="122"/>
      <c r="AM591" s="122"/>
      <c r="AN591" s="122"/>
      <c r="AO591" s="122"/>
      <c r="AP591" s="122"/>
      <c r="AQ591" s="122"/>
      <c r="AR591" s="122"/>
      <c r="AS591" s="122"/>
      <c r="AT591" s="122"/>
      <c r="AU591" s="122"/>
      <c r="AV591" s="122"/>
      <c r="AW591" s="122"/>
      <c r="AX591" s="122"/>
      <c r="AY591" s="122"/>
      <c r="AZ591" s="122"/>
      <c r="BA591" s="122"/>
      <c r="BB591" s="122"/>
      <c r="BC591" s="122"/>
    </row>
    <row r="592" spans="12:55" ht="14.25" customHeight="1">
      <c r="L592" s="136"/>
      <c r="M592" s="136"/>
      <c r="N592" s="136"/>
      <c r="O592" s="136"/>
      <c r="P592" s="137"/>
      <c r="Q592" s="138"/>
      <c r="R592" s="138"/>
      <c r="S592" s="138"/>
      <c r="T592" s="138"/>
      <c r="U592" s="136"/>
      <c r="V592" s="136"/>
      <c r="W592" s="137"/>
      <c r="X592" s="137"/>
      <c r="Y592" s="136"/>
      <c r="Z592" s="136"/>
      <c r="AA592" s="137"/>
      <c r="AB592" s="137"/>
      <c r="AC592" s="137"/>
      <c r="AD592" s="137"/>
      <c r="AE592" s="136"/>
      <c r="AF592" s="136"/>
      <c r="AG592" s="137"/>
      <c r="AH592" s="137"/>
      <c r="AI592" s="136"/>
      <c r="AJ592" s="136"/>
      <c r="AK592" s="137"/>
      <c r="AL592" s="137"/>
      <c r="AM592" s="138"/>
      <c r="AN592" s="138"/>
      <c r="AO592" s="138"/>
      <c r="AP592" s="138"/>
      <c r="AQ592" s="7"/>
      <c r="AR592" s="7"/>
      <c r="AS592" s="7"/>
      <c r="AT592" s="136"/>
      <c r="AU592" s="136"/>
      <c r="AV592" s="136"/>
      <c r="AW592" s="136"/>
      <c r="AX592" s="137"/>
      <c r="AY592" s="137"/>
      <c r="AZ592" s="137"/>
      <c r="BA592" s="137"/>
      <c r="BB592" s="137"/>
      <c r="BC592" s="137"/>
    </row>
    <row r="593" spans="12:55" ht="14.25" customHeight="1">
      <c r="L593" s="136"/>
      <c r="M593" s="136"/>
      <c r="N593" s="136"/>
      <c r="O593" s="136"/>
      <c r="P593" s="137"/>
      <c r="Q593" s="138"/>
      <c r="R593" s="138"/>
      <c r="S593" s="138"/>
      <c r="T593" s="138"/>
      <c r="U593" s="136"/>
      <c r="V593" s="136"/>
      <c r="W593" s="137"/>
      <c r="X593" s="137"/>
      <c r="Y593" s="136"/>
      <c r="Z593" s="136"/>
      <c r="AA593" s="137"/>
      <c r="AB593" s="137"/>
      <c r="AC593" s="137"/>
      <c r="AD593" s="137"/>
      <c r="AE593" s="136"/>
      <c r="AF593" s="136"/>
      <c r="AG593" s="137"/>
      <c r="AH593" s="137"/>
      <c r="AI593" s="136"/>
      <c r="AJ593" s="136"/>
      <c r="AK593" s="137"/>
      <c r="AL593" s="137"/>
      <c r="AM593" s="138"/>
      <c r="AN593" s="138"/>
      <c r="AO593" s="138"/>
      <c r="AP593" s="138"/>
      <c r="AQ593" s="7"/>
      <c r="AR593" s="7"/>
      <c r="AS593" s="7"/>
      <c r="AT593" s="136"/>
      <c r="AU593" s="136"/>
      <c r="AV593" s="136"/>
      <c r="AW593" s="136"/>
      <c r="AX593" s="137"/>
      <c r="AY593" s="137"/>
      <c r="AZ593" s="137"/>
      <c r="BA593" s="137"/>
      <c r="BB593" s="137"/>
      <c r="BC593" s="137"/>
    </row>
    <row r="594" spans="12:55" ht="14.25" customHeight="1">
      <c r="L594" s="136"/>
      <c r="M594" s="136"/>
      <c r="N594" s="136"/>
      <c r="O594" s="136"/>
      <c r="P594" s="137"/>
      <c r="Q594" s="138"/>
      <c r="R594" s="138"/>
      <c r="S594" s="138"/>
      <c r="T594" s="138"/>
      <c r="U594" s="136"/>
      <c r="V594" s="136"/>
      <c r="W594" s="137"/>
      <c r="X594" s="137"/>
      <c r="Y594" s="136"/>
      <c r="Z594" s="136"/>
      <c r="AA594" s="137"/>
      <c r="AB594" s="137"/>
      <c r="AC594" s="137"/>
      <c r="AD594" s="137"/>
      <c r="AE594" s="136"/>
      <c r="AF594" s="136"/>
      <c r="AG594" s="137"/>
      <c r="AH594" s="137"/>
      <c r="AI594" s="136"/>
      <c r="AJ594" s="136"/>
      <c r="AK594" s="137"/>
      <c r="AL594" s="137"/>
      <c r="AM594" s="138"/>
      <c r="AN594" s="138"/>
      <c r="AO594" s="138"/>
      <c r="AP594" s="138"/>
      <c r="AQ594" s="7"/>
      <c r="AR594" s="7"/>
      <c r="AS594" s="7"/>
      <c r="AT594" s="99"/>
      <c r="AU594" s="99"/>
      <c r="AV594" s="99"/>
      <c r="AW594" s="99"/>
      <c r="AX594" s="100"/>
      <c r="AY594" s="100"/>
      <c r="AZ594" s="100"/>
      <c r="BA594" s="97"/>
      <c r="BB594" s="97"/>
      <c r="BC594" s="97"/>
    </row>
    <row r="595" spans="12:55" ht="14.25" customHeight="1">
      <c r="L595" s="136"/>
      <c r="M595" s="136"/>
      <c r="N595" s="136"/>
      <c r="O595" s="136"/>
      <c r="P595" s="137"/>
      <c r="Q595" s="138"/>
      <c r="R595" s="138"/>
      <c r="S595" s="138"/>
      <c r="T595" s="138"/>
      <c r="U595" s="49"/>
      <c r="V595" s="49"/>
      <c r="W595" s="49"/>
      <c r="X595" s="136"/>
      <c r="Y595" s="136"/>
      <c r="Z595" s="136"/>
      <c r="AA595" s="136"/>
      <c r="AB595" s="137"/>
      <c r="AC595" s="137"/>
      <c r="AD595" s="137"/>
      <c r="AE595" s="136"/>
      <c r="AF595" s="136"/>
      <c r="AG595" s="136"/>
      <c r="AH595" s="136"/>
      <c r="AI595" s="137"/>
      <c r="AJ595" s="137"/>
      <c r="AK595" s="137"/>
      <c r="AL595" s="49"/>
      <c r="AM595" s="138"/>
      <c r="AN595" s="138"/>
      <c r="AO595" s="138"/>
      <c r="AP595" s="138"/>
      <c r="AQ595" s="7"/>
      <c r="AR595" s="7"/>
      <c r="AS595" s="7"/>
      <c r="AT595" s="99"/>
      <c r="AU595" s="99"/>
      <c r="AV595" s="99"/>
      <c r="AW595" s="99"/>
      <c r="AX595" s="100"/>
      <c r="AY595" s="100"/>
      <c r="AZ595" s="100"/>
      <c r="BA595" s="97"/>
      <c r="BB595" s="97"/>
      <c r="BC595" s="97"/>
    </row>
    <row r="596" spans="12:55" ht="14.25" customHeight="1">
      <c r="L596" s="136"/>
      <c r="M596" s="136"/>
      <c r="N596" s="136"/>
      <c r="O596" s="136"/>
      <c r="P596" s="137"/>
      <c r="Q596" s="138"/>
      <c r="R596" s="138"/>
      <c r="S596" s="138"/>
      <c r="T596" s="138"/>
      <c r="U596" s="7"/>
      <c r="V596" s="7"/>
      <c r="W596" s="7"/>
      <c r="X596" s="136"/>
      <c r="Y596" s="136"/>
      <c r="Z596" s="136"/>
      <c r="AA596" s="136"/>
      <c r="AB596" s="137"/>
      <c r="AC596" s="137"/>
      <c r="AD596" s="137"/>
      <c r="AE596" s="136"/>
      <c r="AF596" s="136"/>
      <c r="AG596" s="136"/>
      <c r="AH596" s="136"/>
      <c r="AI596" s="137"/>
      <c r="AJ596" s="137"/>
      <c r="AK596" s="137"/>
      <c r="AL596" s="7"/>
      <c r="AM596" s="138"/>
      <c r="AN596" s="138"/>
      <c r="AO596" s="138"/>
      <c r="AP596" s="138"/>
      <c r="AQ596" s="7"/>
      <c r="AR596" s="7"/>
      <c r="AS596" s="7"/>
      <c r="AT596" s="99"/>
      <c r="AU596" s="99"/>
      <c r="AV596" s="99"/>
      <c r="AW596" s="99"/>
      <c r="AX596" s="100"/>
      <c r="AY596" s="100"/>
      <c r="AZ596" s="100"/>
      <c r="BA596" s="97"/>
      <c r="BB596" s="97"/>
      <c r="BC596" s="97"/>
    </row>
    <row r="597" spans="12:55" ht="14.25" customHeight="1">
      <c r="L597" s="136"/>
      <c r="M597" s="136"/>
      <c r="N597" s="136"/>
      <c r="O597" s="136"/>
      <c r="P597" s="137"/>
      <c r="Q597" s="138"/>
      <c r="R597" s="138"/>
      <c r="S597" s="138"/>
      <c r="T597" s="138"/>
      <c r="U597" s="7"/>
      <c r="V597" s="7"/>
      <c r="W597" s="7"/>
      <c r="X597" s="136"/>
      <c r="Y597" s="136"/>
      <c r="Z597" s="136"/>
      <c r="AA597" s="136"/>
      <c r="AB597" s="137"/>
      <c r="AC597" s="137"/>
      <c r="AD597" s="137"/>
      <c r="AE597" s="136"/>
      <c r="AF597" s="136"/>
      <c r="AG597" s="136"/>
      <c r="AH597" s="136"/>
      <c r="AI597" s="137"/>
      <c r="AJ597" s="137"/>
      <c r="AK597" s="137"/>
      <c r="AL597" s="7"/>
      <c r="AM597" s="138"/>
      <c r="AN597" s="138"/>
      <c r="AO597" s="138"/>
      <c r="AP597" s="138"/>
      <c r="AQ597" s="7"/>
      <c r="AR597" s="7"/>
      <c r="AS597" s="7"/>
      <c r="AT597" s="99"/>
      <c r="AU597" s="99"/>
      <c r="AV597" s="99"/>
      <c r="AW597" s="99"/>
      <c r="AX597" s="100"/>
      <c r="AY597" s="100"/>
      <c r="AZ597" s="100"/>
      <c r="BA597" s="97"/>
      <c r="BB597" s="97"/>
      <c r="BC597" s="97"/>
    </row>
    <row r="598" spans="12:55" ht="30.9" customHeight="1">
      <c r="L598" s="139"/>
      <c r="M598" s="139"/>
      <c r="N598" s="139"/>
      <c r="O598" s="140"/>
      <c r="P598" s="140"/>
      <c r="Q598" s="137"/>
      <c r="R598" s="137"/>
      <c r="S598" s="137"/>
      <c r="T598" s="137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  <c r="AH598" s="122"/>
      <c r="AI598" s="122"/>
      <c r="AJ598" s="122"/>
      <c r="AK598" s="122"/>
      <c r="AL598" s="122"/>
      <c r="AM598" s="122"/>
      <c r="AN598" s="122"/>
      <c r="AO598" s="122"/>
      <c r="AP598" s="122"/>
      <c r="AQ598" s="122"/>
      <c r="AR598" s="122"/>
      <c r="AS598" s="122"/>
      <c r="AT598" s="122"/>
      <c r="AU598" s="122"/>
      <c r="AV598" s="122"/>
      <c r="AW598" s="122"/>
      <c r="AX598" s="122"/>
      <c r="AY598" s="122"/>
      <c r="AZ598" s="122"/>
      <c r="BA598" s="122"/>
      <c r="BB598" s="122"/>
      <c r="BC598" s="122"/>
    </row>
    <row r="599" spans="12:55" ht="30.9" customHeight="1">
      <c r="L599" s="139"/>
      <c r="M599" s="139"/>
      <c r="N599" s="139"/>
      <c r="O599" s="140"/>
      <c r="P599" s="140"/>
      <c r="Q599" s="137"/>
      <c r="R599" s="137"/>
      <c r="S599" s="137"/>
      <c r="T599" s="137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  <c r="AH599" s="122"/>
      <c r="AI599" s="122"/>
      <c r="AJ599" s="122"/>
      <c r="AK599" s="122"/>
      <c r="AL599" s="122"/>
      <c r="AM599" s="122"/>
      <c r="AN599" s="122"/>
      <c r="AO599" s="122"/>
      <c r="AP599" s="122"/>
      <c r="AQ599" s="122"/>
      <c r="AR599" s="122"/>
      <c r="AS599" s="122"/>
      <c r="AT599" s="122"/>
      <c r="AU599" s="122"/>
      <c r="AV599" s="122"/>
      <c r="AW599" s="122"/>
      <c r="AX599" s="122"/>
      <c r="AY599" s="122"/>
      <c r="AZ599" s="122"/>
      <c r="BA599" s="122"/>
      <c r="BB599" s="122"/>
      <c r="BC599" s="122"/>
    </row>
    <row r="600" spans="12:55" ht="14.25" customHeight="1">
      <c r="L600" s="136"/>
      <c r="M600" s="136"/>
      <c r="N600" s="136"/>
      <c r="O600" s="136"/>
      <c r="P600" s="137"/>
      <c r="Q600" s="138"/>
      <c r="R600" s="138"/>
      <c r="S600" s="138"/>
      <c r="T600" s="138"/>
      <c r="U600" s="136"/>
      <c r="V600" s="136"/>
      <c r="W600" s="137"/>
      <c r="X600" s="137"/>
      <c r="Y600" s="136"/>
      <c r="Z600" s="136"/>
      <c r="AA600" s="137"/>
      <c r="AB600" s="137"/>
      <c r="AC600" s="137"/>
      <c r="AD600" s="137"/>
      <c r="AE600" s="136"/>
      <c r="AF600" s="136"/>
      <c r="AG600" s="137"/>
      <c r="AH600" s="137"/>
      <c r="AI600" s="136"/>
      <c r="AJ600" s="136"/>
      <c r="AK600" s="137"/>
      <c r="AL600" s="137"/>
      <c r="AM600" s="138"/>
      <c r="AN600" s="138"/>
      <c r="AO600" s="138"/>
      <c r="AP600" s="138"/>
      <c r="AQ600" s="7"/>
      <c r="AR600" s="7"/>
      <c r="AS600" s="7"/>
      <c r="AT600" s="136"/>
      <c r="AU600" s="136"/>
      <c r="AV600" s="136"/>
      <c r="AW600" s="136"/>
      <c r="AX600" s="137"/>
      <c r="AY600" s="137"/>
      <c r="AZ600" s="137"/>
      <c r="BA600" s="137"/>
      <c r="BB600" s="137"/>
      <c r="BC600" s="137"/>
    </row>
    <row r="601" spans="12:55" ht="14.25" customHeight="1">
      <c r="L601" s="136"/>
      <c r="M601" s="136"/>
      <c r="N601" s="136"/>
      <c r="O601" s="136"/>
      <c r="P601" s="137"/>
      <c r="Q601" s="138"/>
      <c r="R601" s="138"/>
      <c r="S601" s="138"/>
      <c r="T601" s="138"/>
      <c r="U601" s="136"/>
      <c r="V601" s="136"/>
      <c r="W601" s="137"/>
      <c r="X601" s="137"/>
      <c r="Y601" s="136"/>
      <c r="Z601" s="136"/>
      <c r="AA601" s="137"/>
      <c r="AB601" s="137"/>
      <c r="AC601" s="137"/>
      <c r="AD601" s="137"/>
      <c r="AE601" s="136"/>
      <c r="AF601" s="136"/>
      <c r="AG601" s="137"/>
      <c r="AH601" s="137"/>
      <c r="AI601" s="136"/>
      <c r="AJ601" s="136"/>
      <c r="AK601" s="137"/>
      <c r="AL601" s="137"/>
      <c r="AM601" s="138"/>
      <c r="AN601" s="138"/>
      <c r="AO601" s="138"/>
      <c r="AP601" s="138"/>
      <c r="AQ601" s="7"/>
      <c r="AR601" s="7"/>
      <c r="AS601" s="7"/>
      <c r="AT601" s="136"/>
      <c r="AU601" s="136"/>
      <c r="AV601" s="136"/>
      <c r="AW601" s="136"/>
      <c r="AX601" s="137"/>
      <c r="AY601" s="137"/>
      <c r="AZ601" s="137"/>
      <c r="BA601" s="137"/>
      <c r="BB601" s="137"/>
      <c r="BC601" s="137"/>
    </row>
    <row r="602" spans="12:55" ht="14.25" customHeight="1">
      <c r="L602" s="136"/>
      <c r="M602" s="136"/>
      <c r="N602" s="136"/>
      <c r="O602" s="136"/>
      <c r="P602" s="137"/>
      <c r="Q602" s="138"/>
      <c r="R602" s="138"/>
      <c r="S602" s="138"/>
      <c r="T602" s="138"/>
      <c r="U602" s="136"/>
      <c r="V602" s="136"/>
      <c r="W602" s="137"/>
      <c r="X602" s="137"/>
      <c r="Y602" s="136"/>
      <c r="Z602" s="136"/>
      <c r="AA602" s="137"/>
      <c r="AB602" s="137"/>
      <c r="AC602" s="137"/>
      <c r="AD602" s="137"/>
      <c r="AE602" s="136"/>
      <c r="AF602" s="136"/>
      <c r="AG602" s="137"/>
      <c r="AH602" s="137"/>
      <c r="AI602" s="136"/>
      <c r="AJ602" s="136"/>
      <c r="AK602" s="137"/>
      <c r="AL602" s="137"/>
      <c r="AM602" s="138"/>
      <c r="AN602" s="138"/>
      <c r="AO602" s="138"/>
      <c r="AP602" s="138"/>
      <c r="AQ602" s="7"/>
      <c r="AR602" s="7"/>
      <c r="AS602" s="7"/>
      <c r="AT602" s="99"/>
      <c r="AU602" s="99"/>
      <c r="AV602" s="99"/>
      <c r="AW602" s="99"/>
      <c r="AX602" s="100"/>
      <c r="AY602" s="100"/>
      <c r="AZ602" s="100"/>
      <c r="BA602" s="97"/>
      <c r="BB602" s="97"/>
      <c r="BC602" s="97"/>
    </row>
    <row r="603" spans="12:55" ht="14.25" customHeight="1">
      <c r="L603" s="136"/>
      <c r="M603" s="136"/>
      <c r="N603" s="136"/>
      <c r="O603" s="136"/>
      <c r="P603" s="137"/>
      <c r="Q603" s="138"/>
      <c r="R603" s="138"/>
      <c r="S603" s="138"/>
      <c r="T603" s="138"/>
      <c r="U603" s="49"/>
      <c r="V603" s="49"/>
      <c r="W603" s="49"/>
      <c r="X603" s="136"/>
      <c r="Y603" s="136"/>
      <c r="Z603" s="136"/>
      <c r="AA603" s="136"/>
      <c r="AB603" s="137"/>
      <c r="AC603" s="137"/>
      <c r="AD603" s="137"/>
      <c r="AE603" s="136"/>
      <c r="AF603" s="136"/>
      <c r="AG603" s="136"/>
      <c r="AH603" s="136"/>
      <c r="AI603" s="137"/>
      <c r="AJ603" s="137"/>
      <c r="AK603" s="137"/>
      <c r="AL603" s="49"/>
      <c r="AM603" s="138"/>
      <c r="AN603" s="138"/>
      <c r="AO603" s="138"/>
      <c r="AP603" s="138"/>
      <c r="AQ603" s="7"/>
      <c r="AR603" s="7"/>
      <c r="AS603" s="7"/>
      <c r="AT603" s="99"/>
      <c r="AU603" s="99"/>
      <c r="AV603" s="99"/>
      <c r="AW603" s="99"/>
      <c r="AX603" s="100"/>
      <c r="AY603" s="100"/>
      <c r="AZ603" s="100"/>
      <c r="BA603" s="97"/>
      <c r="BB603" s="97"/>
      <c r="BC603" s="97"/>
    </row>
    <row r="604" spans="12:55" ht="14.25" customHeight="1">
      <c r="L604" s="136"/>
      <c r="M604" s="136"/>
      <c r="N604" s="136"/>
      <c r="O604" s="136"/>
      <c r="P604" s="137"/>
      <c r="Q604" s="138"/>
      <c r="R604" s="138"/>
      <c r="S604" s="138"/>
      <c r="T604" s="138"/>
      <c r="U604" s="7"/>
      <c r="V604" s="7"/>
      <c r="W604" s="7"/>
      <c r="X604" s="136"/>
      <c r="Y604" s="136"/>
      <c r="Z604" s="136"/>
      <c r="AA604" s="136"/>
      <c r="AB604" s="137"/>
      <c r="AC604" s="137"/>
      <c r="AD604" s="137"/>
      <c r="AE604" s="136"/>
      <c r="AF604" s="136"/>
      <c r="AG604" s="136"/>
      <c r="AH604" s="136"/>
      <c r="AI604" s="137"/>
      <c r="AJ604" s="137"/>
      <c r="AK604" s="137"/>
      <c r="AL604" s="7"/>
      <c r="AM604" s="138"/>
      <c r="AN604" s="138"/>
      <c r="AO604" s="138"/>
      <c r="AP604" s="138"/>
      <c r="AQ604" s="7"/>
      <c r="AR604" s="7"/>
      <c r="AS604" s="7"/>
      <c r="AT604" s="99"/>
      <c r="AU604" s="99"/>
      <c r="AV604" s="99"/>
      <c r="AW604" s="99"/>
      <c r="AX604" s="100"/>
      <c r="AY604" s="100"/>
      <c r="AZ604" s="100"/>
      <c r="BA604" s="97"/>
      <c r="BB604" s="97"/>
      <c r="BC604" s="97"/>
    </row>
    <row r="605" spans="12:55" ht="14.25" customHeight="1">
      <c r="L605" s="136"/>
      <c r="M605" s="136"/>
      <c r="N605" s="136"/>
      <c r="O605" s="136"/>
      <c r="P605" s="137"/>
      <c r="Q605" s="138"/>
      <c r="R605" s="138"/>
      <c r="S605" s="138"/>
      <c r="T605" s="138"/>
      <c r="U605" s="7"/>
      <c r="V605" s="7"/>
      <c r="W605" s="7"/>
      <c r="X605" s="136"/>
      <c r="Y605" s="136"/>
      <c r="Z605" s="136"/>
      <c r="AA605" s="136"/>
      <c r="AB605" s="137"/>
      <c r="AC605" s="137"/>
      <c r="AD605" s="137"/>
      <c r="AE605" s="136"/>
      <c r="AF605" s="136"/>
      <c r="AG605" s="136"/>
      <c r="AH605" s="136"/>
      <c r="AI605" s="137"/>
      <c r="AJ605" s="137"/>
      <c r="AK605" s="137"/>
      <c r="AL605" s="7"/>
      <c r="AM605" s="138"/>
      <c r="AN605" s="138"/>
      <c r="AO605" s="138"/>
      <c r="AP605" s="138"/>
      <c r="AQ605" s="7"/>
      <c r="AR605" s="7"/>
      <c r="AS605" s="7"/>
      <c r="AT605" s="99"/>
      <c r="AU605" s="99"/>
      <c r="AV605" s="99"/>
      <c r="AW605" s="99"/>
      <c r="AX605" s="100"/>
      <c r="AY605" s="100"/>
      <c r="AZ605" s="100"/>
      <c r="BA605" s="97"/>
      <c r="BB605" s="97"/>
      <c r="BC605" s="97"/>
    </row>
    <row r="606" spans="12:55" ht="30.9" customHeight="1">
      <c r="L606" s="139"/>
      <c r="M606" s="139"/>
      <c r="N606" s="139"/>
      <c r="O606" s="140"/>
      <c r="P606" s="140"/>
      <c r="Q606" s="137"/>
      <c r="R606" s="137"/>
      <c r="S606" s="137"/>
      <c r="T606" s="137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  <c r="AH606" s="122"/>
      <c r="AI606" s="122"/>
      <c r="AJ606" s="122"/>
      <c r="AK606" s="122"/>
      <c r="AL606" s="122"/>
      <c r="AM606" s="122"/>
      <c r="AN606" s="122"/>
      <c r="AO606" s="122"/>
      <c r="AP606" s="122"/>
      <c r="AQ606" s="122"/>
      <c r="AR606" s="122"/>
      <c r="AS606" s="122"/>
      <c r="AT606" s="122"/>
      <c r="AU606" s="122"/>
      <c r="AV606" s="122"/>
      <c r="AW606" s="122"/>
      <c r="AX606" s="122"/>
      <c r="AY606" s="122"/>
      <c r="AZ606" s="122"/>
      <c r="BA606" s="122"/>
      <c r="BB606" s="122"/>
      <c r="BC606" s="122"/>
    </row>
    <row r="607" spans="12:55" ht="30.9" customHeight="1">
      <c r="L607" s="139"/>
      <c r="M607" s="139"/>
      <c r="N607" s="139"/>
      <c r="O607" s="140"/>
      <c r="P607" s="140"/>
      <c r="Q607" s="137"/>
      <c r="R607" s="137"/>
      <c r="S607" s="137"/>
      <c r="T607" s="137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  <c r="AH607" s="122"/>
      <c r="AI607" s="122"/>
      <c r="AJ607" s="122"/>
      <c r="AK607" s="122"/>
      <c r="AL607" s="122"/>
      <c r="AM607" s="122"/>
      <c r="AN607" s="122"/>
      <c r="AO607" s="122"/>
      <c r="AP607" s="122"/>
      <c r="AQ607" s="122"/>
      <c r="AR607" s="122"/>
      <c r="AS607" s="122"/>
      <c r="AT607" s="122"/>
      <c r="AU607" s="122"/>
      <c r="AV607" s="122"/>
      <c r="AW607" s="122"/>
      <c r="AX607" s="122"/>
      <c r="AY607" s="122"/>
      <c r="AZ607" s="122"/>
      <c r="BA607" s="122"/>
      <c r="BB607" s="122"/>
      <c r="BC607" s="122"/>
    </row>
    <row r="608" spans="12:55" ht="14.25" customHeight="1">
      <c r="L608" s="136"/>
      <c r="M608" s="136"/>
      <c r="N608" s="136"/>
      <c r="O608" s="136"/>
      <c r="P608" s="137"/>
      <c r="Q608" s="138"/>
      <c r="R608" s="138"/>
      <c r="S608" s="138"/>
      <c r="T608" s="138"/>
      <c r="U608" s="136"/>
      <c r="V608" s="136"/>
      <c r="W608" s="137"/>
      <c r="X608" s="137"/>
      <c r="Y608" s="136"/>
      <c r="Z608" s="136"/>
      <c r="AA608" s="137"/>
      <c r="AB608" s="137"/>
      <c r="AC608" s="137"/>
      <c r="AD608" s="137"/>
      <c r="AE608" s="136"/>
      <c r="AF608" s="136"/>
      <c r="AG608" s="137"/>
      <c r="AH608" s="137"/>
      <c r="AI608" s="136"/>
      <c r="AJ608" s="136"/>
      <c r="AK608" s="137"/>
      <c r="AL608" s="137"/>
      <c r="AM608" s="138"/>
      <c r="AN608" s="138"/>
      <c r="AO608" s="138"/>
      <c r="AP608" s="138"/>
      <c r="AQ608" s="7"/>
      <c r="AR608" s="7"/>
      <c r="AS608" s="7"/>
      <c r="AT608" s="136"/>
      <c r="AU608" s="136"/>
      <c r="AV608" s="136"/>
      <c r="AW608" s="136"/>
      <c r="AX608" s="137"/>
      <c r="AY608" s="137"/>
      <c r="AZ608" s="137"/>
      <c r="BA608" s="137"/>
      <c r="BB608" s="137"/>
      <c r="BC608" s="137"/>
    </row>
    <row r="609" spans="12:55" ht="14.25" customHeight="1">
      <c r="L609" s="136"/>
      <c r="M609" s="136"/>
      <c r="N609" s="136"/>
      <c r="O609" s="136"/>
      <c r="P609" s="137"/>
      <c r="Q609" s="138"/>
      <c r="R609" s="138"/>
      <c r="S609" s="138"/>
      <c r="T609" s="138"/>
      <c r="U609" s="136"/>
      <c r="V609" s="136"/>
      <c r="W609" s="137"/>
      <c r="X609" s="137"/>
      <c r="Y609" s="136"/>
      <c r="Z609" s="136"/>
      <c r="AA609" s="137"/>
      <c r="AB609" s="137"/>
      <c r="AC609" s="137"/>
      <c r="AD609" s="137"/>
      <c r="AE609" s="136"/>
      <c r="AF609" s="136"/>
      <c r="AG609" s="137"/>
      <c r="AH609" s="137"/>
      <c r="AI609" s="136"/>
      <c r="AJ609" s="136"/>
      <c r="AK609" s="137"/>
      <c r="AL609" s="137"/>
      <c r="AM609" s="138"/>
      <c r="AN609" s="138"/>
      <c r="AO609" s="138"/>
      <c r="AP609" s="138"/>
      <c r="AQ609" s="7"/>
      <c r="AR609" s="7"/>
      <c r="AS609" s="7"/>
      <c r="AT609" s="136"/>
      <c r="AU609" s="136"/>
      <c r="AV609" s="136"/>
      <c r="AW609" s="136"/>
      <c r="AX609" s="137"/>
      <c r="AY609" s="137"/>
      <c r="AZ609" s="137"/>
      <c r="BA609" s="137"/>
      <c r="BB609" s="137"/>
      <c r="BC609" s="137"/>
    </row>
    <row r="610" spans="12:55" ht="14.25" customHeight="1">
      <c r="L610" s="136"/>
      <c r="M610" s="136"/>
      <c r="N610" s="136"/>
      <c r="O610" s="136"/>
      <c r="P610" s="137"/>
      <c r="Q610" s="138"/>
      <c r="R610" s="138"/>
      <c r="S610" s="138"/>
      <c r="T610" s="138"/>
      <c r="U610" s="136"/>
      <c r="V610" s="136"/>
      <c r="W610" s="137"/>
      <c r="X610" s="137"/>
      <c r="Y610" s="136"/>
      <c r="Z610" s="136"/>
      <c r="AA610" s="137"/>
      <c r="AB610" s="137"/>
      <c r="AC610" s="137"/>
      <c r="AD610" s="137"/>
      <c r="AE610" s="136"/>
      <c r="AF610" s="136"/>
      <c r="AG610" s="137"/>
      <c r="AH610" s="137"/>
      <c r="AI610" s="136"/>
      <c r="AJ610" s="136"/>
      <c r="AK610" s="137"/>
      <c r="AL610" s="137"/>
      <c r="AM610" s="138"/>
      <c r="AN610" s="138"/>
      <c r="AO610" s="138"/>
      <c r="AP610" s="138"/>
      <c r="AQ610" s="7"/>
      <c r="AR610" s="7"/>
      <c r="AS610" s="7"/>
      <c r="AT610" s="99"/>
      <c r="AU610" s="99"/>
      <c r="AV610" s="99"/>
      <c r="AW610" s="99"/>
      <c r="AX610" s="100"/>
      <c r="AY610" s="100"/>
      <c r="AZ610" s="100"/>
      <c r="BA610" s="97"/>
      <c r="BB610" s="97"/>
      <c r="BC610" s="97"/>
    </row>
    <row r="611" spans="12:55" ht="14.25" customHeight="1">
      <c r="L611" s="136"/>
      <c r="M611" s="136"/>
      <c r="N611" s="136"/>
      <c r="O611" s="136"/>
      <c r="P611" s="137"/>
      <c r="Q611" s="138"/>
      <c r="R611" s="138"/>
      <c r="S611" s="138"/>
      <c r="T611" s="138"/>
      <c r="U611" s="49"/>
      <c r="V611" s="49"/>
      <c r="W611" s="49"/>
      <c r="X611" s="136"/>
      <c r="Y611" s="136"/>
      <c r="Z611" s="136"/>
      <c r="AA611" s="136"/>
      <c r="AB611" s="137"/>
      <c r="AC611" s="137"/>
      <c r="AD611" s="137"/>
      <c r="AE611" s="136"/>
      <c r="AF611" s="136"/>
      <c r="AG611" s="136"/>
      <c r="AH611" s="136"/>
      <c r="AI611" s="137"/>
      <c r="AJ611" s="137"/>
      <c r="AK611" s="137"/>
      <c r="AL611" s="49"/>
      <c r="AM611" s="138"/>
      <c r="AN611" s="138"/>
      <c r="AO611" s="138"/>
      <c r="AP611" s="138"/>
      <c r="AQ611" s="7"/>
      <c r="AR611" s="7"/>
      <c r="AS611" s="7"/>
      <c r="AT611" s="99"/>
      <c r="AU611" s="99"/>
      <c r="AV611" s="99"/>
      <c r="AW611" s="99"/>
      <c r="AX611" s="100"/>
      <c r="AY611" s="100"/>
      <c r="AZ611" s="100"/>
      <c r="BA611" s="97"/>
      <c r="BB611" s="97"/>
      <c r="BC611" s="97"/>
    </row>
    <row r="612" spans="12:55" ht="14.25" customHeight="1">
      <c r="L612" s="136"/>
      <c r="M612" s="136"/>
      <c r="N612" s="136"/>
      <c r="O612" s="136"/>
      <c r="P612" s="137"/>
      <c r="Q612" s="138"/>
      <c r="R612" s="138"/>
      <c r="S612" s="138"/>
      <c r="T612" s="138"/>
      <c r="U612" s="7"/>
      <c r="V612" s="7"/>
      <c r="W612" s="7"/>
      <c r="X612" s="136"/>
      <c r="Y612" s="136"/>
      <c r="Z612" s="136"/>
      <c r="AA612" s="136"/>
      <c r="AB612" s="137"/>
      <c r="AC612" s="137"/>
      <c r="AD612" s="137"/>
      <c r="AE612" s="136"/>
      <c r="AF612" s="136"/>
      <c r="AG612" s="136"/>
      <c r="AH612" s="136"/>
      <c r="AI612" s="137"/>
      <c r="AJ612" s="137"/>
      <c r="AK612" s="137"/>
      <c r="AL612" s="7"/>
      <c r="AM612" s="138"/>
      <c r="AN612" s="138"/>
      <c r="AO612" s="138"/>
      <c r="AP612" s="138"/>
      <c r="AQ612" s="7"/>
      <c r="AR612" s="7"/>
      <c r="AS612" s="7"/>
      <c r="AT612" s="99"/>
      <c r="AU612" s="99"/>
      <c r="AV612" s="99"/>
      <c r="AW612" s="99"/>
      <c r="AX612" s="100"/>
      <c r="AY612" s="100"/>
      <c r="AZ612" s="100"/>
      <c r="BA612" s="97"/>
      <c r="BB612" s="97"/>
      <c r="BC612" s="97"/>
    </row>
    <row r="613" spans="12:55" ht="14.25" customHeight="1">
      <c r="L613" s="136"/>
      <c r="M613" s="136"/>
      <c r="N613" s="136"/>
      <c r="O613" s="136"/>
      <c r="P613" s="137"/>
      <c r="Q613" s="138"/>
      <c r="R613" s="138"/>
      <c r="S613" s="138"/>
      <c r="T613" s="138"/>
      <c r="U613" s="7"/>
      <c r="V613" s="7"/>
      <c r="W613" s="7"/>
      <c r="X613" s="136"/>
      <c r="Y613" s="136"/>
      <c r="Z613" s="136"/>
      <c r="AA613" s="136"/>
      <c r="AB613" s="137"/>
      <c r="AC613" s="137"/>
      <c r="AD613" s="137"/>
      <c r="AE613" s="136"/>
      <c r="AF613" s="136"/>
      <c r="AG613" s="136"/>
      <c r="AH613" s="136"/>
      <c r="AI613" s="137"/>
      <c r="AJ613" s="137"/>
      <c r="AK613" s="137"/>
      <c r="AL613" s="7"/>
      <c r="AM613" s="138"/>
      <c r="AN613" s="138"/>
      <c r="AO613" s="138"/>
      <c r="AP613" s="138"/>
      <c r="AQ613" s="7"/>
      <c r="AR613" s="7"/>
      <c r="AS613" s="7"/>
      <c r="AT613" s="99"/>
      <c r="AU613" s="99"/>
      <c r="AV613" s="99"/>
      <c r="AW613" s="99"/>
      <c r="AX613" s="100"/>
      <c r="AY613" s="100"/>
      <c r="AZ613" s="100"/>
      <c r="BA613" s="97"/>
      <c r="BB613" s="97"/>
      <c r="BC613" s="97"/>
    </row>
    <row r="614" spans="12:55" ht="30.9" customHeight="1">
      <c r="L614" s="139"/>
      <c r="M614" s="139"/>
      <c r="N614" s="139"/>
      <c r="O614" s="140"/>
      <c r="P614" s="140"/>
      <c r="Q614" s="137"/>
      <c r="R614" s="137"/>
      <c r="S614" s="137"/>
      <c r="T614" s="137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  <c r="AH614" s="122"/>
      <c r="AI614" s="122"/>
      <c r="AJ614" s="122"/>
      <c r="AK614" s="122"/>
      <c r="AL614" s="122"/>
      <c r="AM614" s="122"/>
      <c r="AN614" s="122"/>
      <c r="AO614" s="122"/>
      <c r="AP614" s="122"/>
      <c r="AQ614" s="122"/>
      <c r="AR614" s="122"/>
      <c r="AS614" s="122"/>
      <c r="AT614" s="122"/>
      <c r="AU614" s="122"/>
      <c r="AV614" s="122"/>
      <c r="AW614" s="122"/>
      <c r="AX614" s="122"/>
      <c r="AY614" s="122"/>
      <c r="AZ614" s="122"/>
      <c r="BA614" s="122"/>
      <c r="BB614" s="122"/>
      <c r="BC614" s="122"/>
    </row>
    <row r="615" spans="12:55" ht="30.9" customHeight="1">
      <c r="L615" s="139"/>
      <c r="M615" s="139"/>
      <c r="N615" s="139"/>
      <c r="O615" s="140"/>
      <c r="P615" s="140"/>
      <c r="Q615" s="137"/>
      <c r="R615" s="137"/>
      <c r="S615" s="137"/>
      <c r="T615" s="137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  <c r="AH615" s="122"/>
      <c r="AI615" s="122"/>
      <c r="AJ615" s="122"/>
      <c r="AK615" s="122"/>
      <c r="AL615" s="122"/>
      <c r="AM615" s="122"/>
      <c r="AN615" s="122"/>
      <c r="AO615" s="122"/>
      <c r="AP615" s="122"/>
      <c r="AQ615" s="122"/>
      <c r="AR615" s="122"/>
      <c r="AS615" s="122"/>
      <c r="AT615" s="122"/>
      <c r="AU615" s="122"/>
      <c r="AV615" s="122"/>
      <c r="AW615" s="122"/>
      <c r="AX615" s="122"/>
      <c r="AY615" s="122"/>
      <c r="AZ615" s="122"/>
      <c r="BA615" s="122"/>
      <c r="BB615" s="122"/>
      <c r="BC615" s="122"/>
    </row>
    <row r="616" spans="12:55" ht="14.25" customHeight="1">
      <c r="L616" s="136"/>
      <c r="M616" s="136"/>
      <c r="N616" s="136"/>
      <c r="O616" s="136"/>
      <c r="P616" s="137"/>
      <c r="Q616" s="138"/>
      <c r="R616" s="138"/>
      <c r="S616" s="138"/>
      <c r="T616" s="138"/>
      <c r="U616" s="136"/>
      <c r="V616" s="136"/>
      <c r="W616" s="137"/>
      <c r="X616" s="137"/>
      <c r="Y616" s="136"/>
      <c r="Z616" s="136"/>
      <c r="AA616" s="137"/>
      <c r="AB616" s="137"/>
      <c r="AC616" s="137"/>
      <c r="AD616" s="137"/>
      <c r="AE616" s="136"/>
      <c r="AF616" s="136"/>
      <c r="AG616" s="137"/>
      <c r="AH616" s="137"/>
      <c r="AI616" s="136"/>
      <c r="AJ616" s="136"/>
      <c r="AK616" s="137"/>
      <c r="AL616" s="137"/>
      <c r="AM616" s="138"/>
      <c r="AN616" s="138"/>
      <c r="AO616" s="138"/>
      <c r="AP616" s="138"/>
      <c r="AQ616" s="7"/>
      <c r="AR616" s="7"/>
      <c r="AS616" s="7"/>
      <c r="AT616" s="136"/>
      <c r="AU616" s="136"/>
      <c r="AV616" s="136"/>
      <c r="AW616" s="136"/>
      <c r="AX616" s="137"/>
      <c r="AY616" s="137"/>
      <c r="AZ616" s="137"/>
      <c r="BA616" s="137"/>
      <c r="BB616" s="137"/>
      <c r="BC616" s="137"/>
    </row>
    <row r="617" spans="12:55" ht="14.25" customHeight="1">
      <c r="L617" s="136"/>
      <c r="M617" s="136"/>
      <c r="N617" s="136"/>
      <c r="O617" s="136"/>
      <c r="P617" s="137"/>
      <c r="Q617" s="138"/>
      <c r="R617" s="138"/>
      <c r="S617" s="138"/>
      <c r="T617" s="138"/>
      <c r="U617" s="136"/>
      <c r="V617" s="136"/>
      <c r="W617" s="137"/>
      <c r="X617" s="137"/>
      <c r="Y617" s="136"/>
      <c r="Z617" s="136"/>
      <c r="AA617" s="137"/>
      <c r="AB617" s="137"/>
      <c r="AC617" s="137"/>
      <c r="AD617" s="137"/>
      <c r="AE617" s="136"/>
      <c r="AF617" s="136"/>
      <c r="AG617" s="137"/>
      <c r="AH617" s="137"/>
      <c r="AI617" s="136"/>
      <c r="AJ617" s="136"/>
      <c r="AK617" s="137"/>
      <c r="AL617" s="137"/>
      <c r="AM617" s="138"/>
      <c r="AN617" s="138"/>
      <c r="AO617" s="138"/>
      <c r="AP617" s="138"/>
      <c r="AQ617" s="7"/>
      <c r="AR617" s="7"/>
      <c r="AS617" s="7"/>
      <c r="AT617" s="136"/>
      <c r="AU617" s="136"/>
      <c r="AV617" s="136"/>
      <c r="AW617" s="136"/>
      <c r="AX617" s="137"/>
      <c r="AY617" s="137"/>
      <c r="AZ617" s="137"/>
      <c r="BA617" s="137"/>
      <c r="BB617" s="137"/>
      <c r="BC617" s="137"/>
    </row>
    <row r="618" spans="12:55" ht="14.25" customHeight="1">
      <c r="L618" s="136"/>
      <c r="M618" s="136"/>
      <c r="N618" s="136"/>
      <c r="O618" s="136"/>
      <c r="P618" s="137"/>
      <c r="Q618" s="138"/>
      <c r="R618" s="138"/>
      <c r="S618" s="138"/>
      <c r="T618" s="138"/>
      <c r="U618" s="136"/>
      <c r="V618" s="136"/>
      <c r="W618" s="137"/>
      <c r="X618" s="137"/>
      <c r="Y618" s="136"/>
      <c r="Z618" s="136"/>
      <c r="AA618" s="137"/>
      <c r="AB618" s="137"/>
      <c r="AC618" s="137"/>
      <c r="AD618" s="137"/>
      <c r="AE618" s="136"/>
      <c r="AF618" s="136"/>
      <c r="AG618" s="137"/>
      <c r="AH618" s="137"/>
      <c r="AI618" s="136"/>
      <c r="AJ618" s="136"/>
      <c r="AK618" s="137"/>
      <c r="AL618" s="137"/>
      <c r="AM618" s="138"/>
      <c r="AN618" s="138"/>
      <c r="AO618" s="138"/>
      <c r="AP618" s="138"/>
      <c r="AQ618" s="7"/>
      <c r="AR618" s="7"/>
      <c r="AS618" s="7"/>
      <c r="AT618" s="99"/>
      <c r="AU618" s="99"/>
      <c r="AV618" s="99"/>
      <c r="AW618" s="99"/>
      <c r="AX618" s="100"/>
      <c r="AY618" s="100"/>
      <c r="AZ618" s="100"/>
      <c r="BA618" s="97"/>
      <c r="BB618" s="97"/>
      <c r="BC618" s="97"/>
    </row>
    <row r="619" spans="12:55" ht="14.25" customHeight="1">
      <c r="L619" s="136"/>
      <c r="M619" s="136"/>
      <c r="N619" s="136"/>
      <c r="O619" s="136"/>
      <c r="P619" s="137"/>
      <c r="Q619" s="138"/>
      <c r="R619" s="138"/>
      <c r="S619" s="138"/>
      <c r="T619" s="138"/>
      <c r="U619" s="49"/>
      <c r="V619" s="49"/>
      <c r="W619" s="49"/>
      <c r="X619" s="136"/>
      <c r="Y619" s="136"/>
      <c r="Z619" s="136"/>
      <c r="AA619" s="136"/>
      <c r="AB619" s="137"/>
      <c r="AC619" s="137"/>
      <c r="AD619" s="137"/>
      <c r="AE619" s="136"/>
      <c r="AF619" s="136"/>
      <c r="AG619" s="136"/>
      <c r="AH619" s="136"/>
      <c r="AI619" s="137"/>
      <c r="AJ619" s="137"/>
      <c r="AK619" s="137"/>
      <c r="AL619" s="49"/>
      <c r="AM619" s="138"/>
      <c r="AN619" s="138"/>
      <c r="AO619" s="138"/>
      <c r="AP619" s="138"/>
      <c r="AQ619" s="7"/>
      <c r="AR619" s="7"/>
      <c r="AS619" s="7"/>
      <c r="AT619" s="99"/>
      <c r="AU619" s="99"/>
      <c r="AV619" s="99"/>
      <c r="AW619" s="99"/>
      <c r="AX619" s="100"/>
      <c r="AY619" s="100"/>
      <c r="AZ619" s="100"/>
      <c r="BA619" s="97"/>
      <c r="BB619" s="97"/>
      <c r="BC619" s="97"/>
    </row>
    <row r="620" spans="12:55" ht="14.25" customHeight="1">
      <c r="L620" s="136"/>
      <c r="M620" s="136"/>
      <c r="N620" s="136"/>
      <c r="O620" s="136"/>
      <c r="P620" s="137"/>
      <c r="Q620" s="138"/>
      <c r="R620" s="138"/>
      <c r="S620" s="138"/>
      <c r="T620" s="138"/>
      <c r="U620" s="7"/>
      <c r="V620" s="7"/>
      <c r="W620" s="7"/>
      <c r="X620" s="136"/>
      <c r="Y620" s="136"/>
      <c r="Z620" s="136"/>
      <c r="AA620" s="136"/>
      <c r="AB620" s="137"/>
      <c r="AC620" s="137"/>
      <c r="AD620" s="137"/>
      <c r="AE620" s="136"/>
      <c r="AF620" s="136"/>
      <c r="AG620" s="136"/>
      <c r="AH620" s="136"/>
      <c r="AI620" s="137"/>
      <c r="AJ620" s="137"/>
      <c r="AK620" s="137"/>
      <c r="AL620" s="7"/>
      <c r="AM620" s="138"/>
      <c r="AN620" s="138"/>
      <c r="AO620" s="138"/>
      <c r="AP620" s="138"/>
      <c r="AQ620" s="7"/>
      <c r="AR620" s="7"/>
      <c r="AS620" s="7"/>
      <c r="AT620" s="99"/>
      <c r="AU620" s="99"/>
      <c r="AV620" s="99"/>
      <c r="AW620" s="99"/>
      <c r="AX620" s="100"/>
      <c r="AY620" s="100"/>
      <c r="AZ620" s="100"/>
      <c r="BA620" s="97"/>
      <c r="BB620" s="97"/>
      <c r="BC620" s="97"/>
    </row>
    <row r="621" spans="12:55" ht="14.25" customHeight="1">
      <c r="L621" s="136"/>
      <c r="M621" s="136"/>
      <c r="N621" s="136"/>
      <c r="O621" s="136"/>
      <c r="P621" s="137"/>
      <c r="Q621" s="138"/>
      <c r="R621" s="138"/>
      <c r="S621" s="138"/>
      <c r="T621" s="138"/>
      <c r="U621" s="7"/>
      <c r="V621" s="7"/>
      <c r="W621" s="7"/>
      <c r="X621" s="136"/>
      <c r="Y621" s="136"/>
      <c r="Z621" s="136"/>
      <c r="AA621" s="136"/>
      <c r="AB621" s="137"/>
      <c r="AC621" s="137"/>
      <c r="AD621" s="137"/>
      <c r="AE621" s="136"/>
      <c r="AF621" s="136"/>
      <c r="AG621" s="136"/>
      <c r="AH621" s="136"/>
      <c r="AI621" s="137"/>
      <c r="AJ621" s="137"/>
      <c r="AK621" s="137"/>
      <c r="AL621" s="7"/>
      <c r="AM621" s="138"/>
      <c r="AN621" s="138"/>
      <c r="AO621" s="138"/>
      <c r="AP621" s="138"/>
      <c r="AQ621" s="7"/>
      <c r="AR621" s="7"/>
      <c r="AS621" s="7"/>
      <c r="AT621" s="99"/>
      <c r="AU621" s="99"/>
      <c r="AV621" s="99"/>
      <c r="AW621" s="99"/>
      <c r="AX621" s="100"/>
      <c r="AY621" s="100"/>
      <c r="AZ621" s="100"/>
      <c r="BA621" s="97"/>
      <c r="BB621" s="97"/>
      <c r="BC621" s="97"/>
    </row>
    <row r="622" spans="12:55" ht="30.9" customHeight="1">
      <c r="L622" s="139"/>
      <c r="M622" s="139"/>
      <c r="N622" s="139"/>
      <c r="O622" s="140"/>
      <c r="P622" s="140"/>
      <c r="Q622" s="137"/>
      <c r="R622" s="137"/>
      <c r="S622" s="137"/>
      <c r="T622" s="137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  <c r="AH622" s="122"/>
      <c r="AI622" s="122"/>
      <c r="AJ622" s="122"/>
      <c r="AK622" s="122"/>
      <c r="AL622" s="122"/>
      <c r="AM622" s="122"/>
      <c r="AN622" s="122"/>
      <c r="AO622" s="122"/>
      <c r="AP622" s="122"/>
      <c r="AQ622" s="122"/>
      <c r="AR622" s="122"/>
      <c r="AS622" s="122"/>
      <c r="AT622" s="122"/>
      <c r="AU622" s="122"/>
      <c r="AV622" s="122"/>
      <c r="AW622" s="122"/>
      <c r="AX622" s="122"/>
      <c r="AY622" s="122"/>
      <c r="AZ622" s="122"/>
      <c r="BA622" s="122"/>
      <c r="BB622" s="122"/>
      <c r="BC622" s="122"/>
    </row>
    <row r="623" spans="12:55" ht="30.9" customHeight="1">
      <c r="L623" s="139"/>
      <c r="M623" s="139"/>
      <c r="N623" s="139"/>
      <c r="O623" s="140"/>
      <c r="P623" s="140"/>
      <c r="Q623" s="137"/>
      <c r="R623" s="137"/>
      <c r="S623" s="137"/>
      <c r="T623" s="137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  <c r="AH623" s="122"/>
      <c r="AI623" s="122"/>
      <c r="AJ623" s="122"/>
      <c r="AK623" s="122"/>
      <c r="AL623" s="122"/>
      <c r="AM623" s="122"/>
      <c r="AN623" s="122"/>
      <c r="AO623" s="122"/>
      <c r="AP623" s="122"/>
      <c r="AQ623" s="122"/>
      <c r="AR623" s="122"/>
      <c r="AS623" s="122"/>
      <c r="AT623" s="122"/>
      <c r="AU623" s="122"/>
      <c r="AV623" s="122"/>
      <c r="AW623" s="122"/>
      <c r="AX623" s="122"/>
      <c r="AY623" s="122"/>
      <c r="AZ623" s="122"/>
      <c r="BA623" s="122"/>
      <c r="BB623" s="122"/>
      <c r="BC623" s="122"/>
    </row>
    <row r="625" spans="12:60" ht="15" customHeight="1">
      <c r="L625" s="5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17"/>
      <c r="AF625" s="17"/>
      <c r="AG625" s="17"/>
      <c r="AH625" s="17"/>
      <c r="AI625" s="17"/>
      <c r="AJ625" s="17"/>
      <c r="AK625" s="17"/>
      <c r="AL625" s="17"/>
      <c r="AM625" s="17"/>
      <c r="AN625" s="17"/>
      <c r="AO625" s="17"/>
      <c r="AP625" s="17"/>
      <c r="AQ625" s="17"/>
      <c r="AR625" s="17"/>
      <c r="AS625" s="17"/>
      <c r="AT625" s="17"/>
      <c r="AU625" s="17"/>
      <c r="AV625" s="17"/>
      <c r="AW625" s="17"/>
      <c r="AX625" s="17"/>
      <c r="AY625" s="17"/>
      <c r="AZ625" s="17"/>
      <c r="BA625" s="75"/>
      <c r="BB625" s="17"/>
      <c r="BC625" s="17"/>
    </row>
    <row r="626" spans="12:60" ht="22.5" customHeight="1">
      <c r="L626" s="91"/>
      <c r="M626" s="91"/>
      <c r="N626" s="91"/>
      <c r="O626" s="91"/>
      <c r="P626" s="91"/>
      <c r="Q626" s="91"/>
      <c r="R626" s="91"/>
      <c r="S626" s="91"/>
      <c r="T626" s="91"/>
      <c r="U626" s="91"/>
      <c r="V626" s="91"/>
      <c r="W626" s="91"/>
      <c r="X626" s="91"/>
      <c r="Y626" s="91"/>
      <c r="Z626" s="91"/>
      <c r="AA626" s="91"/>
      <c r="AB626" s="91"/>
      <c r="AC626" s="91"/>
      <c r="AD626" s="91"/>
      <c r="AE626" s="18"/>
      <c r="AF626" s="18"/>
      <c r="AG626" s="18"/>
      <c r="AH626" s="18"/>
      <c r="AI626" s="18"/>
      <c r="AJ626" s="18"/>
      <c r="AK626" s="18"/>
      <c r="AL626" s="18"/>
      <c r="AM626" s="18"/>
      <c r="AN626" s="18"/>
      <c r="AO626" s="18"/>
      <c r="AP626" s="18"/>
      <c r="AQ626" s="18"/>
      <c r="AR626" s="18"/>
      <c r="AS626" s="18"/>
      <c r="AT626" s="18"/>
      <c r="AU626" s="18"/>
      <c r="AV626" s="18"/>
      <c r="AW626" s="18"/>
      <c r="AX626" s="18"/>
      <c r="AY626" s="18"/>
      <c r="AZ626" s="18"/>
      <c r="BA626" s="18"/>
      <c r="BB626" s="18"/>
      <c r="BC626" s="18"/>
    </row>
    <row r="627" spans="12:60" ht="22.5" customHeight="1">
      <c r="L627" s="51"/>
      <c r="M627" s="91"/>
      <c r="N627" s="94"/>
      <c r="O627" s="94"/>
      <c r="P627" s="94"/>
      <c r="Q627" s="91"/>
      <c r="R627" s="117"/>
      <c r="S627" s="117"/>
      <c r="T627" s="117"/>
      <c r="U627" s="117"/>
      <c r="V627" s="117"/>
      <c r="W627" s="117"/>
      <c r="X627" s="117"/>
      <c r="Y627" s="117"/>
      <c r="Z627" s="117"/>
      <c r="AA627" s="117"/>
      <c r="AB627" s="117"/>
      <c r="AC627" s="117"/>
      <c r="AD627" s="117"/>
      <c r="AE627" s="117"/>
      <c r="AF627" s="117"/>
      <c r="AG627" s="117"/>
      <c r="AH627" s="117"/>
      <c r="AI627" s="117"/>
      <c r="AJ627" s="51"/>
      <c r="AK627" s="91"/>
      <c r="AL627" s="94"/>
      <c r="AM627" s="94"/>
      <c r="AN627" s="94"/>
      <c r="AO627" s="94"/>
      <c r="AP627" s="94"/>
      <c r="AQ627" s="91"/>
      <c r="AR627" s="94"/>
      <c r="AS627" s="94"/>
      <c r="AT627" s="94"/>
      <c r="AU627" s="94"/>
      <c r="AV627" s="94"/>
      <c r="AW627" s="94"/>
      <c r="AX627" s="94"/>
      <c r="AY627" s="94"/>
      <c r="AZ627" s="94"/>
      <c r="BA627" s="94"/>
      <c r="BB627" s="94"/>
      <c r="BC627" s="94"/>
    </row>
    <row r="628" spans="12:60" ht="21.75" customHeight="1">
      <c r="L628" s="41"/>
      <c r="M628" s="94"/>
      <c r="N628" s="94"/>
      <c r="O628" s="94"/>
      <c r="P628" s="94"/>
      <c r="Q628" s="117"/>
      <c r="R628" s="117"/>
      <c r="S628" s="117"/>
      <c r="T628" s="117"/>
      <c r="U628" s="117"/>
      <c r="V628" s="117"/>
      <c r="W628" s="117"/>
      <c r="X628" s="117"/>
      <c r="Y628" s="117"/>
      <c r="Z628" s="117"/>
      <c r="AA628" s="117"/>
      <c r="AB628" s="117"/>
      <c r="AC628" s="117"/>
      <c r="AD628" s="117"/>
      <c r="AE628" s="117"/>
      <c r="AF628" s="117"/>
      <c r="AG628" s="117"/>
      <c r="AH628" s="117"/>
      <c r="AI628" s="117"/>
      <c r="AJ628" s="41"/>
      <c r="AK628" s="94"/>
      <c r="AL628" s="94"/>
      <c r="AM628" s="94"/>
      <c r="AN628" s="94"/>
      <c r="AO628" s="94"/>
      <c r="AP628" s="94"/>
      <c r="AQ628" s="94"/>
      <c r="AR628" s="94"/>
      <c r="AS628" s="94"/>
      <c r="AT628" s="94"/>
      <c r="AU628" s="94"/>
      <c r="AV628" s="94"/>
      <c r="AW628" s="94"/>
      <c r="AX628" s="94"/>
      <c r="AY628" s="94"/>
      <c r="AZ628" s="94"/>
      <c r="BA628" s="94"/>
      <c r="BB628" s="94"/>
      <c r="BC628" s="94"/>
    </row>
    <row r="629" spans="12:60" ht="14.4">
      <c r="L629" s="52"/>
      <c r="M629" s="96"/>
      <c r="N629" s="96"/>
      <c r="O629" s="96"/>
      <c r="P629" s="96"/>
      <c r="Q629" s="60"/>
      <c r="R629" s="96"/>
      <c r="S629" s="96"/>
      <c r="T629" s="96"/>
      <c r="U629" s="96"/>
      <c r="V629" s="96"/>
      <c r="W629" s="96"/>
      <c r="X629" s="96"/>
      <c r="Y629" s="96"/>
      <c r="Z629" s="96"/>
      <c r="AA629" s="96"/>
      <c r="AB629" s="96"/>
      <c r="AC629" s="96"/>
      <c r="AD629" s="96"/>
      <c r="AE629" s="96"/>
      <c r="AF629" s="96"/>
      <c r="AG629" s="96"/>
      <c r="AH629" s="96"/>
      <c r="AI629" s="96"/>
      <c r="AJ629" s="96"/>
      <c r="AK629" s="96"/>
      <c r="AL629" s="96"/>
      <c r="AM629" s="96"/>
      <c r="AN629" s="96"/>
      <c r="AO629" s="96"/>
      <c r="AP629" s="96"/>
      <c r="AQ629" s="96"/>
      <c r="AR629" s="96"/>
      <c r="AS629" s="96"/>
      <c r="AT629" s="96"/>
      <c r="AU629" s="96"/>
      <c r="AV629" s="96"/>
      <c r="AW629" s="96"/>
      <c r="AX629" s="96"/>
      <c r="AY629" s="96"/>
      <c r="AZ629" s="96"/>
      <c r="BA629" s="96"/>
      <c r="BB629" s="96"/>
      <c r="BC629" s="96"/>
      <c r="BD629" s="20"/>
      <c r="BE629" s="20"/>
      <c r="BF629" s="20"/>
      <c r="BG629" s="20"/>
      <c r="BH629" s="20"/>
    </row>
    <row r="630" spans="12:60" ht="14.4">
      <c r="L630" s="54"/>
      <c r="M630" s="96"/>
      <c r="N630" s="96"/>
      <c r="O630" s="96"/>
      <c r="P630" s="96"/>
      <c r="Q630" s="61"/>
      <c r="R630" s="96"/>
      <c r="S630" s="96"/>
      <c r="T630" s="96"/>
      <c r="U630" s="96"/>
      <c r="V630" s="96"/>
      <c r="W630" s="96"/>
      <c r="X630" s="96"/>
      <c r="Y630" s="96"/>
      <c r="Z630" s="96"/>
      <c r="AA630" s="96"/>
      <c r="AB630" s="96"/>
      <c r="AC630" s="96"/>
      <c r="AD630" s="96"/>
      <c r="AE630" s="96"/>
      <c r="AF630" s="96"/>
      <c r="AG630" s="96"/>
      <c r="AH630" s="96"/>
      <c r="AI630" s="96"/>
      <c r="AJ630" s="96"/>
      <c r="AK630" s="96"/>
      <c r="AL630" s="96"/>
      <c r="AM630" s="96"/>
      <c r="AN630" s="96"/>
      <c r="AO630" s="96"/>
      <c r="AP630" s="96"/>
      <c r="AQ630" s="96"/>
      <c r="AR630" s="96"/>
      <c r="AS630" s="96"/>
      <c r="AT630" s="96"/>
      <c r="AU630" s="96"/>
      <c r="AV630" s="96"/>
      <c r="AW630" s="96"/>
      <c r="AX630" s="96"/>
      <c r="AY630" s="96"/>
      <c r="AZ630" s="96"/>
      <c r="BA630" s="96"/>
      <c r="BB630" s="96"/>
      <c r="BC630" s="96"/>
      <c r="BD630" s="20"/>
      <c r="BE630" s="20"/>
      <c r="BF630" s="20"/>
      <c r="BG630" s="20"/>
      <c r="BH630" s="20"/>
    </row>
    <row r="631" spans="12:60" ht="15" customHeight="1">
      <c r="L631" s="136"/>
      <c r="M631" s="136"/>
      <c r="N631" s="136"/>
      <c r="O631" s="136"/>
      <c r="P631" s="137"/>
      <c r="Q631" s="138"/>
      <c r="R631" s="138"/>
      <c r="S631" s="138"/>
      <c r="T631" s="138"/>
      <c r="U631" s="136"/>
      <c r="V631" s="136"/>
      <c r="W631" s="137"/>
      <c r="X631" s="137"/>
      <c r="Y631" s="136"/>
      <c r="Z631" s="136"/>
      <c r="AA631" s="137"/>
      <c r="AB631" s="137"/>
      <c r="AC631" s="137"/>
      <c r="AD631" s="137"/>
      <c r="AE631" s="136"/>
      <c r="AF631" s="136"/>
      <c r="AG631" s="137"/>
      <c r="AH631" s="137"/>
      <c r="AI631" s="136"/>
      <c r="AJ631" s="136"/>
      <c r="AK631" s="137"/>
      <c r="AL631" s="137"/>
      <c r="AM631" s="138"/>
      <c r="AN631" s="138"/>
      <c r="AO631" s="138"/>
      <c r="AP631" s="138"/>
      <c r="AQ631" s="7"/>
      <c r="AR631" s="7"/>
      <c r="AS631" s="7"/>
      <c r="AT631" s="136"/>
      <c r="AU631" s="136"/>
      <c r="AV631" s="136"/>
      <c r="AW631" s="136"/>
      <c r="AX631" s="137"/>
      <c r="AY631" s="137"/>
      <c r="AZ631" s="137"/>
      <c r="BA631" s="137"/>
      <c r="BB631" s="137"/>
      <c r="BC631" s="137"/>
    </row>
    <row r="632" spans="12:60" ht="14.25" customHeight="1">
      <c r="L632" s="136"/>
      <c r="M632" s="136"/>
      <c r="N632" s="136"/>
      <c r="O632" s="136"/>
      <c r="P632" s="137"/>
      <c r="Q632" s="138"/>
      <c r="R632" s="138"/>
      <c r="S632" s="138"/>
      <c r="T632" s="138"/>
      <c r="U632" s="136"/>
      <c r="V632" s="136"/>
      <c r="W632" s="137"/>
      <c r="X632" s="137"/>
      <c r="Y632" s="136"/>
      <c r="Z632" s="136"/>
      <c r="AA632" s="137"/>
      <c r="AB632" s="137"/>
      <c r="AC632" s="137"/>
      <c r="AD632" s="137"/>
      <c r="AE632" s="136"/>
      <c r="AF632" s="136"/>
      <c r="AG632" s="137"/>
      <c r="AH632" s="137"/>
      <c r="AI632" s="136"/>
      <c r="AJ632" s="136"/>
      <c r="AK632" s="137"/>
      <c r="AL632" s="137"/>
      <c r="AM632" s="138"/>
      <c r="AN632" s="138"/>
      <c r="AO632" s="138"/>
      <c r="AP632" s="138"/>
      <c r="AQ632" s="7"/>
      <c r="AR632" s="7"/>
      <c r="AS632" s="7"/>
      <c r="AT632" s="136"/>
      <c r="AU632" s="136"/>
      <c r="AV632" s="136"/>
      <c r="AW632" s="136"/>
      <c r="AX632" s="137"/>
      <c r="AY632" s="137"/>
      <c r="AZ632" s="137"/>
      <c r="BA632" s="137"/>
      <c r="BB632" s="137"/>
      <c r="BC632" s="137"/>
    </row>
    <row r="633" spans="12:60" ht="14.25" customHeight="1">
      <c r="L633" s="136"/>
      <c r="M633" s="136"/>
      <c r="N633" s="136"/>
      <c r="O633" s="136"/>
      <c r="P633" s="137"/>
      <c r="Q633" s="138"/>
      <c r="R633" s="138"/>
      <c r="S633" s="138"/>
      <c r="T633" s="138"/>
      <c r="U633" s="136"/>
      <c r="V633" s="136"/>
      <c r="W633" s="137"/>
      <c r="X633" s="137"/>
      <c r="Y633" s="136"/>
      <c r="Z633" s="136"/>
      <c r="AA633" s="137"/>
      <c r="AB633" s="137"/>
      <c r="AC633" s="137"/>
      <c r="AD633" s="137"/>
      <c r="AE633" s="136"/>
      <c r="AF633" s="136"/>
      <c r="AG633" s="137"/>
      <c r="AH633" s="137"/>
      <c r="AI633" s="136"/>
      <c r="AJ633" s="136"/>
      <c r="AK633" s="137"/>
      <c r="AL633" s="137"/>
      <c r="AM633" s="138"/>
      <c r="AN633" s="138"/>
      <c r="AO633" s="138"/>
      <c r="AP633" s="138"/>
      <c r="AQ633" s="7"/>
      <c r="AR633" s="7"/>
      <c r="AS633" s="7"/>
      <c r="AT633" s="99"/>
      <c r="AU633" s="99"/>
      <c r="AV633" s="99"/>
      <c r="AW633" s="99"/>
      <c r="AX633" s="100"/>
      <c r="AY633" s="100"/>
      <c r="AZ633" s="100"/>
      <c r="BA633" s="97"/>
      <c r="BB633" s="97"/>
      <c r="BC633" s="97"/>
    </row>
    <row r="634" spans="12:60" ht="14.25" customHeight="1">
      <c r="L634" s="136"/>
      <c r="M634" s="136"/>
      <c r="N634" s="136"/>
      <c r="O634" s="136"/>
      <c r="P634" s="137"/>
      <c r="Q634" s="138"/>
      <c r="R634" s="138"/>
      <c r="S634" s="138"/>
      <c r="T634" s="138"/>
      <c r="U634" s="49"/>
      <c r="V634" s="49"/>
      <c r="W634" s="49"/>
      <c r="X634" s="136"/>
      <c r="Y634" s="136"/>
      <c r="Z634" s="136"/>
      <c r="AA634" s="136"/>
      <c r="AB634" s="137"/>
      <c r="AC634" s="137"/>
      <c r="AD634" s="137"/>
      <c r="AE634" s="136"/>
      <c r="AF634" s="136"/>
      <c r="AG634" s="136"/>
      <c r="AH634" s="136"/>
      <c r="AI634" s="137"/>
      <c r="AJ634" s="137"/>
      <c r="AK634" s="137"/>
      <c r="AL634" s="49"/>
      <c r="AM634" s="138"/>
      <c r="AN634" s="138"/>
      <c r="AO634" s="138"/>
      <c r="AP634" s="138"/>
      <c r="AQ634" s="7"/>
      <c r="AR634" s="7"/>
      <c r="AS634" s="7"/>
      <c r="AT634" s="99"/>
      <c r="AU634" s="99"/>
      <c r="AV634" s="99"/>
      <c r="AW634" s="99"/>
      <c r="AX634" s="100"/>
      <c r="AY634" s="100"/>
      <c r="AZ634" s="100"/>
      <c r="BA634" s="97"/>
      <c r="BB634" s="97"/>
      <c r="BC634" s="97"/>
    </row>
    <row r="635" spans="12:60" ht="14.25" customHeight="1">
      <c r="L635" s="136"/>
      <c r="M635" s="136"/>
      <c r="N635" s="136"/>
      <c r="O635" s="136"/>
      <c r="P635" s="137"/>
      <c r="Q635" s="138"/>
      <c r="R635" s="138"/>
      <c r="S635" s="138"/>
      <c r="T635" s="138"/>
      <c r="U635" s="7"/>
      <c r="V635" s="7"/>
      <c r="W635" s="7"/>
      <c r="X635" s="136"/>
      <c r="Y635" s="136"/>
      <c r="Z635" s="136"/>
      <c r="AA635" s="136"/>
      <c r="AB635" s="137"/>
      <c r="AC635" s="137"/>
      <c r="AD635" s="137"/>
      <c r="AE635" s="136"/>
      <c r="AF635" s="136"/>
      <c r="AG635" s="136"/>
      <c r="AH635" s="136"/>
      <c r="AI635" s="137"/>
      <c r="AJ635" s="137"/>
      <c r="AK635" s="137"/>
      <c r="AL635" s="7"/>
      <c r="AM635" s="138"/>
      <c r="AN635" s="138"/>
      <c r="AO635" s="138"/>
      <c r="AP635" s="138"/>
      <c r="AQ635" s="7"/>
      <c r="AR635" s="7"/>
      <c r="AS635" s="7"/>
      <c r="AT635" s="99"/>
      <c r="AU635" s="99"/>
      <c r="AV635" s="99"/>
      <c r="AW635" s="99"/>
      <c r="AX635" s="100"/>
      <c r="AY635" s="100"/>
      <c r="AZ635" s="100"/>
      <c r="BA635" s="97"/>
      <c r="BB635" s="97"/>
      <c r="BC635" s="97"/>
    </row>
    <row r="636" spans="12:60" ht="14.25" customHeight="1">
      <c r="L636" s="136"/>
      <c r="M636" s="136"/>
      <c r="N636" s="136"/>
      <c r="O636" s="136"/>
      <c r="P636" s="137"/>
      <c r="Q636" s="138"/>
      <c r="R636" s="138"/>
      <c r="S636" s="138"/>
      <c r="T636" s="138"/>
      <c r="U636" s="7"/>
      <c r="V636" s="7"/>
      <c r="W636" s="7"/>
      <c r="X636" s="136"/>
      <c r="Y636" s="136"/>
      <c r="Z636" s="136"/>
      <c r="AA636" s="136"/>
      <c r="AB636" s="137"/>
      <c r="AC636" s="137"/>
      <c r="AD636" s="137"/>
      <c r="AE636" s="136"/>
      <c r="AF636" s="136"/>
      <c r="AG636" s="136"/>
      <c r="AH636" s="136"/>
      <c r="AI636" s="137"/>
      <c r="AJ636" s="137"/>
      <c r="AK636" s="137"/>
      <c r="AL636" s="7"/>
      <c r="AM636" s="138"/>
      <c r="AN636" s="138"/>
      <c r="AO636" s="138"/>
      <c r="AP636" s="138"/>
      <c r="AQ636" s="7"/>
      <c r="AR636" s="7"/>
      <c r="AS636" s="7"/>
      <c r="AT636" s="99"/>
      <c r="AU636" s="99"/>
      <c r="AV636" s="99"/>
      <c r="AW636" s="99"/>
      <c r="AX636" s="100"/>
      <c r="AY636" s="100"/>
      <c r="AZ636" s="100"/>
      <c r="BA636" s="97"/>
      <c r="BB636" s="97"/>
      <c r="BC636" s="97"/>
    </row>
    <row r="637" spans="12:60" ht="30.9" customHeight="1">
      <c r="L637" s="139"/>
      <c r="M637" s="139"/>
      <c r="N637" s="139"/>
      <c r="O637" s="140"/>
      <c r="P637" s="140"/>
      <c r="Q637" s="137"/>
      <c r="R637" s="137"/>
      <c r="S637" s="137"/>
      <c r="T637" s="137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  <c r="AH637" s="122"/>
      <c r="AI637" s="122"/>
      <c r="AJ637" s="122"/>
      <c r="AK637" s="122"/>
      <c r="AL637" s="122"/>
      <c r="AM637" s="122"/>
      <c r="AN637" s="122"/>
      <c r="AO637" s="122"/>
      <c r="AP637" s="122"/>
      <c r="AQ637" s="122"/>
      <c r="AR637" s="122"/>
      <c r="AS637" s="122"/>
      <c r="AT637" s="122"/>
      <c r="AU637" s="122"/>
      <c r="AV637" s="122"/>
      <c r="AW637" s="122"/>
      <c r="AX637" s="122"/>
      <c r="AY637" s="122"/>
      <c r="AZ637" s="122"/>
      <c r="BA637" s="122"/>
      <c r="BB637" s="122"/>
      <c r="BC637" s="122"/>
    </row>
    <row r="638" spans="12:60" ht="30.9" customHeight="1">
      <c r="L638" s="139"/>
      <c r="M638" s="139"/>
      <c r="N638" s="139"/>
      <c r="O638" s="140"/>
      <c r="P638" s="140"/>
      <c r="Q638" s="137"/>
      <c r="R638" s="137"/>
      <c r="S638" s="137"/>
      <c r="T638" s="137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  <c r="AH638" s="122"/>
      <c r="AI638" s="122"/>
      <c r="AJ638" s="122"/>
      <c r="AK638" s="122"/>
      <c r="AL638" s="122"/>
      <c r="AM638" s="122"/>
      <c r="AN638" s="122"/>
      <c r="AO638" s="122"/>
      <c r="AP638" s="122"/>
      <c r="AQ638" s="122"/>
      <c r="AR638" s="122"/>
      <c r="AS638" s="122"/>
      <c r="AT638" s="122"/>
      <c r="AU638" s="122"/>
      <c r="AV638" s="122"/>
      <c r="AW638" s="122"/>
      <c r="AX638" s="122"/>
      <c r="AY638" s="122"/>
      <c r="AZ638" s="122"/>
      <c r="BA638" s="122"/>
      <c r="BB638" s="122"/>
      <c r="BC638" s="122"/>
    </row>
    <row r="639" spans="12:60" ht="15" customHeight="1">
      <c r="L639" s="136"/>
      <c r="M639" s="136"/>
      <c r="N639" s="136"/>
      <c r="O639" s="136"/>
      <c r="P639" s="137"/>
      <c r="Q639" s="138"/>
      <c r="R639" s="138"/>
      <c r="S639" s="138"/>
      <c r="T639" s="138"/>
      <c r="U639" s="136"/>
      <c r="V639" s="136"/>
      <c r="W639" s="137"/>
      <c r="X639" s="137"/>
      <c r="Y639" s="136"/>
      <c r="Z639" s="136"/>
      <c r="AA639" s="137"/>
      <c r="AB639" s="137"/>
      <c r="AC639" s="137"/>
      <c r="AD639" s="137"/>
      <c r="AE639" s="136"/>
      <c r="AF639" s="136"/>
      <c r="AG639" s="137"/>
      <c r="AH639" s="137"/>
      <c r="AI639" s="136"/>
      <c r="AJ639" s="136"/>
      <c r="AK639" s="137"/>
      <c r="AL639" s="137"/>
      <c r="AM639" s="138"/>
      <c r="AN639" s="138"/>
      <c r="AO639" s="138"/>
      <c r="AP639" s="138"/>
      <c r="AQ639" s="7"/>
      <c r="AR639" s="7"/>
      <c r="AS639" s="7"/>
      <c r="AT639" s="136"/>
      <c r="AU639" s="136"/>
      <c r="AV639" s="136"/>
      <c r="AW639" s="136"/>
      <c r="AX639" s="137"/>
      <c r="AY639" s="137"/>
      <c r="AZ639" s="137"/>
      <c r="BA639" s="137"/>
      <c r="BB639" s="137"/>
      <c r="BC639" s="137"/>
    </row>
    <row r="640" spans="12:60" ht="14.25" customHeight="1">
      <c r="L640" s="136"/>
      <c r="M640" s="136"/>
      <c r="N640" s="136"/>
      <c r="O640" s="136"/>
      <c r="P640" s="137"/>
      <c r="Q640" s="138"/>
      <c r="R640" s="138"/>
      <c r="S640" s="138"/>
      <c r="T640" s="138"/>
      <c r="U640" s="136"/>
      <c r="V640" s="136"/>
      <c r="W640" s="137"/>
      <c r="X640" s="137"/>
      <c r="Y640" s="136"/>
      <c r="Z640" s="136"/>
      <c r="AA640" s="137"/>
      <c r="AB640" s="137"/>
      <c r="AC640" s="137"/>
      <c r="AD640" s="137"/>
      <c r="AE640" s="136"/>
      <c r="AF640" s="136"/>
      <c r="AG640" s="137"/>
      <c r="AH640" s="137"/>
      <c r="AI640" s="136"/>
      <c r="AJ640" s="136"/>
      <c r="AK640" s="137"/>
      <c r="AL640" s="137"/>
      <c r="AM640" s="138"/>
      <c r="AN640" s="138"/>
      <c r="AO640" s="138"/>
      <c r="AP640" s="138"/>
      <c r="AQ640" s="7"/>
      <c r="AR640" s="7"/>
      <c r="AS640" s="7"/>
      <c r="AT640" s="136"/>
      <c r="AU640" s="136"/>
      <c r="AV640" s="136"/>
      <c r="AW640" s="136"/>
      <c r="AX640" s="137"/>
      <c r="AY640" s="137"/>
      <c r="AZ640" s="137"/>
      <c r="BA640" s="137"/>
      <c r="BB640" s="137"/>
      <c r="BC640" s="137"/>
    </row>
    <row r="641" spans="12:55" ht="14.25" customHeight="1">
      <c r="L641" s="136"/>
      <c r="M641" s="136"/>
      <c r="N641" s="136"/>
      <c r="O641" s="136"/>
      <c r="P641" s="137"/>
      <c r="Q641" s="138"/>
      <c r="R641" s="138"/>
      <c r="S641" s="138"/>
      <c r="T641" s="138"/>
      <c r="U641" s="136"/>
      <c r="V641" s="136"/>
      <c r="W641" s="137"/>
      <c r="X641" s="137"/>
      <c r="Y641" s="136"/>
      <c r="Z641" s="136"/>
      <c r="AA641" s="137"/>
      <c r="AB641" s="137"/>
      <c r="AC641" s="137"/>
      <c r="AD641" s="137"/>
      <c r="AE641" s="136"/>
      <c r="AF641" s="136"/>
      <c r="AG641" s="137"/>
      <c r="AH641" s="137"/>
      <c r="AI641" s="136"/>
      <c r="AJ641" s="136"/>
      <c r="AK641" s="137"/>
      <c r="AL641" s="137"/>
      <c r="AM641" s="138"/>
      <c r="AN641" s="138"/>
      <c r="AO641" s="138"/>
      <c r="AP641" s="138"/>
      <c r="AQ641" s="7"/>
      <c r="AR641" s="7"/>
      <c r="AS641" s="7"/>
      <c r="AT641" s="99"/>
      <c r="AU641" s="99"/>
      <c r="AV641" s="99"/>
      <c r="AW641" s="99"/>
      <c r="AX641" s="100"/>
      <c r="AY641" s="100"/>
      <c r="AZ641" s="100"/>
      <c r="BA641" s="97"/>
      <c r="BB641" s="97"/>
      <c r="BC641" s="97"/>
    </row>
    <row r="642" spans="12:55" ht="14.25" customHeight="1">
      <c r="L642" s="136"/>
      <c r="M642" s="136"/>
      <c r="N642" s="136"/>
      <c r="O642" s="136"/>
      <c r="P642" s="137"/>
      <c r="Q642" s="138"/>
      <c r="R642" s="138"/>
      <c r="S642" s="138"/>
      <c r="T642" s="138"/>
      <c r="U642" s="49"/>
      <c r="V642" s="49"/>
      <c r="W642" s="49"/>
      <c r="X642" s="136"/>
      <c r="Y642" s="136"/>
      <c r="Z642" s="136"/>
      <c r="AA642" s="136"/>
      <c r="AB642" s="137"/>
      <c r="AC642" s="137"/>
      <c r="AD642" s="137"/>
      <c r="AE642" s="136"/>
      <c r="AF642" s="136"/>
      <c r="AG642" s="136"/>
      <c r="AH642" s="136"/>
      <c r="AI642" s="137"/>
      <c r="AJ642" s="137"/>
      <c r="AK642" s="137"/>
      <c r="AL642" s="49"/>
      <c r="AM642" s="138"/>
      <c r="AN642" s="138"/>
      <c r="AO642" s="138"/>
      <c r="AP642" s="138"/>
      <c r="AQ642" s="7"/>
      <c r="AR642" s="7"/>
      <c r="AS642" s="7"/>
      <c r="AT642" s="99"/>
      <c r="AU642" s="99"/>
      <c r="AV642" s="99"/>
      <c r="AW642" s="99"/>
      <c r="AX642" s="100"/>
      <c r="AY642" s="100"/>
      <c r="AZ642" s="100"/>
      <c r="BA642" s="97"/>
      <c r="BB642" s="97"/>
      <c r="BC642" s="97"/>
    </row>
    <row r="643" spans="12:55" ht="14.25" customHeight="1">
      <c r="L643" s="136"/>
      <c r="M643" s="136"/>
      <c r="N643" s="136"/>
      <c r="O643" s="136"/>
      <c r="P643" s="137"/>
      <c r="Q643" s="138"/>
      <c r="R643" s="138"/>
      <c r="S643" s="138"/>
      <c r="T643" s="138"/>
      <c r="U643" s="7"/>
      <c r="V643" s="7"/>
      <c r="W643" s="7"/>
      <c r="X643" s="136"/>
      <c r="Y643" s="136"/>
      <c r="Z643" s="136"/>
      <c r="AA643" s="136"/>
      <c r="AB643" s="137"/>
      <c r="AC643" s="137"/>
      <c r="AD643" s="137"/>
      <c r="AE643" s="136"/>
      <c r="AF643" s="136"/>
      <c r="AG643" s="136"/>
      <c r="AH643" s="136"/>
      <c r="AI643" s="137"/>
      <c r="AJ643" s="137"/>
      <c r="AK643" s="137"/>
      <c r="AL643" s="7"/>
      <c r="AM643" s="138"/>
      <c r="AN643" s="138"/>
      <c r="AO643" s="138"/>
      <c r="AP643" s="138"/>
      <c r="AQ643" s="7"/>
      <c r="AR643" s="7"/>
      <c r="AS643" s="7"/>
      <c r="AT643" s="99"/>
      <c r="AU643" s="99"/>
      <c r="AV643" s="99"/>
      <c r="AW643" s="99"/>
      <c r="AX643" s="100"/>
      <c r="AY643" s="100"/>
      <c r="AZ643" s="100"/>
      <c r="BA643" s="97"/>
      <c r="BB643" s="97"/>
      <c r="BC643" s="97"/>
    </row>
    <row r="644" spans="12:55" ht="14.25" customHeight="1">
      <c r="L644" s="136"/>
      <c r="M644" s="136"/>
      <c r="N644" s="136"/>
      <c r="O644" s="136"/>
      <c r="P644" s="137"/>
      <c r="Q644" s="138"/>
      <c r="R644" s="138"/>
      <c r="S644" s="138"/>
      <c r="T644" s="138"/>
      <c r="U644" s="7"/>
      <c r="V644" s="7"/>
      <c r="W644" s="7"/>
      <c r="X644" s="136"/>
      <c r="Y644" s="136"/>
      <c r="Z644" s="136"/>
      <c r="AA644" s="136"/>
      <c r="AB644" s="137"/>
      <c r="AC644" s="137"/>
      <c r="AD644" s="137"/>
      <c r="AE644" s="136"/>
      <c r="AF644" s="136"/>
      <c r="AG644" s="136"/>
      <c r="AH644" s="136"/>
      <c r="AI644" s="137"/>
      <c r="AJ644" s="137"/>
      <c r="AK644" s="137"/>
      <c r="AL644" s="7"/>
      <c r="AM644" s="138"/>
      <c r="AN644" s="138"/>
      <c r="AO644" s="138"/>
      <c r="AP644" s="138"/>
      <c r="AQ644" s="7"/>
      <c r="AR644" s="7"/>
      <c r="AS644" s="7"/>
      <c r="AT644" s="99"/>
      <c r="AU644" s="99"/>
      <c r="AV644" s="99"/>
      <c r="AW644" s="99"/>
      <c r="AX644" s="100"/>
      <c r="AY644" s="100"/>
      <c r="AZ644" s="100"/>
      <c r="BA644" s="97"/>
      <c r="BB644" s="97"/>
      <c r="BC644" s="97"/>
    </row>
    <row r="645" spans="12:55" ht="30.9" customHeight="1">
      <c r="L645" s="139"/>
      <c r="M645" s="139"/>
      <c r="N645" s="139"/>
      <c r="O645" s="140"/>
      <c r="P645" s="140"/>
      <c r="Q645" s="137"/>
      <c r="R645" s="137"/>
      <c r="S645" s="137"/>
      <c r="T645" s="137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  <c r="AH645" s="122"/>
      <c r="AI645" s="122"/>
      <c r="AJ645" s="122"/>
      <c r="AK645" s="122"/>
      <c r="AL645" s="122"/>
      <c r="AM645" s="122"/>
      <c r="AN645" s="122"/>
      <c r="AO645" s="122"/>
      <c r="AP645" s="122"/>
      <c r="AQ645" s="122"/>
      <c r="AR645" s="122"/>
      <c r="AS645" s="122"/>
      <c r="AT645" s="122"/>
      <c r="AU645" s="122"/>
      <c r="AV645" s="122"/>
      <c r="AW645" s="122"/>
      <c r="AX645" s="122"/>
      <c r="AY645" s="122"/>
      <c r="AZ645" s="122"/>
      <c r="BA645" s="122"/>
      <c r="BB645" s="122"/>
      <c r="BC645" s="122"/>
    </row>
    <row r="646" spans="12:55" ht="30.9" customHeight="1">
      <c r="L646" s="139"/>
      <c r="M646" s="139"/>
      <c r="N646" s="139"/>
      <c r="O646" s="140"/>
      <c r="P646" s="140"/>
      <c r="Q646" s="137"/>
      <c r="R646" s="137"/>
      <c r="S646" s="137"/>
      <c r="T646" s="137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  <c r="AH646" s="122"/>
      <c r="AI646" s="122"/>
      <c r="AJ646" s="122"/>
      <c r="AK646" s="122"/>
      <c r="AL646" s="122"/>
      <c r="AM646" s="122"/>
      <c r="AN646" s="122"/>
      <c r="AO646" s="122"/>
      <c r="AP646" s="122"/>
      <c r="AQ646" s="122"/>
      <c r="AR646" s="122"/>
      <c r="AS646" s="122"/>
      <c r="AT646" s="122"/>
      <c r="AU646" s="122"/>
      <c r="AV646" s="122"/>
      <c r="AW646" s="122"/>
      <c r="AX646" s="122"/>
      <c r="AY646" s="122"/>
      <c r="AZ646" s="122"/>
      <c r="BA646" s="122"/>
      <c r="BB646" s="122"/>
      <c r="BC646" s="122"/>
    </row>
    <row r="647" spans="12:55" ht="14.25" customHeight="1">
      <c r="L647" s="136"/>
      <c r="M647" s="136"/>
      <c r="N647" s="136"/>
      <c r="O647" s="136"/>
      <c r="P647" s="137"/>
      <c r="Q647" s="138"/>
      <c r="R647" s="138"/>
      <c r="S647" s="138"/>
      <c r="T647" s="138"/>
      <c r="U647" s="136"/>
      <c r="V647" s="136"/>
      <c r="W647" s="137"/>
      <c r="X647" s="137"/>
      <c r="Y647" s="136"/>
      <c r="Z647" s="136"/>
      <c r="AA647" s="137"/>
      <c r="AB647" s="137"/>
      <c r="AC647" s="137"/>
      <c r="AD647" s="137"/>
      <c r="AE647" s="136"/>
      <c r="AF647" s="136"/>
      <c r="AG647" s="137"/>
      <c r="AH647" s="137"/>
      <c r="AI647" s="136"/>
      <c r="AJ647" s="136"/>
      <c r="AK647" s="137"/>
      <c r="AL647" s="137"/>
      <c r="AM647" s="138"/>
      <c r="AN647" s="138"/>
      <c r="AO647" s="138"/>
      <c r="AP647" s="138"/>
      <c r="AQ647" s="7"/>
      <c r="AR647" s="7"/>
      <c r="AS647" s="7"/>
      <c r="AT647" s="136"/>
      <c r="AU647" s="136"/>
      <c r="AV647" s="136"/>
      <c r="AW647" s="136"/>
      <c r="AX647" s="137"/>
      <c r="AY647" s="137"/>
      <c r="AZ647" s="137"/>
      <c r="BA647" s="137"/>
      <c r="BB647" s="137"/>
      <c r="BC647" s="137"/>
    </row>
    <row r="648" spans="12:55" ht="14.25" customHeight="1">
      <c r="L648" s="136"/>
      <c r="M648" s="136"/>
      <c r="N648" s="136"/>
      <c r="O648" s="136"/>
      <c r="P648" s="137"/>
      <c r="Q648" s="138"/>
      <c r="R648" s="138"/>
      <c r="S648" s="138"/>
      <c r="T648" s="138"/>
      <c r="U648" s="136"/>
      <c r="V648" s="136"/>
      <c r="W648" s="137"/>
      <c r="X648" s="137"/>
      <c r="Y648" s="136"/>
      <c r="Z648" s="136"/>
      <c r="AA648" s="137"/>
      <c r="AB648" s="137"/>
      <c r="AC648" s="137"/>
      <c r="AD648" s="137"/>
      <c r="AE648" s="136"/>
      <c r="AF648" s="136"/>
      <c r="AG648" s="137"/>
      <c r="AH648" s="137"/>
      <c r="AI648" s="136"/>
      <c r="AJ648" s="136"/>
      <c r="AK648" s="137"/>
      <c r="AL648" s="137"/>
      <c r="AM648" s="138"/>
      <c r="AN648" s="138"/>
      <c r="AO648" s="138"/>
      <c r="AP648" s="138"/>
      <c r="AQ648" s="7"/>
      <c r="AR648" s="7"/>
      <c r="AS648" s="7"/>
      <c r="AT648" s="136"/>
      <c r="AU648" s="136"/>
      <c r="AV648" s="136"/>
      <c r="AW648" s="136"/>
      <c r="AX648" s="137"/>
      <c r="AY648" s="137"/>
      <c r="AZ648" s="137"/>
      <c r="BA648" s="137"/>
      <c r="BB648" s="137"/>
      <c r="BC648" s="137"/>
    </row>
    <row r="649" spans="12:55" ht="14.25" customHeight="1">
      <c r="L649" s="136"/>
      <c r="M649" s="136"/>
      <c r="N649" s="136"/>
      <c r="O649" s="136"/>
      <c r="P649" s="137"/>
      <c r="Q649" s="138"/>
      <c r="R649" s="138"/>
      <c r="S649" s="138"/>
      <c r="T649" s="138"/>
      <c r="U649" s="136"/>
      <c r="V649" s="136"/>
      <c r="W649" s="137"/>
      <c r="X649" s="137"/>
      <c r="Y649" s="136"/>
      <c r="Z649" s="136"/>
      <c r="AA649" s="137"/>
      <c r="AB649" s="137"/>
      <c r="AC649" s="137"/>
      <c r="AD649" s="137"/>
      <c r="AE649" s="136"/>
      <c r="AF649" s="136"/>
      <c r="AG649" s="137"/>
      <c r="AH649" s="137"/>
      <c r="AI649" s="136"/>
      <c r="AJ649" s="136"/>
      <c r="AK649" s="137"/>
      <c r="AL649" s="137"/>
      <c r="AM649" s="138"/>
      <c r="AN649" s="138"/>
      <c r="AO649" s="138"/>
      <c r="AP649" s="138"/>
      <c r="AQ649" s="7"/>
      <c r="AR649" s="7"/>
      <c r="AS649" s="7"/>
      <c r="AT649" s="99"/>
      <c r="AU649" s="99"/>
      <c r="AV649" s="99"/>
      <c r="AW649" s="99"/>
      <c r="AX649" s="100"/>
      <c r="AY649" s="100"/>
      <c r="AZ649" s="100"/>
      <c r="BA649" s="97"/>
      <c r="BB649" s="97"/>
      <c r="BC649" s="97"/>
    </row>
    <row r="650" spans="12:55" ht="14.25" customHeight="1">
      <c r="L650" s="136"/>
      <c r="M650" s="136"/>
      <c r="N650" s="136"/>
      <c r="O650" s="136"/>
      <c r="P650" s="137"/>
      <c r="Q650" s="138"/>
      <c r="R650" s="138"/>
      <c r="S650" s="138"/>
      <c r="T650" s="138"/>
      <c r="U650" s="49"/>
      <c r="V650" s="49"/>
      <c r="W650" s="49"/>
      <c r="X650" s="136"/>
      <c r="Y650" s="136"/>
      <c r="Z650" s="136"/>
      <c r="AA650" s="136"/>
      <c r="AB650" s="137"/>
      <c r="AC650" s="137"/>
      <c r="AD650" s="137"/>
      <c r="AE650" s="136"/>
      <c r="AF650" s="136"/>
      <c r="AG650" s="136"/>
      <c r="AH650" s="136"/>
      <c r="AI650" s="137"/>
      <c r="AJ650" s="137"/>
      <c r="AK650" s="137"/>
      <c r="AL650" s="49"/>
      <c r="AM650" s="138"/>
      <c r="AN650" s="138"/>
      <c r="AO650" s="138"/>
      <c r="AP650" s="138"/>
      <c r="AQ650" s="7"/>
      <c r="AR650" s="7"/>
      <c r="AS650" s="7"/>
      <c r="AT650" s="99"/>
      <c r="AU650" s="99"/>
      <c r="AV650" s="99"/>
      <c r="AW650" s="99"/>
      <c r="AX650" s="100"/>
      <c r="AY650" s="100"/>
      <c r="AZ650" s="100"/>
      <c r="BA650" s="97"/>
      <c r="BB650" s="97"/>
      <c r="BC650" s="97"/>
    </row>
    <row r="651" spans="12:55" ht="14.25" customHeight="1">
      <c r="L651" s="136"/>
      <c r="M651" s="136"/>
      <c r="N651" s="136"/>
      <c r="O651" s="136"/>
      <c r="P651" s="137"/>
      <c r="Q651" s="138"/>
      <c r="R651" s="138"/>
      <c r="S651" s="138"/>
      <c r="T651" s="138"/>
      <c r="U651" s="7"/>
      <c r="V651" s="7"/>
      <c r="W651" s="7"/>
      <c r="X651" s="136"/>
      <c r="Y651" s="136"/>
      <c r="Z651" s="136"/>
      <c r="AA651" s="136"/>
      <c r="AB651" s="137"/>
      <c r="AC651" s="137"/>
      <c r="AD651" s="137"/>
      <c r="AE651" s="136"/>
      <c r="AF651" s="136"/>
      <c r="AG651" s="136"/>
      <c r="AH651" s="136"/>
      <c r="AI651" s="137"/>
      <c r="AJ651" s="137"/>
      <c r="AK651" s="137"/>
      <c r="AL651" s="7"/>
      <c r="AM651" s="138"/>
      <c r="AN651" s="138"/>
      <c r="AO651" s="138"/>
      <c r="AP651" s="138"/>
      <c r="AQ651" s="7"/>
      <c r="AR651" s="7"/>
      <c r="AS651" s="7"/>
      <c r="AT651" s="99"/>
      <c r="AU651" s="99"/>
      <c r="AV651" s="99"/>
      <c r="AW651" s="99"/>
      <c r="AX651" s="100"/>
      <c r="AY651" s="100"/>
      <c r="AZ651" s="100"/>
      <c r="BA651" s="97"/>
      <c r="BB651" s="97"/>
      <c r="BC651" s="97"/>
    </row>
    <row r="652" spans="12:55" ht="14.25" customHeight="1">
      <c r="L652" s="136"/>
      <c r="M652" s="136"/>
      <c r="N652" s="136"/>
      <c r="O652" s="136"/>
      <c r="P652" s="137"/>
      <c r="Q652" s="138"/>
      <c r="R652" s="138"/>
      <c r="S652" s="138"/>
      <c r="T652" s="138"/>
      <c r="U652" s="7"/>
      <c r="V652" s="7"/>
      <c r="W652" s="7"/>
      <c r="X652" s="136"/>
      <c r="Y652" s="136"/>
      <c r="Z652" s="136"/>
      <c r="AA652" s="136"/>
      <c r="AB652" s="137"/>
      <c r="AC652" s="137"/>
      <c r="AD652" s="137"/>
      <c r="AE652" s="136"/>
      <c r="AF652" s="136"/>
      <c r="AG652" s="136"/>
      <c r="AH652" s="136"/>
      <c r="AI652" s="137"/>
      <c r="AJ652" s="137"/>
      <c r="AK652" s="137"/>
      <c r="AL652" s="7"/>
      <c r="AM652" s="138"/>
      <c r="AN652" s="138"/>
      <c r="AO652" s="138"/>
      <c r="AP652" s="138"/>
      <c r="AQ652" s="7"/>
      <c r="AR652" s="7"/>
      <c r="AS652" s="7"/>
      <c r="AT652" s="99"/>
      <c r="AU652" s="99"/>
      <c r="AV652" s="99"/>
      <c r="AW652" s="99"/>
      <c r="AX652" s="100"/>
      <c r="AY652" s="100"/>
      <c r="AZ652" s="100"/>
      <c r="BA652" s="97"/>
      <c r="BB652" s="97"/>
      <c r="BC652" s="97"/>
    </row>
    <row r="653" spans="12:55" ht="30.9" customHeight="1">
      <c r="L653" s="139"/>
      <c r="M653" s="139"/>
      <c r="N653" s="139"/>
      <c r="O653" s="140"/>
      <c r="P653" s="140"/>
      <c r="Q653" s="137"/>
      <c r="R653" s="137"/>
      <c r="S653" s="137"/>
      <c r="T653" s="137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  <c r="AH653" s="122"/>
      <c r="AI653" s="122"/>
      <c r="AJ653" s="122"/>
      <c r="AK653" s="122"/>
      <c r="AL653" s="122"/>
      <c r="AM653" s="122"/>
      <c r="AN653" s="122"/>
      <c r="AO653" s="122"/>
      <c r="AP653" s="122"/>
      <c r="AQ653" s="122"/>
      <c r="AR653" s="122"/>
      <c r="AS653" s="122"/>
      <c r="AT653" s="122"/>
      <c r="AU653" s="122"/>
      <c r="AV653" s="122"/>
      <c r="AW653" s="122"/>
      <c r="AX653" s="122"/>
      <c r="AY653" s="122"/>
      <c r="AZ653" s="122"/>
      <c r="BA653" s="122"/>
      <c r="BB653" s="122"/>
      <c r="BC653" s="122"/>
    </row>
    <row r="654" spans="12:55" ht="30.9" customHeight="1">
      <c r="L654" s="139"/>
      <c r="M654" s="139"/>
      <c r="N654" s="139"/>
      <c r="O654" s="140"/>
      <c r="P654" s="140"/>
      <c r="Q654" s="137"/>
      <c r="R654" s="137"/>
      <c r="S654" s="137"/>
      <c r="T654" s="137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  <c r="AH654" s="122"/>
      <c r="AI654" s="122"/>
      <c r="AJ654" s="122"/>
      <c r="AK654" s="122"/>
      <c r="AL654" s="122"/>
      <c r="AM654" s="122"/>
      <c r="AN654" s="122"/>
      <c r="AO654" s="122"/>
      <c r="AP654" s="122"/>
      <c r="AQ654" s="122"/>
      <c r="AR654" s="122"/>
      <c r="AS654" s="122"/>
      <c r="AT654" s="122"/>
      <c r="AU654" s="122"/>
      <c r="AV654" s="122"/>
      <c r="AW654" s="122"/>
      <c r="AX654" s="122"/>
      <c r="AY654" s="122"/>
      <c r="AZ654" s="122"/>
      <c r="BA654" s="122"/>
      <c r="BB654" s="122"/>
      <c r="BC654" s="122"/>
    </row>
    <row r="655" spans="12:55" ht="14.25" customHeight="1">
      <c r="L655" s="136"/>
      <c r="M655" s="136"/>
      <c r="N655" s="136"/>
      <c r="O655" s="136"/>
      <c r="P655" s="137"/>
      <c r="Q655" s="138"/>
      <c r="R655" s="138"/>
      <c r="S655" s="138"/>
      <c r="T655" s="138"/>
      <c r="U655" s="136"/>
      <c r="V655" s="136"/>
      <c r="W655" s="137"/>
      <c r="X655" s="137"/>
      <c r="Y655" s="136"/>
      <c r="Z655" s="136"/>
      <c r="AA655" s="137"/>
      <c r="AB655" s="137"/>
      <c r="AC655" s="137"/>
      <c r="AD655" s="137"/>
      <c r="AE655" s="136"/>
      <c r="AF655" s="136"/>
      <c r="AG655" s="137"/>
      <c r="AH655" s="137"/>
      <c r="AI655" s="136"/>
      <c r="AJ655" s="136"/>
      <c r="AK655" s="137"/>
      <c r="AL655" s="137"/>
      <c r="AM655" s="138"/>
      <c r="AN655" s="138"/>
      <c r="AO655" s="138"/>
      <c r="AP655" s="138"/>
      <c r="AQ655" s="7"/>
      <c r="AR655" s="7"/>
      <c r="AS655" s="7"/>
      <c r="AT655" s="136"/>
      <c r="AU655" s="136"/>
      <c r="AV655" s="136"/>
      <c r="AW655" s="136"/>
      <c r="AX655" s="137"/>
      <c r="AY655" s="137"/>
      <c r="AZ655" s="137"/>
      <c r="BA655" s="137"/>
      <c r="BB655" s="137"/>
      <c r="BC655" s="137"/>
    </row>
    <row r="656" spans="12:55" ht="14.25" customHeight="1">
      <c r="L656" s="136"/>
      <c r="M656" s="136"/>
      <c r="N656" s="136"/>
      <c r="O656" s="136"/>
      <c r="P656" s="137"/>
      <c r="Q656" s="138"/>
      <c r="R656" s="138"/>
      <c r="S656" s="138"/>
      <c r="T656" s="138"/>
      <c r="U656" s="136"/>
      <c r="V656" s="136"/>
      <c r="W656" s="137"/>
      <c r="X656" s="137"/>
      <c r="Y656" s="136"/>
      <c r="Z656" s="136"/>
      <c r="AA656" s="137"/>
      <c r="AB656" s="137"/>
      <c r="AC656" s="137"/>
      <c r="AD656" s="137"/>
      <c r="AE656" s="136"/>
      <c r="AF656" s="136"/>
      <c r="AG656" s="137"/>
      <c r="AH656" s="137"/>
      <c r="AI656" s="136"/>
      <c r="AJ656" s="136"/>
      <c r="AK656" s="137"/>
      <c r="AL656" s="137"/>
      <c r="AM656" s="138"/>
      <c r="AN656" s="138"/>
      <c r="AO656" s="138"/>
      <c r="AP656" s="138"/>
      <c r="AQ656" s="7"/>
      <c r="AR656" s="7"/>
      <c r="AS656" s="7"/>
      <c r="AT656" s="136"/>
      <c r="AU656" s="136"/>
      <c r="AV656" s="136"/>
      <c r="AW656" s="136"/>
      <c r="AX656" s="137"/>
      <c r="AY656" s="137"/>
      <c r="AZ656" s="137"/>
      <c r="BA656" s="137"/>
      <c r="BB656" s="137"/>
      <c r="BC656" s="137"/>
    </row>
    <row r="657" spans="12:55" ht="14.25" customHeight="1">
      <c r="L657" s="136"/>
      <c r="M657" s="136"/>
      <c r="N657" s="136"/>
      <c r="O657" s="136"/>
      <c r="P657" s="137"/>
      <c r="Q657" s="138"/>
      <c r="R657" s="138"/>
      <c r="S657" s="138"/>
      <c r="T657" s="138"/>
      <c r="U657" s="136"/>
      <c r="V657" s="136"/>
      <c r="W657" s="137"/>
      <c r="X657" s="137"/>
      <c r="Y657" s="136"/>
      <c r="Z657" s="136"/>
      <c r="AA657" s="137"/>
      <c r="AB657" s="137"/>
      <c r="AC657" s="137"/>
      <c r="AD657" s="137"/>
      <c r="AE657" s="136"/>
      <c r="AF657" s="136"/>
      <c r="AG657" s="137"/>
      <c r="AH657" s="137"/>
      <c r="AI657" s="136"/>
      <c r="AJ657" s="136"/>
      <c r="AK657" s="137"/>
      <c r="AL657" s="137"/>
      <c r="AM657" s="138"/>
      <c r="AN657" s="138"/>
      <c r="AO657" s="138"/>
      <c r="AP657" s="138"/>
      <c r="AQ657" s="7"/>
      <c r="AR657" s="7"/>
      <c r="AS657" s="7"/>
      <c r="AT657" s="99"/>
      <c r="AU657" s="99"/>
      <c r="AV657" s="99"/>
      <c r="AW657" s="99"/>
      <c r="AX657" s="100"/>
      <c r="AY657" s="100"/>
      <c r="AZ657" s="100"/>
      <c r="BA657" s="97"/>
      <c r="BB657" s="97"/>
      <c r="BC657" s="97"/>
    </row>
    <row r="658" spans="12:55" ht="14.25" customHeight="1">
      <c r="L658" s="136"/>
      <c r="M658" s="136"/>
      <c r="N658" s="136"/>
      <c r="O658" s="136"/>
      <c r="P658" s="137"/>
      <c r="Q658" s="138"/>
      <c r="R658" s="138"/>
      <c r="S658" s="138"/>
      <c r="T658" s="138"/>
      <c r="U658" s="49"/>
      <c r="V658" s="49"/>
      <c r="W658" s="49"/>
      <c r="X658" s="136"/>
      <c r="Y658" s="136"/>
      <c r="Z658" s="136"/>
      <c r="AA658" s="136"/>
      <c r="AB658" s="137"/>
      <c r="AC658" s="137"/>
      <c r="AD658" s="137"/>
      <c r="AE658" s="136"/>
      <c r="AF658" s="136"/>
      <c r="AG658" s="136"/>
      <c r="AH658" s="136"/>
      <c r="AI658" s="137"/>
      <c r="AJ658" s="137"/>
      <c r="AK658" s="137"/>
      <c r="AL658" s="49"/>
      <c r="AM658" s="138"/>
      <c r="AN658" s="138"/>
      <c r="AO658" s="138"/>
      <c r="AP658" s="138"/>
      <c r="AQ658" s="7"/>
      <c r="AR658" s="7"/>
      <c r="AS658" s="7"/>
      <c r="AT658" s="99"/>
      <c r="AU658" s="99"/>
      <c r="AV658" s="99"/>
      <c r="AW658" s="99"/>
      <c r="AX658" s="100"/>
      <c r="AY658" s="100"/>
      <c r="AZ658" s="100"/>
      <c r="BA658" s="97"/>
      <c r="BB658" s="97"/>
      <c r="BC658" s="97"/>
    </row>
    <row r="659" spans="12:55" ht="14.25" customHeight="1">
      <c r="L659" s="136"/>
      <c r="M659" s="136"/>
      <c r="N659" s="136"/>
      <c r="O659" s="136"/>
      <c r="P659" s="137"/>
      <c r="Q659" s="138"/>
      <c r="R659" s="138"/>
      <c r="S659" s="138"/>
      <c r="T659" s="138"/>
      <c r="U659" s="7"/>
      <c r="V659" s="7"/>
      <c r="W659" s="7"/>
      <c r="X659" s="136"/>
      <c r="Y659" s="136"/>
      <c r="Z659" s="136"/>
      <c r="AA659" s="136"/>
      <c r="AB659" s="137"/>
      <c r="AC659" s="137"/>
      <c r="AD659" s="137"/>
      <c r="AE659" s="136"/>
      <c r="AF659" s="136"/>
      <c r="AG659" s="136"/>
      <c r="AH659" s="136"/>
      <c r="AI659" s="137"/>
      <c r="AJ659" s="137"/>
      <c r="AK659" s="137"/>
      <c r="AL659" s="7"/>
      <c r="AM659" s="138"/>
      <c r="AN659" s="138"/>
      <c r="AO659" s="138"/>
      <c r="AP659" s="138"/>
      <c r="AQ659" s="7"/>
      <c r="AR659" s="7"/>
      <c r="AS659" s="7"/>
      <c r="AT659" s="99"/>
      <c r="AU659" s="99"/>
      <c r="AV659" s="99"/>
      <c r="AW659" s="99"/>
      <c r="AX659" s="100"/>
      <c r="AY659" s="100"/>
      <c r="AZ659" s="100"/>
      <c r="BA659" s="97"/>
      <c r="BB659" s="97"/>
      <c r="BC659" s="97"/>
    </row>
    <row r="660" spans="12:55" ht="14.25" customHeight="1">
      <c r="L660" s="136"/>
      <c r="M660" s="136"/>
      <c r="N660" s="136"/>
      <c r="O660" s="136"/>
      <c r="P660" s="137"/>
      <c r="Q660" s="138"/>
      <c r="R660" s="138"/>
      <c r="S660" s="138"/>
      <c r="T660" s="138"/>
      <c r="U660" s="7"/>
      <c r="V660" s="7"/>
      <c r="W660" s="7"/>
      <c r="X660" s="136"/>
      <c r="Y660" s="136"/>
      <c r="Z660" s="136"/>
      <c r="AA660" s="136"/>
      <c r="AB660" s="137"/>
      <c r="AC660" s="137"/>
      <c r="AD660" s="137"/>
      <c r="AE660" s="136"/>
      <c r="AF660" s="136"/>
      <c r="AG660" s="136"/>
      <c r="AH660" s="136"/>
      <c r="AI660" s="137"/>
      <c r="AJ660" s="137"/>
      <c r="AK660" s="137"/>
      <c r="AL660" s="7"/>
      <c r="AM660" s="138"/>
      <c r="AN660" s="138"/>
      <c r="AO660" s="138"/>
      <c r="AP660" s="138"/>
      <c r="AQ660" s="7"/>
      <c r="AR660" s="7"/>
      <c r="AS660" s="7"/>
      <c r="AT660" s="99"/>
      <c r="AU660" s="99"/>
      <c r="AV660" s="99"/>
      <c r="AW660" s="99"/>
      <c r="AX660" s="100"/>
      <c r="AY660" s="100"/>
      <c r="AZ660" s="100"/>
      <c r="BA660" s="97"/>
      <c r="BB660" s="97"/>
      <c r="BC660" s="97"/>
    </row>
    <row r="661" spans="12:55" ht="30.9" customHeight="1">
      <c r="L661" s="139"/>
      <c r="M661" s="139"/>
      <c r="N661" s="139"/>
      <c r="O661" s="140"/>
      <c r="P661" s="140"/>
      <c r="Q661" s="137"/>
      <c r="R661" s="137"/>
      <c r="S661" s="137"/>
      <c r="T661" s="137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  <c r="AH661" s="122"/>
      <c r="AI661" s="122"/>
      <c r="AJ661" s="122"/>
      <c r="AK661" s="122"/>
      <c r="AL661" s="122"/>
      <c r="AM661" s="122"/>
      <c r="AN661" s="122"/>
      <c r="AO661" s="122"/>
      <c r="AP661" s="122"/>
      <c r="AQ661" s="122"/>
      <c r="AR661" s="122"/>
      <c r="AS661" s="122"/>
      <c r="AT661" s="122"/>
      <c r="AU661" s="122"/>
      <c r="AV661" s="122"/>
      <c r="AW661" s="122"/>
      <c r="AX661" s="122"/>
      <c r="AY661" s="122"/>
      <c r="AZ661" s="122"/>
      <c r="BA661" s="122"/>
      <c r="BB661" s="122"/>
      <c r="BC661" s="122"/>
    </row>
    <row r="662" spans="12:55" ht="30.9" customHeight="1">
      <c r="L662" s="139"/>
      <c r="M662" s="139"/>
      <c r="N662" s="139"/>
      <c r="O662" s="140"/>
      <c r="P662" s="140"/>
      <c r="Q662" s="137"/>
      <c r="R662" s="137"/>
      <c r="S662" s="137"/>
      <c r="T662" s="137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  <c r="AH662" s="122"/>
      <c r="AI662" s="122"/>
      <c r="AJ662" s="122"/>
      <c r="AK662" s="122"/>
      <c r="AL662" s="122"/>
      <c r="AM662" s="122"/>
      <c r="AN662" s="122"/>
      <c r="AO662" s="122"/>
      <c r="AP662" s="122"/>
      <c r="AQ662" s="122"/>
      <c r="AR662" s="122"/>
      <c r="AS662" s="122"/>
      <c r="AT662" s="122"/>
      <c r="AU662" s="122"/>
      <c r="AV662" s="122"/>
      <c r="AW662" s="122"/>
      <c r="AX662" s="122"/>
      <c r="AY662" s="122"/>
      <c r="AZ662" s="122"/>
      <c r="BA662" s="122"/>
      <c r="BB662" s="122"/>
      <c r="BC662" s="122"/>
    </row>
    <row r="663" spans="12:55" ht="14.25" customHeight="1">
      <c r="L663" s="136"/>
      <c r="M663" s="136"/>
      <c r="N663" s="136"/>
      <c r="O663" s="136"/>
      <c r="P663" s="137"/>
      <c r="Q663" s="138"/>
      <c r="R663" s="138"/>
      <c r="S663" s="138"/>
      <c r="T663" s="138"/>
      <c r="U663" s="136"/>
      <c r="V663" s="136"/>
      <c r="W663" s="137"/>
      <c r="X663" s="137"/>
      <c r="Y663" s="136"/>
      <c r="Z663" s="136"/>
      <c r="AA663" s="137"/>
      <c r="AB663" s="137"/>
      <c r="AC663" s="137"/>
      <c r="AD663" s="137"/>
      <c r="AE663" s="136"/>
      <c r="AF663" s="136"/>
      <c r="AG663" s="137"/>
      <c r="AH663" s="137"/>
      <c r="AI663" s="136"/>
      <c r="AJ663" s="136"/>
      <c r="AK663" s="137"/>
      <c r="AL663" s="137"/>
      <c r="AM663" s="138"/>
      <c r="AN663" s="138"/>
      <c r="AO663" s="138"/>
      <c r="AP663" s="138"/>
      <c r="AQ663" s="7"/>
      <c r="AR663" s="7"/>
      <c r="AS663" s="7"/>
      <c r="AT663" s="136"/>
      <c r="AU663" s="136"/>
      <c r="AV663" s="136"/>
      <c r="AW663" s="136"/>
      <c r="AX663" s="137"/>
      <c r="AY663" s="137"/>
      <c r="AZ663" s="137"/>
      <c r="BA663" s="137"/>
      <c r="BB663" s="137"/>
      <c r="BC663" s="137"/>
    </row>
    <row r="664" spans="12:55" ht="14.25" customHeight="1">
      <c r="L664" s="136"/>
      <c r="M664" s="136"/>
      <c r="N664" s="136"/>
      <c r="O664" s="136"/>
      <c r="P664" s="137"/>
      <c r="Q664" s="138"/>
      <c r="R664" s="138"/>
      <c r="S664" s="138"/>
      <c r="T664" s="138"/>
      <c r="U664" s="136"/>
      <c r="V664" s="136"/>
      <c r="W664" s="137"/>
      <c r="X664" s="137"/>
      <c r="Y664" s="136"/>
      <c r="Z664" s="136"/>
      <c r="AA664" s="137"/>
      <c r="AB664" s="137"/>
      <c r="AC664" s="137"/>
      <c r="AD664" s="137"/>
      <c r="AE664" s="136"/>
      <c r="AF664" s="136"/>
      <c r="AG664" s="137"/>
      <c r="AH664" s="137"/>
      <c r="AI664" s="136"/>
      <c r="AJ664" s="136"/>
      <c r="AK664" s="137"/>
      <c r="AL664" s="137"/>
      <c r="AM664" s="138"/>
      <c r="AN664" s="138"/>
      <c r="AO664" s="138"/>
      <c r="AP664" s="138"/>
      <c r="AQ664" s="7"/>
      <c r="AR664" s="7"/>
      <c r="AS664" s="7"/>
      <c r="AT664" s="136"/>
      <c r="AU664" s="136"/>
      <c r="AV664" s="136"/>
      <c r="AW664" s="136"/>
      <c r="AX664" s="137"/>
      <c r="AY664" s="137"/>
      <c r="AZ664" s="137"/>
      <c r="BA664" s="137"/>
      <c r="BB664" s="137"/>
      <c r="BC664" s="137"/>
    </row>
    <row r="665" spans="12:55" ht="14.25" customHeight="1">
      <c r="L665" s="136"/>
      <c r="M665" s="136"/>
      <c r="N665" s="136"/>
      <c r="O665" s="136"/>
      <c r="P665" s="137"/>
      <c r="Q665" s="138"/>
      <c r="R665" s="138"/>
      <c r="S665" s="138"/>
      <c r="T665" s="138"/>
      <c r="U665" s="136"/>
      <c r="V665" s="136"/>
      <c r="W665" s="137"/>
      <c r="X665" s="137"/>
      <c r="Y665" s="136"/>
      <c r="Z665" s="136"/>
      <c r="AA665" s="137"/>
      <c r="AB665" s="137"/>
      <c r="AC665" s="137"/>
      <c r="AD665" s="137"/>
      <c r="AE665" s="136"/>
      <c r="AF665" s="136"/>
      <c r="AG665" s="137"/>
      <c r="AH665" s="137"/>
      <c r="AI665" s="136"/>
      <c r="AJ665" s="136"/>
      <c r="AK665" s="137"/>
      <c r="AL665" s="137"/>
      <c r="AM665" s="138"/>
      <c r="AN665" s="138"/>
      <c r="AO665" s="138"/>
      <c r="AP665" s="138"/>
      <c r="AQ665" s="7"/>
      <c r="AR665" s="7"/>
      <c r="AS665" s="7"/>
      <c r="AT665" s="99"/>
      <c r="AU665" s="99"/>
      <c r="AV665" s="99"/>
      <c r="AW665" s="99"/>
      <c r="AX665" s="100"/>
      <c r="AY665" s="100"/>
      <c r="AZ665" s="100"/>
      <c r="BA665" s="97"/>
      <c r="BB665" s="97"/>
      <c r="BC665" s="97"/>
    </row>
    <row r="666" spans="12:55" ht="14.25" customHeight="1">
      <c r="L666" s="136"/>
      <c r="M666" s="136"/>
      <c r="N666" s="136"/>
      <c r="O666" s="136"/>
      <c r="P666" s="137"/>
      <c r="Q666" s="138"/>
      <c r="R666" s="138"/>
      <c r="S666" s="138"/>
      <c r="T666" s="138"/>
      <c r="U666" s="49"/>
      <c r="V666" s="49"/>
      <c r="W666" s="49"/>
      <c r="X666" s="136"/>
      <c r="Y666" s="136"/>
      <c r="Z666" s="136"/>
      <c r="AA666" s="136"/>
      <c r="AB666" s="137"/>
      <c r="AC666" s="137"/>
      <c r="AD666" s="137"/>
      <c r="AE666" s="136"/>
      <c r="AF666" s="136"/>
      <c r="AG666" s="136"/>
      <c r="AH666" s="136"/>
      <c r="AI666" s="137"/>
      <c r="AJ666" s="137"/>
      <c r="AK666" s="137"/>
      <c r="AL666" s="49"/>
      <c r="AM666" s="138"/>
      <c r="AN666" s="138"/>
      <c r="AO666" s="138"/>
      <c r="AP666" s="138"/>
      <c r="AQ666" s="7"/>
      <c r="AR666" s="7"/>
      <c r="AS666" s="7"/>
      <c r="AT666" s="99"/>
      <c r="AU666" s="99"/>
      <c r="AV666" s="99"/>
      <c r="AW666" s="99"/>
      <c r="AX666" s="100"/>
      <c r="AY666" s="100"/>
      <c r="AZ666" s="100"/>
      <c r="BA666" s="97"/>
      <c r="BB666" s="97"/>
      <c r="BC666" s="97"/>
    </row>
    <row r="667" spans="12:55" ht="14.25" customHeight="1">
      <c r="L667" s="136"/>
      <c r="M667" s="136"/>
      <c r="N667" s="136"/>
      <c r="O667" s="136"/>
      <c r="P667" s="137"/>
      <c r="Q667" s="138"/>
      <c r="R667" s="138"/>
      <c r="S667" s="138"/>
      <c r="T667" s="138"/>
      <c r="U667" s="7"/>
      <c r="V667" s="7"/>
      <c r="W667" s="7"/>
      <c r="X667" s="136"/>
      <c r="Y667" s="136"/>
      <c r="Z667" s="136"/>
      <c r="AA667" s="136"/>
      <c r="AB667" s="137"/>
      <c r="AC667" s="137"/>
      <c r="AD667" s="137"/>
      <c r="AE667" s="136"/>
      <c r="AF667" s="136"/>
      <c r="AG667" s="136"/>
      <c r="AH667" s="136"/>
      <c r="AI667" s="137"/>
      <c r="AJ667" s="137"/>
      <c r="AK667" s="137"/>
      <c r="AL667" s="7"/>
      <c r="AM667" s="138"/>
      <c r="AN667" s="138"/>
      <c r="AO667" s="138"/>
      <c r="AP667" s="138"/>
      <c r="AQ667" s="7"/>
      <c r="AR667" s="7"/>
      <c r="AS667" s="7"/>
      <c r="AT667" s="99"/>
      <c r="AU667" s="99"/>
      <c r="AV667" s="99"/>
      <c r="AW667" s="99"/>
      <c r="AX667" s="100"/>
      <c r="AY667" s="100"/>
      <c r="AZ667" s="100"/>
      <c r="BA667" s="97"/>
      <c r="BB667" s="97"/>
      <c r="BC667" s="97"/>
    </row>
    <row r="668" spans="12:55" ht="14.25" customHeight="1">
      <c r="L668" s="136"/>
      <c r="M668" s="136"/>
      <c r="N668" s="136"/>
      <c r="O668" s="136"/>
      <c r="P668" s="137"/>
      <c r="Q668" s="138"/>
      <c r="R668" s="138"/>
      <c r="S668" s="138"/>
      <c r="T668" s="138"/>
      <c r="U668" s="7"/>
      <c r="V668" s="7"/>
      <c r="W668" s="7"/>
      <c r="X668" s="136"/>
      <c r="Y668" s="136"/>
      <c r="Z668" s="136"/>
      <c r="AA668" s="136"/>
      <c r="AB668" s="137"/>
      <c r="AC668" s="137"/>
      <c r="AD668" s="137"/>
      <c r="AE668" s="136"/>
      <c r="AF668" s="136"/>
      <c r="AG668" s="136"/>
      <c r="AH668" s="136"/>
      <c r="AI668" s="137"/>
      <c r="AJ668" s="137"/>
      <c r="AK668" s="137"/>
      <c r="AL668" s="7"/>
      <c r="AM668" s="138"/>
      <c r="AN668" s="138"/>
      <c r="AO668" s="138"/>
      <c r="AP668" s="138"/>
      <c r="AQ668" s="7"/>
      <c r="AR668" s="7"/>
      <c r="AS668" s="7"/>
      <c r="AT668" s="99"/>
      <c r="AU668" s="99"/>
      <c r="AV668" s="99"/>
      <c r="AW668" s="99"/>
      <c r="AX668" s="100"/>
      <c r="AY668" s="100"/>
      <c r="AZ668" s="100"/>
      <c r="BA668" s="97"/>
      <c r="BB668" s="97"/>
      <c r="BC668" s="97"/>
    </row>
    <row r="669" spans="12:55" ht="30.9" customHeight="1">
      <c r="L669" s="139"/>
      <c r="M669" s="139"/>
      <c r="N669" s="139"/>
      <c r="O669" s="140"/>
      <c r="P669" s="140"/>
      <c r="Q669" s="137"/>
      <c r="R669" s="137"/>
      <c r="S669" s="137"/>
      <c r="T669" s="137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  <c r="AH669" s="122"/>
      <c r="AI669" s="122"/>
      <c r="AJ669" s="122"/>
      <c r="AK669" s="122"/>
      <c r="AL669" s="122"/>
      <c r="AM669" s="122"/>
      <c r="AN669" s="122"/>
      <c r="AO669" s="122"/>
      <c r="AP669" s="122"/>
      <c r="AQ669" s="122"/>
      <c r="AR669" s="122"/>
      <c r="AS669" s="122"/>
      <c r="AT669" s="122"/>
      <c r="AU669" s="122"/>
      <c r="AV669" s="122"/>
      <c r="AW669" s="122"/>
      <c r="AX669" s="122"/>
      <c r="AY669" s="122"/>
      <c r="AZ669" s="122"/>
      <c r="BA669" s="122"/>
      <c r="BB669" s="122"/>
      <c r="BC669" s="122"/>
    </row>
    <row r="670" spans="12:55" ht="30.9" customHeight="1">
      <c r="L670" s="139"/>
      <c r="M670" s="139"/>
      <c r="N670" s="139"/>
      <c r="O670" s="140"/>
      <c r="P670" s="140"/>
      <c r="Q670" s="137"/>
      <c r="R670" s="137"/>
      <c r="S670" s="137"/>
      <c r="T670" s="137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  <c r="AH670" s="122"/>
      <c r="AI670" s="122"/>
      <c r="AJ670" s="122"/>
      <c r="AK670" s="122"/>
      <c r="AL670" s="122"/>
      <c r="AM670" s="122"/>
      <c r="AN670" s="122"/>
      <c r="AO670" s="122"/>
      <c r="AP670" s="122"/>
      <c r="AQ670" s="122"/>
      <c r="AR670" s="122"/>
      <c r="AS670" s="122"/>
      <c r="AT670" s="122"/>
      <c r="AU670" s="122"/>
      <c r="AV670" s="122"/>
      <c r="AW670" s="122"/>
      <c r="AX670" s="122"/>
      <c r="AY670" s="122"/>
      <c r="AZ670" s="122"/>
      <c r="BA670" s="122"/>
      <c r="BB670" s="122"/>
      <c r="BC670" s="122"/>
    </row>
    <row r="671" spans="12:55" ht="14.25" customHeight="1">
      <c r="L671" s="136"/>
      <c r="M671" s="136"/>
      <c r="N671" s="136"/>
      <c r="O671" s="136"/>
      <c r="P671" s="137"/>
      <c r="Q671" s="138"/>
      <c r="R671" s="138"/>
      <c r="S671" s="138"/>
      <c r="T671" s="138"/>
      <c r="U671" s="136"/>
      <c r="V671" s="136"/>
      <c r="W671" s="137"/>
      <c r="X671" s="137"/>
      <c r="Y671" s="136"/>
      <c r="Z671" s="136"/>
      <c r="AA671" s="137"/>
      <c r="AB671" s="137"/>
      <c r="AC671" s="137"/>
      <c r="AD671" s="137"/>
      <c r="AE671" s="136"/>
      <c r="AF671" s="136"/>
      <c r="AG671" s="137"/>
      <c r="AH671" s="137"/>
      <c r="AI671" s="136"/>
      <c r="AJ671" s="136"/>
      <c r="AK671" s="137"/>
      <c r="AL671" s="137"/>
      <c r="AM671" s="138"/>
      <c r="AN671" s="138"/>
      <c r="AO671" s="138"/>
      <c r="AP671" s="138"/>
      <c r="AQ671" s="7"/>
      <c r="AR671" s="7"/>
      <c r="AS671" s="7"/>
      <c r="AT671" s="136"/>
      <c r="AU671" s="136"/>
      <c r="AV671" s="136"/>
      <c r="AW671" s="136"/>
      <c r="AX671" s="137"/>
      <c r="AY671" s="137"/>
      <c r="AZ671" s="137"/>
      <c r="BA671" s="137"/>
      <c r="BB671" s="137"/>
      <c r="BC671" s="137"/>
    </row>
    <row r="672" spans="12:55" ht="14.25" customHeight="1">
      <c r="L672" s="136"/>
      <c r="M672" s="136"/>
      <c r="N672" s="136"/>
      <c r="O672" s="136"/>
      <c r="P672" s="137"/>
      <c r="Q672" s="138"/>
      <c r="R672" s="138"/>
      <c r="S672" s="138"/>
      <c r="T672" s="138"/>
      <c r="U672" s="136"/>
      <c r="V672" s="136"/>
      <c r="W672" s="137"/>
      <c r="X672" s="137"/>
      <c r="Y672" s="136"/>
      <c r="Z672" s="136"/>
      <c r="AA672" s="137"/>
      <c r="AB672" s="137"/>
      <c r="AC672" s="137"/>
      <c r="AD672" s="137"/>
      <c r="AE672" s="136"/>
      <c r="AF672" s="136"/>
      <c r="AG672" s="137"/>
      <c r="AH672" s="137"/>
      <c r="AI672" s="136"/>
      <c r="AJ672" s="136"/>
      <c r="AK672" s="137"/>
      <c r="AL672" s="137"/>
      <c r="AM672" s="138"/>
      <c r="AN672" s="138"/>
      <c r="AO672" s="138"/>
      <c r="AP672" s="138"/>
      <c r="AQ672" s="7"/>
      <c r="AR672" s="7"/>
      <c r="AS672" s="7"/>
      <c r="AT672" s="136"/>
      <c r="AU672" s="136"/>
      <c r="AV672" s="136"/>
      <c r="AW672" s="136"/>
      <c r="AX672" s="137"/>
      <c r="AY672" s="137"/>
      <c r="AZ672" s="137"/>
      <c r="BA672" s="137"/>
      <c r="BB672" s="137"/>
      <c r="BC672" s="137"/>
    </row>
    <row r="673" spans="12:55" ht="14.25" customHeight="1">
      <c r="L673" s="136"/>
      <c r="M673" s="136"/>
      <c r="N673" s="136"/>
      <c r="O673" s="136"/>
      <c r="P673" s="137"/>
      <c r="Q673" s="138"/>
      <c r="R673" s="138"/>
      <c r="S673" s="138"/>
      <c r="T673" s="138"/>
      <c r="U673" s="136"/>
      <c r="V673" s="136"/>
      <c r="W673" s="137"/>
      <c r="X673" s="137"/>
      <c r="Y673" s="136"/>
      <c r="Z673" s="136"/>
      <c r="AA673" s="137"/>
      <c r="AB673" s="137"/>
      <c r="AC673" s="137"/>
      <c r="AD673" s="137"/>
      <c r="AE673" s="136"/>
      <c r="AF673" s="136"/>
      <c r="AG673" s="137"/>
      <c r="AH673" s="137"/>
      <c r="AI673" s="136"/>
      <c r="AJ673" s="136"/>
      <c r="AK673" s="137"/>
      <c r="AL673" s="137"/>
      <c r="AM673" s="138"/>
      <c r="AN673" s="138"/>
      <c r="AO673" s="138"/>
      <c r="AP673" s="138"/>
      <c r="AQ673" s="7"/>
      <c r="AR673" s="7"/>
      <c r="AS673" s="7"/>
      <c r="AT673" s="99"/>
      <c r="AU673" s="99"/>
      <c r="AV673" s="99"/>
      <c r="AW673" s="99"/>
      <c r="AX673" s="100"/>
      <c r="AY673" s="100"/>
      <c r="AZ673" s="100"/>
      <c r="BA673" s="97"/>
      <c r="BB673" s="97"/>
      <c r="BC673" s="97"/>
    </row>
    <row r="674" spans="12:55" ht="14.25" customHeight="1">
      <c r="L674" s="136"/>
      <c r="M674" s="136"/>
      <c r="N674" s="136"/>
      <c r="O674" s="136"/>
      <c r="P674" s="137"/>
      <c r="Q674" s="138"/>
      <c r="R674" s="138"/>
      <c r="S674" s="138"/>
      <c r="T674" s="138"/>
      <c r="U674" s="49"/>
      <c r="V674" s="49"/>
      <c r="W674" s="49"/>
      <c r="X674" s="136"/>
      <c r="Y674" s="136"/>
      <c r="Z674" s="136"/>
      <c r="AA674" s="136"/>
      <c r="AB674" s="137"/>
      <c r="AC674" s="137"/>
      <c r="AD674" s="137"/>
      <c r="AE674" s="136"/>
      <c r="AF674" s="136"/>
      <c r="AG674" s="136"/>
      <c r="AH674" s="136"/>
      <c r="AI674" s="137"/>
      <c r="AJ674" s="137"/>
      <c r="AK674" s="137"/>
      <c r="AL674" s="49"/>
      <c r="AM674" s="138"/>
      <c r="AN674" s="138"/>
      <c r="AO674" s="138"/>
      <c r="AP674" s="138"/>
      <c r="AQ674" s="7"/>
      <c r="AR674" s="7"/>
      <c r="AS674" s="7"/>
      <c r="AT674" s="99"/>
      <c r="AU674" s="99"/>
      <c r="AV674" s="99"/>
      <c r="AW674" s="99"/>
      <c r="AX674" s="100"/>
      <c r="AY674" s="100"/>
      <c r="AZ674" s="100"/>
      <c r="BA674" s="97"/>
      <c r="BB674" s="97"/>
      <c r="BC674" s="97"/>
    </row>
    <row r="675" spans="12:55" ht="14.25" customHeight="1">
      <c r="L675" s="136"/>
      <c r="M675" s="136"/>
      <c r="N675" s="136"/>
      <c r="O675" s="136"/>
      <c r="P675" s="137"/>
      <c r="Q675" s="138"/>
      <c r="R675" s="138"/>
      <c r="S675" s="138"/>
      <c r="T675" s="138"/>
      <c r="U675" s="7"/>
      <c r="V675" s="7"/>
      <c r="W675" s="7"/>
      <c r="X675" s="136"/>
      <c r="Y675" s="136"/>
      <c r="Z675" s="136"/>
      <c r="AA675" s="136"/>
      <c r="AB675" s="137"/>
      <c r="AC675" s="137"/>
      <c r="AD675" s="137"/>
      <c r="AE675" s="136"/>
      <c r="AF675" s="136"/>
      <c r="AG675" s="136"/>
      <c r="AH675" s="136"/>
      <c r="AI675" s="137"/>
      <c r="AJ675" s="137"/>
      <c r="AK675" s="137"/>
      <c r="AL675" s="7"/>
      <c r="AM675" s="138"/>
      <c r="AN675" s="138"/>
      <c r="AO675" s="138"/>
      <c r="AP675" s="138"/>
      <c r="AQ675" s="7"/>
      <c r="AR675" s="7"/>
      <c r="AS675" s="7"/>
      <c r="AT675" s="99"/>
      <c r="AU675" s="99"/>
      <c r="AV675" s="99"/>
      <c r="AW675" s="99"/>
      <c r="AX675" s="100"/>
      <c r="AY675" s="100"/>
      <c r="AZ675" s="100"/>
      <c r="BA675" s="97"/>
      <c r="BB675" s="97"/>
      <c r="BC675" s="97"/>
    </row>
    <row r="676" spans="12:55" ht="14.25" customHeight="1">
      <c r="L676" s="136"/>
      <c r="M676" s="136"/>
      <c r="N676" s="136"/>
      <c r="O676" s="136"/>
      <c r="P676" s="137"/>
      <c r="Q676" s="138"/>
      <c r="R676" s="138"/>
      <c r="S676" s="138"/>
      <c r="T676" s="138"/>
      <c r="U676" s="7"/>
      <c r="V676" s="7"/>
      <c r="W676" s="7"/>
      <c r="X676" s="136"/>
      <c r="Y676" s="136"/>
      <c r="Z676" s="136"/>
      <c r="AA676" s="136"/>
      <c r="AB676" s="137"/>
      <c r="AC676" s="137"/>
      <c r="AD676" s="137"/>
      <c r="AE676" s="136"/>
      <c r="AF676" s="136"/>
      <c r="AG676" s="136"/>
      <c r="AH676" s="136"/>
      <c r="AI676" s="137"/>
      <c r="AJ676" s="137"/>
      <c r="AK676" s="137"/>
      <c r="AL676" s="7"/>
      <c r="AM676" s="138"/>
      <c r="AN676" s="138"/>
      <c r="AO676" s="138"/>
      <c r="AP676" s="138"/>
      <c r="AQ676" s="7"/>
      <c r="AR676" s="7"/>
      <c r="AS676" s="7"/>
      <c r="AT676" s="99"/>
      <c r="AU676" s="99"/>
      <c r="AV676" s="99"/>
      <c r="AW676" s="99"/>
      <c r="AX676" s="100"/>
      <c r="AY676" s="100"/>
      <c r="AZ676" s="100"/>
      <c r="BA676" s="97"/>
      <c r="BB676" s="97"/>
      <c r="BC676" s="97"/>
    </row>
    <row r="677" spans="12:55" ht="30.9" customHeight="1">
      <c r="L677" s="139"/>
      <c r="M677" s="139"/>
      <c r="N677" s="139"/>
      <c r="O677" s="140"/>
      <c r="P677" s="140"/>
      <c r="Q677" s="137"/>
      <c r="R677" s="137"/>
      <c r="S677" s="137"/>
      <c r="T677" s="137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  <c r="AH677" s="122"/>
      <c r="AI677" s="122"/>
      <c r="AJ677" s="122"/>
      <c r="AK677" s="122"/>
      <c r="AL677" s="122"/>
      <c r="AM677" s="122"/>
      <c r="AN677" s="122"/>
      <c r="AO677" s="122"/>
      <c r="AP677" s="122"/>
      <c r="AQ677" s="122"/>
      <c r="AR677" s="122"/>
      <c r="AS677" s="122"/>
      <c r="AT677" s="122"/>
      <c r="AU677" s="122"/>
      <c r="AV677" s="122"/>
      <c r="AW677" s="122"/>
      <c r="AX677" s="122"/>
      <c r="AY677" s="122"/>
      <c r="AZ677" s="122"/>
      <c r="BA677" s="122"/>
      <c r="BB677" s="122"/>
      <c r="BC677" s="122"/>
    </row>
    <row r="678" spans="12:55" ht="30.9" customHeight="1">
      <c r="L678" s="139"/>
      <c r="M678" s="139"/>
      <c r="N678" s="139"/>
      <c r="O678" s="140"/>
      <c r="P678" s="140"/>
      <c r="Q678" s="137"/>
      <c r="R678" s="137"/>
      <c r="S678" s="137"/>
      <c r="T678" s="137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  <c r="AH678" s="122"/>
      <c r="AI678" s="122"/>
      <c r="AJ678" s="122"/>
      <c r="AK678" s="122"/>
      <c r="AL678" s="122"/>
      <c r="AM678" s="122"/>
      <c r="AN678" s="122"/>
      <c r="AO678" s="122"/>
      <c r="AP678" s="122"/>
      <c r="AQ678" s="122"/>
      <c r="AR678" s="122"/>
      <c r="AS678" s="122"/>
      <c r="AT678" s="122"/>
      <c r="AU678" s="122"/>
      <c r="AV678" s="122"/>
      <c r="AW678" s="122"/>
      <c r="AX678" s="122"/>
      <c r="AY678" s="122"/>
      <c r="AZ678" s="122"/>
      <c r="BA678" s="122"/>
      <c r="BB678" s="122"/>
      <c r="BC678" s="122"/>
    </row>
    <row r="679" spans="12:55" ht="14.25" customHeight="1">
      <c r="L679" s="136"/>
      <c r="M679" s="136"/>
      <c r="N679" s="136"/>
      <c r="O679" s="136"/>
      <c r="P679" s="137"/>
      <c r="Q679" s="138"/>
      <c r="R679" s="138"/>
      <c r="S679" s="138"/>
      <c r="T679" s="138"/>
      <c r="U679" s="136"/>
      <c r="V679" s="136"/>
      <c r="W679" s="137"/>
      <c r="X679" s="137"/>
      <c r="Y679" s="136"/>
      <c r="Z679" s="136"/>
      <c r="AA679" s="137"/>
      <c r="AB679" s="137"/>
      <c r="AC679" s="137"/>
      <c r="AD679" s="137"/>
      <c r="AE679" s="136"/>
      <c r="AF679" s="136"/>
      <c r="AG679" s="137"/>
      <c r="AH679" s="137"/>
      <c r="AI679" s="136"/>
      <c r="AJ679" s="136"/>
      <c r="AK679" s="137"/>
      <c r="AL679" s="137"/>
      <c r="AM679" s="138"/>
      <c r="AN679" s="138"/>
      <c r="AO679" s="138"/>
      <c r="AP679" s="138"/>
      <c r="AQ679" s="7"/>
      <c r="AR679" s="7"/>
      <c r="AS679" s="7"/>
      <c r="AT679" s="136"/>
      <c r="AU679" s="136"/>
      <c r="AV679" s="136"/>
      <c r="AW679" s="136"/>
      <c r="AX679" s="137"/>
      <c r="AY679" s="137"/>
      <c r="AZ679" s="137"/>
      <c r="BA679" s="137"/>
      <c r="BB679" s="137"/>
      <c r="BC679" s="137"/>
    </row>
    <row r="680" spans="12:55" ht="14.25" customHeight="1">
      <c r="L680" s="136"/>
      <c r="M680" s="136"/>
      <c r="N680" s="136"/>
      <c r="O680" s="136"/>
      <c r="P680" s="137"/>
      <c r="Q680" s="138"/>
      <c r="R680" s="138"/>
      <c r="S680" s="138"/>
      <c r="T680" s="138"/>
      <c r="U680" s="136"/>
      <c r="V680" s="136"/>
      <c r="W680" s="137"/>
      <c r="X680" s="137"/>
      <c r="Y680" s="136"/>
      <c r="Z680" s="136"/>
      <c r="AA680" s="137"/>
      <c r="AB680" s="137"/>
      <c r="AC680" s="137"/>
      <c r="AD680" s="137"/>
      <c r="AE680" s="136"/>
      <c r="AF680" s="136"/>
      <c r="AG680" s="137"/>
      <c r="AH680" s="137"/>
      <c r="AI680" s="136"/>
      <c r="AJ680" s="136"/>
      <c r="AK680" s="137"/>
      <c r="AL680" s="137"/>
      <c r="AM680" s="138"/>
      <c r="AN680" s="138"/>
      <c r="AO680" s="138"/>
      <c r="AP680" s="138"/>
      <c r="AQ680" s="7"/>
      <c r="AR680" s="7"/>
      <c r="AS680" s="7"/>
      <c r="AT680" s="136"/>
      <c r="AU680" s="136"/>
      <c r="AV680" s="136"/>
      <c r="AW680" s="136"/>
      <c r="AX680" s="137"/>
      <c r="AY680" s="137"/>
      <c r="AZ680" s="137"/>
      <c r="BA680" s="137"/>
      <c r="BB680" s="137"/>
      <c r="BC680" s="137"/>
    </row>
    <row r="681" spans="12:55" ht="14.25" customHeight="1">
      <c r="L681" s="136"/>
      <c r="M681" s="136"/>
      <c r="N681" s="136"/>
      <c r="O681" s="136"/>
      <c r="P681" s="137"/>
      <c r="Q681" s="138"/>
      <c r="R681" s="138"/>
      <c r="S681" s="138"/>
      <c r="T681" s="138"/>
      <c r="U681" s="136"/>
      <c r="V681" s="136"/>
      <c r="W681" s="137"/>
      <c r="X681" s="137"/>
      <c r="Y681" s="136"/>
      <c r="Z681" s="136"/>
      <c r="AA681" s="137"/>
      <c r="AB681" s="137"/>
      <c r="AC681" s="137"/>
      <c r="AD681" s="137"/>
      <c r="AE681" s="136"/>
      <c r="AF681" s="136"/>
      <c r="AG681" s="137"/>
      <c r="AH681" s="137"/>
      <c r="AI681" s="136"/>
      <c r="AJ681" s="136"/>
      <c r="AK681" s="137"/>
      <c r="AL681" s="137"/>
      <c r="AM681" s="138"/>
      <c r="AN681" s="138"/>
      <c r="AO681" s="138"/>
      <c r="AP681" s="138"/>
      <c r="AQ681" s="7"/>
      <c r="AR681" s="7"/>
      <c r="AS681" s="7"/>
      <c r="AT681" s="99"/>
      <c r="AU681" s="99"/>
      <c r="AV681" s="99"/>
      <c r="AW681" s="99"/>
      <c r="AX681" s="100"/>
      <c r="AY681" s="100"/>
      <c r="AZ681" s="100"/>
      <c r="BA681" s="97"/>
      <c r="BB681" s="97"/>
      <c r="BC681" s="97"/>
    </row>
    <row r="682" spans="12:55" ht="14.25" customHeight="1">
      <c r="L682" s="136"/>
      <c r="M682" s="136"/>
      <c r="N682" s="136"/>
      <c r="O682" s="136"/>
      <c r="P682" s="137"/>
      <c r="Q682" s="138"/>
      <c r="R682" s="138"/>
      <c r="S682" s="138"/>
      <c r="T682" s="138"/>
      <c r="U682" s="49"/>
      <c r="V682" s="49"/>
      <c r="W682" s="49"/>
      <c r="X682" s="136"/>
      <c r="Y682" s="136"/>
      <c r="Z682" s="136"/>
      <c r="AA682" s="136"/>
      <c r="AB682" s="137"/>
      <c r="AC682" s="137"/>
      <c r="AD682" s="137"/>
      <c r="AE682" s="136"/>
      <c r="AF682" s="136"/>
      <c r="AG682" s="136"/>
      <c r="AH682" s="136"/>
      <c r="AI682" s="137"/>
      <c r="AJ682" s="137"/>
      <c r="AK682" s="137"/>
      <c r="AL682" s="49"/>
      <c r="AM682" s="138"/>
      <c r="AN682" s="138"/>
      <c r="AO682" s="138"/>
      <c r="AP682" s="138"/>
      <c r="AQ682" s="7"/>
      <c r="AR682" s="7"/>
      <c r="AS682" s="7"/>
      <c r="AT682" s="99"/>
      <c r="AU682" s="99"/>
      <c r="AV682" s="99"/>
      <c r="AW682" s="99"/>
      <c r="AX682" s="100"/>
      <c r="AY682" s="100"/>
      <c r="AZ682" s="100"/>
      <c r="BA682" s="97"/>
      <c r="BB682" s="97"/>
      <c r="BC682" s="97"/>
    </row>
    <row r="683" spans="12:55" ht="14.25" customHeight="1">
      <c r="L683" s="136"/>
      <c r="M683" s="136"/>
      <c r="N683" s="136"/>
      <c r="O683" s="136"/>
      <c r="P683" s="137"/>
      <c r="Q683" s="138"/>
      <c r="R683" s="138"/>
      <c r="S683" s="138"/>
      <c r="T683" s="138"/>
      <c r="U683" s="7"/>
      <c r="V683" s="7"/>
      <c r="W683" s="7"/>
      <c r="X683" s="136"/>
      <c r="Y683" s="136"/>
      <c r="Z683" s="136"/>
      <c r="AA683" s="136"/>
      <c r="AB683" s="137"/>
      <c r="AC683" s="137"/>
      <c r="AD683" s="137"/>
      <c r="AE683" s="136"/>
      <c r="AF683" s="136"/>
      <c r="AG683" s="136"/>
      <c r="AH683" s="136"/>
      <c r="AI683" s="137"/>
      <c r="AJ683" s="137"/>
      <c r="AK683" s="137"/>
      <c r="AL683" s="7"/>
      <c r="AM683" s="138"/>
      <c r="AN683" s="138"/>
      <c r="AO683" s="138"/>
      <c r="AP683" s="138"/>
      <c r="AQ683" s="7"/>
      <c r="AR683" s="7"/>
      <c r="AS683" s="7"/>
      <c r="AT683" s="99"/>
      <c r="AU683" s="99"/>
      <c r="AV683" s="99"/>
      <c r="AW683" s="99"/>
      <c r="AX683" s="100"/>
      <c r="AY683" s="100"/>
      <c r="AZ683" s="100"/>
      <c r="BA683" s="97"/>
      <c r="BB683" s="97"/>
      <c r="BC683" s="97"/>
    </row>
    <row r="684" spans="12:55" ht="14.25" customHeight="1">
      <c r="L684" s="136"/>
      <c r="M684" s="136"/>
      <c r="N684" s="136"/>
      <c r="O684" s="136"/>
      <c r="P684" s="137"/>
      <c r="Q684" s="138"/>
      <c r="R684" s="138"/>
      <c r="S684" s="138"/>
      <c r="T684" s="138"/>
      <c r="U684" s="7"/>
      <c r="V684" s="7"/>
      <c r="W684" s="7"/>
      <c r="X684" s="136"/>
      <c r="Y684" s="136"/>
      <c r="Z684" s="136"/>
      <c r="AA684" s="136"/>
      <c r="AB684" s="137"/>
      <c r="AC684" s="137"/>
      <c r="AD684" s="137"/>
      <c r="AE684" s="136"/>
      <c r="AF684" s="136"/>
      <c r="AG684" s="136"/>
      <c r="AH684" s="136"/>
      <c r="AI684" s="137"/>
      <c r="AJ684" s="137"/>
      <c r="AK684" s="137"/>
      <c r="AL684" s="7"/>
      <c r="AM684" s="138"/>
      <c r="AN684" s="138"/>
      <c r="AO684" s="138"/>
      <c r="AP684" s="138"/>
      <c r="AQ684" s="7"/>
      <c r="AR684" s="7"/>
      <c r="AS684" s="7"/>
      <c r="AT684" s="99"/>
      <c r="AU684" s="99"/>
      <c r="AV684" s="99"/>
      <c r="AW684" s="99"/>
      <c r="AX684" s="100"/>
      <c r="AY684" s="100"/>
      <c r="AZ684" s="100"/>
      <c r="BA684" s="97"/>
      <c r="BB684" s="97"/>
      <c r="BC684" s="97"/>
    </row>
    <row r="685" spans="12:55" ht="30.9" customHeight="1">
      <c r="L685" s="139"/>
      <c r="M685" s="139"/>
      <c r="N685" s="139"/>
      <c r="O685" s="140"/>
      <c r="P685" s="140"/>
      <c r="Q685" s="137"/>
      <c r="R685" s="137"/>
      <c r="S685" s="137"/>
      <c r="T685" s="137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  <c r="AH685" s="122"/>
      <c r="AI685" s="122"/>
      <c r="AJ685" s="122"/>
      <c r="AK685" s="122"/>
      <c r="AL685" s="122"/>
      <c r="AM685" s="122"/>
      <c r="AN685" s="122"/>
      <c r="AO685" s="122"/>
      <c r="AP685" s="122"/>
      <c r="AQ685" s="122"/>
      <c r="AR685" s="122"/>
      <c r="AS685" s="122"/>
      <c r="AT685" s="122"/>
      <c r="AU685" s="122"/>
      <c r="AV685" s="122"/>
      <c r="AW685" s="122"/>
      <c r="AX685" s="122"/>
      <c r="AY685" s="122"/>
      <c r="AZ685" s="122"/>
      <c r="BA685" s="122"/>
      <c r="BB685" s="122"/>
      <c r="BC685" s="122"/>
    </row>
    <row r="686" spans="12:55" ht="30.9" customHeight="1">
      <c r="L686" s="139"/>
      <c r="M686" s="139"/>
      <c r="N686" s="139"/>
      <c r="O686" s="140"/>
      <c r="P686" s="140"/>
      <c r="Q686" s="137"/>
      <c r="R686" s="137"/>
      <c r="S686" s="137"/>
      <c r="T686" s="137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  <c r="AH686" s="122"/>
      <c r="AI686" s="122"/>
      <c r="AJ686" s="122"/>
      <c r="AK686" s="122"/>
      <c r="AL686" s="122"/>
      <c r="AM686" s="122"/>
      <c r="AN686" s="122"/>
      <c r="AO686" s="122"/>
      <c r="AP686" s="122"/>
      <c r="AQ686" s="122"/>
      <c r="AR686" s="122"/>
      <c r="AS686" s="122"/>
      <c r="AT686" s="122"/>
      <c r="AU686" s="122"/>
      <c r="AV686" s="122"/>
      <c r="AW686" s="122"/>
      <c r="AX686" s="122"/>
      <c r="AY686" s="122"/>
      <c r="AZ686" s="122"/>
      <c r="BA686" s="122"/>
      <c r="BB686" s="122"/>
      <c r="BC686" s="122"/>
    </row>
    <row r="687" spans="12:55" ht="14.25" customHeight="1">
      <c r="L687" s="136"/>
      <c r="M687" s="136"/>
      <c r="N687" s="136"/>
      <c r="O687" s="136"/>
      <c r="P687" s="137"/>
      <c r="Q687" s="138"/>
      <c r="R687" s="138"/>
      <c r="S687" s="138"/>
      <c r="T687" s="138"/>
      <c r="U687" s="136"/>
      <c r="V687" s="136"/>
      <c r="W687" s="137"/>
      <c r="X687" s="137"/>
      <c r="Y687" s="136"/>
      <c r="Z687" s="136"/>
      <c r="AA687" s="137"/>
      <c r="AB687" s="137"/>
      <c r="AC687" s="137"/>
      <c r="AD687" s="137"/>
      <c r="AE687" s="136"/>
      <c r="AF687" s="136"/>
      <c r="AG687" s="137"/>
      <c r="AH687" s="137"/>
      <c r="AI687" s="136"/>
      <c r="AJ687" s="136"/>
      <c r="AK687" s="137"/>
      <c r="AL687" s="137"/>
      <c r="AM687" s="138"/>
      <c r="AN687" s="138"/>
      <c r="AO687" s="138"/>
      <c r="AP687" s="138"/>
      <c r="AQ687" s="7"/>
      <c r="AR687" s="7"/>
      <c r="AS687" s="7"/>
      <c r="AT687" s="136"/>
      <c r="AU687" s="136"/>
      <c r="AV687" s="136"/>
      <c r="AW687" s="136"/>
      <c r="AX687" s="137"/>
      <c r="AY687" s="137"/>
      <c r="AZ687" s="137"/>
      <c r="BA687" s="137"/>
      <c r="BB687" s="137"/>
      <c r="BC687" s="137"/>
    </row>
    <row r="688" spans="12:55" ht="14.25" customHeight="1">
      <c r="L688" s="136"/>
      <c r="M688" s="136"/>
      <c r="N688" s="136"/>
      <c r="O688" s="136"/>
      <c r="P688" s="137"/>
      <c r="Q688" s="138"/>
      <c r="R688" s="138"/>
      <c r="S688" s="138"/>
      <c r="T688" s="138"/>
      <c r="U688" s="136"/>
      <c r="V688" s="136"/>
      <c r="W688" s="137"/>
      <c r="X688" s="137"/>
      <c r="Y688" s="136"/>
      <c r="Z688" s="136"/>
      <c r="AA688" s="137"/>
      <c r="AB688" s="137"/>
      <c r="AC688" s="137"/>
      <c r="AD688" s="137"/>
      <c r="AE688" s="136"/>
      <c r="AF688" s="136"/>
      <c r="AG688" s="137"/>
      <c r="AH688" s="137"/>
      <c r="AI688" s="136"/>
      <c r="AJ688" s="136"/>
      <c r="AK688" s="137"/>
      <c r="AL688" s="137"/>
      <c r="AM688" s="138"/>
      <c r="AN688" s="138"/>
      <c r="AO688" s="138"/>
      <c r="AP688" s="138"/>
      <c r="AQ688" s="7"/>
      <c r="AR688" s="7"/>
      <c r="AS688" s="7"/>
      <c r="AT688" s="136"/>
      <c r="AU688" s="136"/>
      <c r="AV688" s="136"/>
      <c r="AW688" s="136"/>
      <c r="AX688" s="137"/>
      <c r="AY688" s="137"/>
      <c r="AZ688" s="137"/>
      <c r="BA688" s="137"/>
      <c r="BB688" s="137"/>
      <c r="BC688" s="137"/>
    </row>
    <row r="689" spans="12:55" ht="14.25" customHeight="1">
      <c r="L689" s="136"/>
      <c r="M689" s="136"/>
      <c r="N689" s="136"/>
      <c r="O689" s="136"/>
      <c r="P689" s="137"/>
      <c r="Q689" s="138"/>
      <c r="R689" s="138"/>
      <c r="S689" s="138"/>
      <c r="T689" s="138"/>
      <c r="U689" s="136"/>
      <c r="V689" s="136"/>
      <c r="W689" s="137"/>
      <c r="X689" s="137"/>
      <c r="Y689" s="136"/>
      <c r="Z689" s="136"/>
      <c r="AA689" s="137"/>
      <c r="AB689" s="137"/>
      <c r="AC689" s="137"/>
      <c r="AD689" s="137"/>
      <c r="AE689" s="136"/>
      <c r="AF689" s="136"/>
      <c r="AG689" s="137"/>
      <c r="AH689" s="137"/>
      <c r="AI689" s="136"/>
      <c r="AJ689" s="136"/>
      <c r="AK689" s="137"/>
      <c r="AL689" s="137"/>
      <c r="AM689" s="138"/>
      <c r="AN689" s="138"/>
      <c r="AO689" s="138"/>
      <c r="AP689" s="138"/>
      <c r="AQ689" s="7"/>
      <c r="AR689" s="7"/>
      <c r="AS689" s="7"/>
      <c r="AT689" s="99"/>
      <c r="AU689" s="99"/>
      <c r="AV689" s="99"/>
      <c r="AW689" s="99"/>
      <c r="AX689" s="100"/>
      <c r="AY689" s="100"/>
      <c r="AZ689" s="100"/>
      <c r="BA689" s="97"/>
      <c r="BB689" s="97"/>
      <c r="BC689" s="97"/>
    </row>
    <row r="690" spans="12:55" ht="14.25" customHeight="1">
      <c r="L690" s="136"/>
      <c r="M690" s="136"/>
      <c r="N690" s="136"/>
      <c r="O690" s="136"/>
      <c r="P690" s="137"/>
      <c r="Q690" s="138"/>
      <c r="R690" s="138"/>
      <c r="S690" s="138"/>
      <c r="T690" s="138"/>
      <c r="U690" s="49"/>
      <c r="V690" s="49"/>
      <c r="W690" s="49"/>
      <c r="X690" s="136"/>
      <c r="Y690" s="136"/>
      <c r="Z690" s="136"/>
      <c r="AA690" s="136"/>
      <c r="AB690" s="137"/>
      <c r="AC690" s="137"/>
      <c r="AD690" s="137"/>
      <c r="AE690" s="136"/>
      <c r="AF690" s="136"/>
      <c r="AG690" s="136"/>
      <c r="AH690" s="136"/>
      <c r="AI690" s="137"/>
      <c r="AJ690" s="137"/>
      <c r="AK690" s="137"/>
      <c r="AL690" s="49"/>
      <c r="AM690" s="138"/>
      <c r="AN690" s="138"/>
      <c r="AO690" s="138"/>
      <c r="AP690" s="138"/>
      <c r="AQ690" s="7"/>
      <c r="AR690" s="7"/>
      <c r="AS690" s="7"/>
      <c r="AT690" s="99"/>
      <c r="AU690" s="99"/>
      <c r="AV690" s="99"/>
      <c r="AW690" s="99"/>
      <c r="AX690" s="100"/>
      <c r="AY690" s="100"/>
      <c r="AZ690" s="100"/>
      <c r="BA690" s="97"/>
      <c r="BB690" s="97"/>
      <c r="BC690" s="97"/>
    </row>
    <row r="691" spans="12:55" ht="14.25" customHeight="1">
      <c r="L691" s="136"/>
      <c r="M691" s="136"/>
      <c r="N691" s="136"/>
      <c r="O691" s="136"/>
      <c r="P691" s="137"/>
      <c r="Q691" s="138"/>
      <c r="R691" s="138"/>
      <c r="S691" s="138"/>
      <c r="T691" s="138"/>
      <c r="U691" s="7"/>
      <c r="V691" s="7"/>
      <c r="W691" s="7"/>
      <c r="X691" s="136"/>
      <c r="Y691" s="136"/>
      <c r="Z691" s="136"/>
      <c r="AA691" s="136"/>
      <c r="AB691" s="137"/>
      <c r="AC691" s="137"/>
      <c r="AD691" s="137"/>
      <c r="AE691" s="136"/>
      <c r="AF691" s="136"/>
      <c r="AG691" s="136"/>
      <c r="AH691" s="136"/>
      <c r="AI691" s="137"/>
      <c r="AJ691" s="137"/>
      <c r="AK691" s="137"/>
      <c r="AL691" s="7"/>
      <c r="AM691" s="138"/>
      <c r="AN691" s="138"/>
      <c r="AO691" s="138"/>
      <c r="AP691" s="138"/>
      <c r="AQ691" s="7"/>
      <c r="AR691" s="7"/>
      <c r="AS691" s="7"/>
      <c r="AT691" s="99"/>
      <c r="AU691" s="99"/>
      <c r="AV691" s="99"/>
      <c r="AW691" s="99"/>
      <c r="AX691" s="100"/>
      <c r="AY691" s="100"/>
      <c r="AZ691" s="100"/>
      <c r="BA691" s="97"/>
      <c r="BB691" s="97"/>
      <c r="BC691" s="97"/>
    </row>
    <row r="692" spans="12:55" ht="14.25" customHeight="1">
      <c r="L692" s="136"/>
      <c r="M692" s="136"/>
      <c r="N692" s="136"/>
      <c r="O692" s="136"/>
      <c r="P692" s="137"/>
      <c r="Q692" s="138"/>
      <c r="R692" s="138"/>
      <c r="S692" s="138"/>
      <c r="T692" s="138"/>
      <c r="U692" s="7"/>
      <c r="V692" s="7"/>
      <c r="W692" s="7"/>
      <c r="X692" s="136"/>
      <c r="Y692" s="136"/>
      <c r="Z692" s="136"/>
      <c r="AA692" s="136"/>
      <c r="AB692" s="137"/>
      <c r="AC692" s="137"/>
      <c r="AD692" s="137"/>
      <c r="AE692" s="136"/>
      <c r="AF692" s="136"/>
      <c r="AG692" s="136"/>
      <c r="AH692" s="136"/>
      <c r="AI692" s="137"/>
      <c r="AJ692" s="137"/>
      <c r="AK692" s="137"/>
      <c r="AL692" s="7"/>
      <c r="AM692" s="138"/>
      <c r="AN692" s="138"/>
      <c r="AO692" s="138"/>
      <c r="AP692" s="138"/>
      <c r="AQ692" s="7"/>
      <c r="AR692" s="7"/>
      <c r="AS692" s="7"/>
      <c r="AT692" s="99"/>
      <c r="AU692" s="99"/>
      <c r="AV692" s="99"/>
      <c r="AW692" s="99"/>
      <c r="AX692" s="100"/>
      <c r="AY692" s="100"/>
      <c r="AZ692" s="100"/>
      <c r="BA692" s="97"/>
      <c r="BB692" s="97"/>
      <c r="BC692" s="97"/>
    </row>
    <row r="693" spans="12:55" ht="30.9" customHeight="1">
      <c r="L693" s="139"/>
      <c r="M693" s="139"/>
      <c r="N693" s="139"/>
      <c r="O693" s="140"/>
      <c r="P693" s="140"/>
      <c r="Q693" s="137"/>
      <c r="R693" s="137"/>
      <c r="S693" s="137"/>
      <c r="T693" s="137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  <c r="AH693" s="122"/>
      <c r="AI693" s="122"/>
      <c r="AJ693" s="122"/>
      <c r="AK693" s="122"/>
      <c r="AL693" s="122"/>
      <c r="AM693" s="122"/>
      <c r="AN693" s="122"/>
      <c r="AO693" s="122"/>
      <c r="AP693" s="122"/>
      <c r="AQ693" s="122"/>
      <c r="AR693" s="122"/>
      <c r="AS693" s="122"/>
      <c r="AT693" s="122"/>
      <c r="AU693" s="122"/>
      <c r="AV693" s="122"/>
      <c r="AW693" s="122"/>
      <c r="AX693" s="122"/>
      <c r="AY693" s="122"/>
      <c r="AZ693" s="122"/>
      <c r="BA693" s="122"/>
      <c r="BB693" s="122"/>
      <c r="BC693" s="122"/>
    </row>
    <row r="694" spans="12:55" ht="30.9" customHeight="1">
      <c r="L694" s="139"/>
      <c r="M694" s="139"/>
      <c r="N694" s="139"/>
      <c r="O694" s="140"/>
      <c r="P694" s="140"/>
      <c r="Q694" s="137"/>
      <c r="R694" s="137"/>
      <c r="S694" s="137"/>
      <c r="T694" s="137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  <c r="AH694" s="122"/>
      <c r="AI694" s="122"/>
      <c r="AJ694" s="122"/>
      <c r="AK694" s="122"/>
      <c r="AL694" s="122"/>
      <c r="AM694" s="122"/>
      <c r="AN694" s="122"/>
      <c r="AO694" s="122"/>
      <c r="AP694" s="122"/>
      <c r="AQ694" s="122"/>
      <c r="AR694" s="122"/>
      <c r="AS694" s="122"/>
      <c r="AT694" s="122"/>
      <c r="AU694" s="122"/>
      <c r="AV694" s="122"/>
      <c r="AW694" s="122"/>
      <c r="AX694" s="122"/>
      <c r="AY694" s="122"/>
      <c r="AZ694" s="122"/>
      <c r="BA694" s="122"/>
      <c r="BB694" s="122"/>
      <c r="BC694" s="122"/>
    </row>
    <row r="695" spans="12:55" ht="14.25" customHeight="1">
      <c r="L695" s="136"/>
      <c r="M695" s="136"/>
      <c r="N695" s="136"/>
      <c r="O695" s="136"/>
      <c r="P695" s="137"/>
      <c r="Q695" s="138"/>
      <c r="R695" s="138"/>
      <c r="S695" s="138"/>
      <c r="T695" s="138"/>
      <c r="U695" s="136"/>
      <c r="V695" s="136"/>
      <c r="W695" s="137"/>
      <c r="X695" s="137"/>
      <c r="Y695" s="136"/>
      <c r="Z695" s="136"/>
      <c r="AA695" s="137"/>
      <c r="AB695" s="137"/>
      <c r="AC695" s="137"/>
      <c r="AD695" s="137"/>
      <c r="AE695" s="136"/>
      <c r="AF695" s="136"/>
      <c r="AG695" s="137"/>
      <c r="AH695" s="137"/>
      <c r="AI695" s="136"/>
      <c r="AJ695" s="136"/>
      <c r="AK695" s="137"/>
      <c r="AL695" s="137"/>
      <c r="AM695" s="138"/>
      <c r="AN695" s="138"/>
      <c r="AO695" s="138"/>
      <c r="AP695" s="138"/>
      <c r="AQ695" s="7"/>
      <c r="AR695" s="7"/>
      <c r="AS695" s="7"/>
      <c r="AT695" s="136"/>
      <c r="AU695" s="136"/>
      <c r="AV695" s="136"/>
      <c r="AW695" s="136"/>
      <c r="AX695" s="137"/>
      <c r="AY695" s="137"/>
      <c r="AZ695" s="137"/>
      <c r="BA695" s="137"/>
      <c r="BB695" s="137"/>
      <c r="BC695" s="137"/>
    </row>
    <row r="696" spans="12:55" ht="14.25" customHeight="1">
      <c r="L696" s="136"/>
      <c r="M696" s="136"/>
      <c r="N696" s="136"/>
      <c r="O696" s="136"/>
      <c r="P696" s="137"/>
      <c r="Q696" s="138"/>
      <c r="R696" s="138"/>
      <c r="S696" s="138"/>
      <c r="T696" s="138"/>
      <c r="U696" s="136"/>
      <c r="V696" s="136"/>
      <c r="W696" s="137"/>
      <c r="X696" s="137"/>
      <c r="Y696" s="136"/>
      <c r="Z696" s="136"/>
      <c r="AA696" s="137"/>
      <c r="AB696" s="137"/>
      <c r="AC696" s="137"/>
      <c r="AD696" s="137"/>
      <c r="AE696" s="136"/>
      <c r="AF696" s="136"/>
      <c r="AG696" s="137"/>
      <c r="AH696" s="137"/>
      <c r="AI696" s="136"/>
      <c r="AJ696" s="136"/>
      <c r="AK696" s="137"/>
      <c r="AL696" s="137"/>
      <c r="AM696" s="138"/>
      <c r="AN696" s="138"/>
      <c r="AO696" s="138"/>
      <c r="AP696" s="138"/>
      <c r="AQ696" s="7"/>
      <c r="AR696" s="7"/>
      <c r="AS696" s="7"/>
      <c r="AT696" s="136"/>
      <c r="AU696" s="136"/>
      <c r="AV696" s="136"/>
      <c r="AW696" s="136"/>
      <c r="AX696" s="137"/>
      <c r="AY696" s="137"/>
      <c r="AZ696" s="137"/>
      <c r="BA696" s="137"/>
      <c r="BB696" s="137"/>
      <c r="BC696" s="137"/>
    </row>
    <row r="697" spans="12:55" ht="14.25" customHeight="1">
      <c r="L697" s="136"/>
      <c r="M697" s="136"/>
      <c r="N697" s="136"/>
      <c r="O697" s="136"/>
      <c r="P697" s="137"/>
      <c r="Q697" s="138"/>
      <c r="R697" s="138"/>
      <c r="S697" s="138"/>
      <c r="T697" s="138"/>
      <c r="U697" s="136"/>
      <c r="V697" s="136"/>
      <c r="W697" s="137"/>
      <c r="X697" s="137"/>
      <c r="Y697" s="136"/>
      <c r="Z697" s="136"/>
      <c r="AA697" s="137"/>
      <c r="AB697" s="137"/>
      <c r="AC697" s="137"/>
      <c r="AD697" s="137"/>
      <c r="AE697" s="136"/>
      <c r="AF697" s="136"/>
      <c r="AG697" s="137"/>
      <c r="AH697" s="137"/>
      <c r="AI697" s="136"/>
      <c r="AJ697" s="136"/>
      <c r="AK697" s="137"/>
      <c r="AL697" s="137"/>
      <c r="AM697" s="138"/>
      <c r="AN697" s="138"/>
      <c r="AO697" s="138"/>
      <c r="AP697" s="138"/>
      <c r="AQ697" s="7"/>
      <c r="AR697" s="7"/>
      <c r="AS697" s="7"/>
      <c r="AT697" s="99"/>
      <c r="AU697" s="99"/>
      <c r="AV697" s="99"/>
      <c r="AW697" s="99"/>
      <c r="AX697" s="100"/>
      <c r="AY697" s="100"/>
      <c r="AZ697" s="100"/>
      <c r="BA697" s="97"/>
      <c r="BB697" s="97"/>
      <c r="BC697" s="97"/>
    </row>
    <row r="698" spans="12:55" ht="14.25" customHeight="1">
      <c r="L698" s="136"/>
      <c r="M698" s="136"/>
      <c r="N698" s="136"/>
      <c r="O698" s="136"/>
      <c r="P698" s="137"/>
      <c r="Q698" s="138"/>
      <c r="R698" s="138"/>
      <c r="S698" s="138"/>
      <c r="T698" s="138"/>
      <c r="U698" s="49"/>
      <c r="V698" s="49"/>
      <c r="W698" s="49"/>
      <c r="X698" s="136"/>
      <c r="Y698" s="136"/>
      <c r="Z698" s="136"/>
      <c r="AA698" s="136"/>
      <c r="AB698" s="137"/>
      <c r="AC698" s="137"/>
      <c r="AD698" s="137"/>
      <c r="AE698" s="136"/>
      <c r="AF698" s="136"/>
      <c r="AG698" s="136"/>
      <c r="AH698" s="136"/>
      <c r="AI698" s="137"/>
      <c r="AJ698" s="137"/>
      <c r="AK698" s="137"/>
      <c r="AL698" s="49"/>
      <c r="AM698" s="138"/>
      <c r="AN698" s="138"/>
      <c r="AO698" s="138"/>
      <c r="AP698" s="138"/>
      <c r="AQ698" s="7"/>
      <c r="AR698" s="7"/>
      <c r="AS698" s="7"/>
      <c r="AT698" s="99"/>
      <c r="AU698" s="99"/>
      <c r="AV698" s="99"/>
      <c r="AW698" s="99"/>
      <c r="AX698" s="100"/>
      <c r="AY698" s="100"/>
      <c r="AZ698" s="100"/>
      <c r="BA698" s="97"/>
      <c r="BB698" s="97"/>
      <c r="BC698" s="97"/>
    </row>
    <row r="699" spans="12:55" ht="14.25" customHeight="1">
      <c r="L699" s="136"/>
      <c r="M699" s="136"/>
      <c r="N699" s="136"/>
      <c r="O699" s="136"/>
      <c r="P699" s="137"/>
      <c r="Q699" s="138"/>
      <c r="R699" s="138"/>
      <c r="S699" s="138"/>
      <c r="T699" s="138"/>
      <c r="U699" s="7"/>
      <c r="V699" s="7"/>
      <c r="W699" s="7"/>
      <c r="X699" s="136"/>
      <c r="Y699" s="136"/>
      <c r="Z699" s="136"/>
      <c r="AA699" s="136"/>
      <c r="AB699" s="137"/>
      <c r="AC699" s="137"/>
      <c r="AD699" s="137"/>
      <c r="AE699" s="136"/>
      <c r="AF699" s="136"/>
      <c r="AG699" s="136"/>
      <c r="AH699" s="136"/>
      <c r="AI699" s="137"/>
      <c r="AJ699" s="137"/>
      <c r="AK699" s="137"/>
      <c r="AL699" s="7"/>
      <c r="AM699" s="138"/>
      <c r="AN699" s="138"/>
      <c r="AO699" s="138"/>
      <c r="AP699" s="138"/>
      <c r="AQ699" s="7"/>
      <c r="AR699" s="7"/>
      <c r="AS699" s="7"/>
      <c r="AT699" s="99"/>
      <c r="AU699" s="99"/>
      <c r="AV699" s="99"/>
      <c r="AW699" s="99"/>
      <c r="AX699" s="100"/>
      <c r="AY699" s="100"/>
      <c r="AZ699" s="100"/>
      <c r="BA699" s="97"/>
      <c r="BB699" s="97"/>
      <c r="BC699" s="97"/>
    </row>
    <row r="700" spans="12:55" ht="14.25" customHeight="1">
      <c r="L700" s="136"/>
      <c r="M700" s="136"/>
      <c r="N700" s="136"/>
      <c r="O700" s="136"/>
      <c r="P700" s="137"/>
      <c r="Q700" s="138"/>
      <c r="R700" s="138"/>
      <c r="S700" s="138"/>
      <c r="T700" s="138"/>
      <c r="U700" s="7"/>
      <c r="V700" s="7"/>
      <c r="W700" s="7"/>
      <c r="X700" s="136"/>
      <c r="Y700" s="136"/>
      <c r="Z700" s="136"/>
      <c r="AA700" s="136"/>
      <c r="AB700" s="137"/>
      <c r="AC700" s="137"/>
      <c r="AD700" s="137"/>
      <c r="AE700" s="136"/>
      <c r="AF700" s="136"/>
      <c r="AG700" s="136"/>
      <c r="AH700" s="136"/>
      <c r="AI700" s="137"/>
      <c r="AJ700" s="137"/>
      <c r="AK700" s="137"/>
      <c r="AL700" s="7"/>
      <c r="AM700" s="138"/>
      <c r="AN700" s="138"/>
      <c r="AO700" s="138"/>
      <c r="AP700" s="138"/>
      <c r="AQ700" s="7"/>
      <c r="AR700" s="7"/>
      <c r="AS700" s="7"/>
      <c r="AT700" s="99"/>
      <c r="AU700" s="99"/>
      <c r="AV700" s="99"/>
      <c r="AW700" s="99"/>
      <c r="AX700" s="100"/>
      <c r="AY700" s="100"/>
      <c r="AZ700" s="100"/>
      <c r="BA700" s="97"/>
      <c r="BB700" s="97"/>
      <c r="BC700" s="97"/>
    </row>
    <row r="701" spans="12:55" ht="30.9" customHeight="1">
      <c r="L701" s="139"/>
      <c r="M701" s="139"/>
      <c r="N701" s="139"/>
      <c r="O701" s="140"/>
      <c r="P701" s="140"/>
      <c r="Q701" s="137"/>
      <c r="R701" s="137"/>
      <c r="S701" s="137"/>
      <c r="T701" s="137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  <c r="AH701" s="122"/>
      <c r="AI701" s="122"/>
      <c r="AJ701" s="122"/>
      <c r="AK701" s="122"/>
      <c r="AL701" s="122"/>
      <c r="AM701" s="122"/>
      <c r="AN701" s="122"/>
      <c r="AO701" s="122"/>
      <c r="AP701" s="122"/>
      <c r="AQ701" s="122"/>
      <c r="AR701" s="122"/>
      <c r="AS701" s="122"/>
      <c r="AT701" s="122"/>
      <c r="AU701" s="122"/>
      <c r="AV701" s="122"/>
      <c r="AW701" s="122"/>
      <c r="AX701" s="122"/>
      <c r="AY701" s="122"/>
      <c r="AZ701" s="122"/>
      <c r="BA701" s="122"/>
      <c r="BB701" s="122"/>
      <c r="BC701" s="122"/>
    </row>
    <row r="702" spans="12:55" ht="30.9" customHeight="1">
      <c r="L702" s="139"/>
      <c r="M702" s="139"/>
      <c r="N702" s="139"/>
      <c r="O702" s="140"/>
      <c r="P702" s="140"/>
      <c r="Q702" s="137"/>
      <c r="R702" s="137"/>
      <c r="S702" s="137"/>
      <c r="T702" s="137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  <c r="AH702" s="122"/>
      <c r="AI702" s="122"/>
      <c r="AJ702" s="122"/>
      <c r="AK702" s="122"/>
      <c r="AL702" s="122"/>
      <c r="AM702" s="122"/>
      <c r="AN702" s="122"/>
      <c r="AO702" s="122"/>
      <c r="AP702" s="122"/>
      <c r="AQ702" s="122"/>
      <c r="AR702" s="122"/>
      <c r="AS702" s="122"/>
      <c r="AT702" s="122"/>
      <c r="AU702" s="122"/>
      <c r="AV702" s="122"/>
      <c r="AW702" s="122"/>
      <c r="AX702" s="122"/>
      <c r="AY702" s="122"/>
      <c r="AZ702" s="122"/>
      <c r="BA702" s="122"/>
      <c r="BB702" s="122"/>
      <c r="BC702" s="122"/>
    </row>
    <row r="703" spans="12:55" ht="14.25" customHeight="1">
      <c r="L703" s="136"/>
      <c r="M703" s="136"/>
      <c r="N703" s="136"/>
      <c r="O703" s="136"/>
      <c r="P703" s="137"/>
      <c r="Q703" s="138"/>
      <c r="R703" s="138"/>
      <c r="S703" s="138"/>
      <c r="T703" s="138"/>
      <c r="U703" s="136"/>
      <c r="V703" s="136"/>
      <c r="W703" s="137"/>
      <c r="X703" s="137"/>
      <c r="Y703" s="136"/>
      <c r="Z703" s="136"/>
      <c r="AA703" s="137"/>
      <c r="AB703" s="137"/>
      <c r="AC703" s="137"/>
      <c r="AD703" s="137"/>
      <c r="AE703" s="136"/>
      <c r="AF703" s="136"/>
      <c r="AG703" s="137"/>
      <c r="AH703" s="137"/>
      <c r="AI703" s="136"/>
      <c r="AJ703" s="136"/>
      <c r="AK703" s="137"/>
      <c r="AL703" s="137"/>
      <c r="AM703" s="138"/>
      <c r="AN703" s="138"/>
      <c r="AO703" s="138"/>
      <c r="AP703" s="138"/>
      <c r="AQ703" s="7"/>
      <c r="AR703" s="7"/>
      <c r="AS703" s="7"/>
      <c r="AT703" s="136"/>
      <c r="AU703" s="136"/>
      <c r="AV703" s="136"/>
      <c r="AW703" s="136"/>
      <c r="AX703" s="137"/>
      <c r="AY703" s="137"/>
      <c r="AZ703" s="137"/>
      <c r="BA703" s="137"/>
      <c r="BB703" s="137"/>
      <c r="BC703" s="137"/>
    </row>
    <row r="704" spans="12:55" ht="14.25" customHeight="1">
      <c r="L704" s="136"/>
      <c r="M704" s="136"/>
      <c r="N704" s="136"/>
      <c r="O704" s="136"/>
      <c r="P704" s="137"/>
      <c r="Q704" s="138"/>
      <c r="R704" s="138"/>
      <c r="S704" s="138"/>
      <c r="T704" s="138"/>
      <c r="U704" s="136"/>
      <c r="V704" s="136"/>
      <c r="W704" s="137"/>
      <c r="X704" s="137"/>
      <c r="Y704" s="136"/>
      <c r="Z704" s="136"/>
      <c r="AA704" s="137"/>
      <c r="AB704" s="137"/>
      <c r="AC704" s="137"/>
      <c r="AD704" s="137"/>
      <c r="AE704" s="136"/>
      <c r="AF704" s="136"/>
      <c r="AG704" s="137"/>
      <c r="AH704" s="137"/>
      <c r="AI704" s="136"/>
      <c r="AJ704" s="136"/>
      <c r="AK704" s="137"/>
      <c r="AL704" s="137"/>
      <c r="AM704" s="138"/>
      <c r="AN704" s="138"/>
      <c r="AO704" s="138"/>
      <c r="AP704" s="138"/>
      <c r="AQ704" s="7"/>
      <c r="AR704" s="7"/>
      <c r="AS704" s="7"/>
      <c r="AT704" s="136"/>
      <c r="AU704" s="136"/>
      <c r="AV704" s="136"/>
      <c r="AW704" s="136"/>
      <c r="AX704" s="137"/>
      <c r="AY704" s="137"/>
      <c r="AZ704" s="137"/>
      <c r="BA704" s="137"/>
      <c r="BB704" s="137"/>
      <c r="BC704" s="137"/>
    </row>
    <row r="705" spans="12:60" ht="14.25" customHeight="1">
      <c r="L705" s="136"/>
      <c r="M705" s="136"/>
      <c r="N705" s="136"/>
      <c r="O705" s="136"/>
      <c r="P705" s="137"/>
      <c r="Q705" s="138"/>
      <c r="R705" s="138"/>
      <c r="S705" s="138"/>
      <c r="T705" s="138"/>
      <c r="U705" s="136"/>
      <c r="V705" s="136"/>
      <c r="W705" s="137"/>
      <c r="X705" s="137"/>
      <c r="Y705" s="136"/>
      <c r="Z705" s="136"/>
      <c r="AA705" s="137"/>
      <c r="AB705" s="137"/>
      <c r="AC705" s="137"/>
      <c r="AD705" s="137"/>
      <c r="AE705" s="136"/>
      <c r="AF705" s="136"/>
      <c r="AG705" s="137"/>
      <c r="AH705" s="137"/>
      <c r="AI705" s="136"/>
      <c r="AJ705" s="136"/>
      <c r="AK705" s="137"/>
      <c r="AL705" s="137"/>
      <c r="AM705" s="138"/>
      <c r="AN705" s="138"/>
      <c r="AO705" s="138"/>
      <c r="AP705" s="138"/>
      <c r="AQ705" s="7"/>
      <c r="AR705" s="7"/>
      <c r="AS705" s="7"/>
      <c r="AT705" s="99"/>
      <c r="AU705" s="99"/>
      <c r="AV705" s="99"/>
      <c r="AW705" s="99"/>
      <c r="AX705" s="97"/>
      <c r="AY705" s="97"/>
      <c r="AZ705" s="97"/>
      <c r="BA705" s="97"/>
      <c r="BB705" s="97"/>
      <c r="BC705" s="97"/>
    </row>
    <row r="706" spans="12:60" ht="14.25" customHeight="1">
      <c r="L706" s="136"/>
      <c r="M706" s="136"/>
      <c r="N706" s="136"/>
      <c r="O706" s="136"/>
      <c r="P706" s="137"/>
      <c r="Q706" s="138"/>
      <c r="R706" s="138"/>
      <c r="S706" s="138"/>
      <c r="T706" s="138"/>
      <c r="U706" s="49"/>
      <c r="V706" s="49"/>
      <c r="W706" s="49"/>
      <c r="X706" s="136"/>
      <c r="Y706" s="136"/>
      <c r="Z706" s="136"/>
      <c r="AA706" s="136"/>
      <c r="AB706" s="137"/>
      <c r="AC706" s="137"/>
      <c r="AD706" s="137"/>
      <c r="AE706" s="136"/>
      <c r="AF706" s="136"/>
      <c r="AG706" s="136"/>
      <c r="AH706" s="136"/>
      <c r="AI706" s="137"/>
      <c r="AJ706" s="137"/>
      <c r="AK706" s="137"/>
      <c r="AL706" s="49"/>
      <c r="AM706" s="138"/>
      <c r="AN706" s="138"/>
      <c r="AO706" s="138"/>
      <c r="AP706" s="138"/>
      <c r="AQ706" s="7"/>
      <c r="AR706" s="7"/>
      <c r="AS706" s="7"/>
      <c r="AT706" s="99"/>
      <c r="AU706" s="99"/>
      <c r="AV706" s="99"/>
      <c r="AW706" s="99"/>
      <c r="AX706" s="97"/>
      <c r="AY706" s="97"/>
      <c r="AZ706" s="97"/>
      <c r="BA706" s="97"/>
      <c r="BB706" s="97"/>
      <c r="BC706" s="97"/>
    </row>
    <row r="707" spans="12:60" ht="14.25" customHeight="1">
      <c r="L707" s="136"/>
      <c r="M707" s="136"/>
      <c r="N707" s="136"/>
      <c r="O707" s="136"/>
      <c r="P707" s="137"/>
      <c r="Q707" s="138"/>
      <c r="R707" s="138"/>
      <c r="S707" s="138"/>
      <c r="T707" s="138"/>
      <c r="U707" s="7"/>
      <c r="V707" s="7"/>
      <c r="W707" s="7"/>
      <c r="X707" s="136"/>
      <c r="Y707" s="136"/>
      <c r="Z707" s="136"/>
      <c r="AA707" s="136"/>
      <c r="AB707" s="137"/>
      <c r="AC707" s="137"/>
      <c r="AD707" s="137"/>
      <c r="AE707" s="136"/>
      <c r="AF707" s="136"/>
      <c r="AG707" s="136"/>
      <c r="AH707" s="136"/>
      <c r="AI707" s="137"/>
      <c r="AJ707" s="137"/>
      <c r="AK707" s="137"/>
      <c r="AL707" s="7"/>
      <c r="AM707" s="138"/>
      <c r="AN707" s="138"/>
      <c r="AO707" s="138"/>
      <c r="AP707" s="138"/>
      <c r="AQ707" s="7"/>
      <c r="AR707" s="7"/>
      <c r="AS707" s="7"/>
      <c r="AT707" s="99"/>
      <c r="AU707" s="99"/>
      <c r="AV707" s="99"/>
      <c r="AW707" s="99"/>
      <c r="AX707" s="97"/>
      <c r="AY707" s="97"/>
      <c r="AZ707" s="97"/>
      <c r="BA707" s="97"/>
      <c r="BB707" s="97"/>
      <c r="BC707" s="97"/>
    </row>
    <row r="708" spans="12:60" ht="14.25" customHeight="1">
      <c r="L708" s="136"/>
      <c r="M708" s="136"/>
      <c r="N708" s="136"/>
      <c r="O708" s="136"/>
      <c r="P708" s="137"/>
      <c r="Q708" s="138"/>
      <c r="R708" s="138"/>
      <c r="S708" s="138"/>
      <c r="T708" s="138"/>
      <c r="U708" s="7"/>
      <c r="V708" s="7"/>
      <c r="W708" s="7"/>
      <c r="X708" s="136"/>
      <c r="Y708" s="136"/>
      <c r="Z708" s="136"/>
      <c r="AA708" s="136"/>
      <c r="AB708" s="137"/>
      <c r="AC708" s="137"/>
      <c r="AD708" s="137"/>
      <c r="AE708" s="136"/>
      <c r="AF708" s="136"/>
      <c r="AG708" s="136"/>
      <c r="AH708" s="136"/>
      <c r="AI708" s="137"/>
      <c r="AJ708" s="137"/>
      <c r="AK708" s="137"/>
      <c r="AL708" s="7"/>
      <c r="AM708" s="138"/>
      <c r="AN708" s="138"/>
      <c r="AO708" s="138"/>
      <c r="AP708" s="138"/>
      <c r="AQ708" s="7"/>
      <c r="AR708" s="7"/>
      <c r="AS708" s="7"/>
      <c r="AT708" s="99"/>
      <c r="AU708" s="99"/>
      <c r="AV708" s="99"/>
      <c r="AW708" s="99"/>
      <c r="AX708" s="97"/>
      <c r="AY708" s="97"/>
      <c r="AZ708" s="97"/>
      <c r="BA708" s="97"/>
      <c r="BB708" s="97"/>
      <c r="BC708" s="97"/>
    </row>
    <row r="709" spans="12:60" ht="30.9" customHeight="1">
      <c r="L709" s="139"/>
      <c r="M709" s="139"/>
      <c r="N709" s="139"/>
      <c r="O709" s="140"/>
      <c r="P709" s="140"/>
      <c r="Q709" s="137"/>
      <c r="R709" s="137"/>
      <c r="S709" s="137"/>
      <c r="T709" s="137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  <c r="AH709" s="122"/>
      <c r="AI709" s="122"/>
      <c r="AJ709" s="122"/>
      <c r="AK709" s="122"/>
      <c r="AL709" s="122"/>
      <c r="AM709" s="122"/>
      <c r="AN709" s="122"/>
      <c r="AO709" s="122"/>
      <c r="AP709" s="122"/>
      <c r="AQ709" s="122"/>
      <c r="AR709" s="122"/>
      <c r="AS709" s="122"/>
      <c r="AT709" s="122"/>
      <c r="AU709" s="122"/>
      <c r="AV709" s="122"/>
      <c r="AW709" s="122"/>
      <c r="AX709" s="122"/>
      <c r="AY709" s="122"/>
      <c r="AZ709" s="122"/>
      <c r="BA709" s="122"/>
      <c r="BB709" s="122"/>
      <c r="BC709" s="122"/>
    </row>
    <row r="710" spans="12:60" ht="30.9" customHeight="1">
      <c r="L710" s="139"/>
      <c r="M710" s="139"/>
      <c r="N710" s="139"/>
      <c r="O710" s="140"/>
      <c r="P710" s="140"/>
      <c r="Q710" s="137"/>
      <c r="R710" s="137"/>
      <c r="S710" s="137"/>
      <c r="T710" s="137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  <c r="AH710" s="122"/>
      <c r="AI710" s="122"/>
      <c r="AJ710" s="122"/>
      <c r="AK710" s="122"/>
      <c r="AL710" s="122"/>
      <c r="AM710" s="122"/>
      <c r="AN710" s="122"/>
      <c r="AO710" s="122"/>
      <c r="AP710" s="122"/>
      <c r="AQ710" s="122"/>
      <c r="AR710" s="122"/>
      <c r="AS710" s="122"/>
      <c r="AT710" s="122"/>
      <c r="AU710" s="122"/>
      <c r="AV710" s="122"/>
      <c r="AW710" s="122"/>
      <c r="AX710" s="122"/>
      <c r="AY710" s="122"/>
      <c r="AZ710" s="122"/>
      <c r="BA710" s="122"/>
      <c r="BB710" s="122"/>
      <c r="BC710" s="122"/>
    </row>
    <row r="712" spans="12:60" ht="15" customHeight="1">
      <c r="L712" s="5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17"/>
      <c r="AF712" s="17"/>
      <c r="AG712" s="17"/>
      <c r="AH712" s="17"/>
      <c r="AI712" s="17"/>
      <c r="AJ712" s="17"/>
      <c r="AK712" s="17"/>
      <c r="AL712" s="17"/>
      <c r="AM712" s="17"/>
      <c r="AN712" s="17"/>
      <c r="AO712" s="17"/>
      <c r="AP712" s="17"/>
      <c r="AQ712" s="17"/>
      <c r="AR712" s="17"/>
      <c r="AS712" s="17"/>
      <c r="AT712" s="17"/>
      <c r="AU712" s="17"/>
      <c r="AV712" s="17"/>
      <c r="AW712" s="17"/>
      <c r="AX712" s="17"/>
      <c r="AY712" s="17"/>
      <c r="AZ712" s="17"/>
      <c r="BA712" s="75"/>
      <c r="BB712" s="17"/>
      <c r="BC712" s="17"/>
    </row>
    <row r="713" spans="12:60" ht="22.5" customHeight="1">
      <c r="L713" s="91"/>
      <c r="M713" s="91"/>
      <c r="N713" s="91"/>
      <c r="O713" s="91"/>
      <c r="P713" s="91"/>
      <c r="Q713" s="91"/>
      <c r="R713" s="91"/>
      <c r="S713" s="91"/>
      <c r="T713" s="91"/>
      <c r="U713" s="91"/>
      <c r="V713" s="91"/>
      <c r="W713" s="91"/>
      <c r="X713" s="91"/>
      <c r="Y713" s="91"/>
      <c r="Z713" s="91"/>
      <c r="AA713" s="91"/>
      <c r="AB713" s="91"/>
      <c r="AC713" s="91"/>
      <c r="AD713" s="91"/>
      <c r="AE713" s="18"/>
      <c r="AF713" s="18"/>
      <c r="AG713" s="18"/>
      <c r="AH713" s="18"/>
      <c r="AI713" s="18"/>
      <c r="AJ713" s="18"/>
      <c r="AK713" s="18"/>
      <c r="AL713" s="18"/>
      <c r="AM713" s="18"/>
      <c r="AN713" s="18"/>
      <c r="AO713" s="18"/>
      <c r="AP713" s="18"/>
      <c r="AQ713" s="18"/>
      <c r="AR713" s="18"/>
      <c r="AS713" s="18"/>
      <c r="AT713" s="18"/>
      <c r="AU713" s="18"/>
      <c r="AV713" s="18"/>
      <c r="AW713" s="18"/>
      <c r="AX713" s="18"/>
      <c r="AY713" s="18"/>
      <c r="AZ713" s="18"/>
      <c r="BA713" s="18"/>
      <c r="BB713" s="18"/>
      <c r="BC713" s="18"/>
    </row>
    <row r="714" spans="12:60" ht="22.5" customHeight="1">
      <c r="L714" s="51"/>
      <c r="M714" s="91"/>
      <c r="N714" s="94"/>
      <c r="O714" s="94"/>
      <c r="P714" s="94"/>
      <c r="Q714" s="91"/>
      <c r="R714" s="117"/>
      <c r="S714" s="117"/>
      <c r="T714" s="117"/>
      <c r="U714" s="117"/>
      <c r="V714" s="117"/>
      <c r="W714" s="117"/>
      <c r="X714" s="117"/>
      <c r="Y714" s="117"/>
      <c r="Z714" s="117"/>
      <c r="AA714" s="117"/>
      <c r="AB714" s="117"/>
      <c r="AC714" s="117"/>
      <c r="AD714" s="117"/>
      <c r="AE714" s="117"/>
      <c r="AF714" s="117"/>
      <c r="AG714" s="117"/>
      <c r="AH714" s="117"/>
      <c r="AI714" s="117"/>
      <c r="AJ714" s="51"/>
      <c r="AK714" s="91"/>
      <c r="AL714" s="94"/>
      <c r="AM714" s="94"/>
      <c r="AN714" s="94"/>
      <c r="AO714" s="94"/>
      <c r="AP714" s="94"/>
      <c r="AQ714" s="91"/>
      <c r="AR714" s="94"/>
      <c r="AS714" s="94"/>
      <c r="AT714" s="94"/>
      <c r="AU714" s="94"/>
      <c r="AV714" s="94"/>
      <c r="AW714" s="94"/>
      <c r="AX714" s="94"/>
      <c r="AY714" s="94"/>
      <c r="AZ714" s="94"/>
      <c r="BA714" s="94"/>
      <c r="BB714" s="94"/>
      <c r="BC714" s="94"/>
    </row>
    <row r="715" spans="12:60" ht="21.75" customHeight="1">
      <c r="L715" s="41"/>
      <c r="M715" s="94"/>
      <c r="N715" s="94"/>
      <c r="O715" s="94"/>
      <c r="P715" s="94"/>
      <c r="Q715" s="117"/>
      <c r="R715" s="117"/>
      <c r="S715" s="117"/>
      <c r="T715" s="117"/>
      <c r="U715" s="117"/>
      <c r="V715" s="117"/>
      <c r="W715" s="117"/>
      <c r="X715" s="117"/>
      <c r="Y715" s="117"/>
      <c r="Z715" s="117"/>
      <c r="AA715" s="117"/>
      <c r="AB715" s="117"/>
      <c r="AC715" s="117"/>
      <c r="AD715" s="117"/>
      <c r="AE715" s="117"/>
      <c r="AF715" s="117"/>
      <c r="AG715" s="117"/>
      <c r="AH715" s="117"/>
      <c r="AI715" s="117"/>
      <c r="AJ715" s="41"/>
      <c r="AK715" s="94"/>
      <c r="AL715" s="94"/>
      <c r="AM715" s="94"/>
      <c r="AN715" s="94"/>
      <c r="AO715" s="94"/>
      <c r="AP715" s="94"/>
      <c r="AQ715" s="94"/>
      <c r="AR715" s="94"/>
      <c r="AS715" s="94"/>
      <c r="AT715" s="94"/>
      <c r="AU715" s="94"/>
      <c r="AV715" s="94"/>
      <c r="AW715" s="94"/>
      <c r="AX715" s="94"/>
      <c r="AY715" s="94"/>
      <c r="AZ715" s="94"/>
      <c r="BA715" s="94"/>
      <c r="BB715" s="94"/>
      <c r="BC715" s="94"/>
    </row>
    <row r="716" spans="12:60" ht="14.4">
      <c r="L716" s="52"/>
      <c r="M716" s="96"/>
      <c r="N716" s="96"/>
      <c r="O716" s="96"/>
      <c r="P716" s="96"/>
      <c r="Q716" s="60"/>
      <c r="R716" s="96"/>
      <c r="S716" s="96"/>
      <c r="T716" s="96"/>
      <c r="U716" s="96"/>
      <c r="V716" s="96"/>
      <c r="W716" s="96"/>
      <c r="X716" s="96"/>
      <c r="Y716" s="96"/>
      <c r="Z716" s="96"/>
      <c r="AA716" s="96"/>
      <c r="AB716" s="96"/>
      <c r="AC716" s="96"/>
      <c r="AD716" s="96"/>
      <c r="AE716" s="96"/>
      <c r="AF716" s="96"/>
      <c r="AG716" s="96"/>
      <c r="AH716" s="96"/>
      <c r="AI716" s="96"/>
      <c r="AJ716" s="96"/>
      <c r="AK716" s="96"/>
      <c r="AL716" s="96"/>
      <c r="AM716" s="96"/>
      <c r="AN716" s="96"/>
      <c r="AO716" s="96"/>
      <c r="AP716" s="96"/>
      <c r="AQ716" s="96"/>
      <c r="AR716" s="96"/>
      <c r="AS716" s="96"/>
      <c r="AT716" s="96"/>
      <c r="AU716" s="96"/>
      <c r="AV716" s="96"/>
      <c r="AW716" s="96"/>
      <c r="AX716" s="96"/>
      <c r="AY716" s="96"/>
      <c r="AZ716" s="96"/>
      <c r="BA716" s="96"/>
      <c r="BB716" s="96"/>
      <c r="BC716" s="96"/>
      <c r="BD716" s="20"/>
      <c r="BE716" s="20"/>
      <c r="BF716" s="20"/>
      <c r="BG716" s="20"/>
      <c r="BH716" s="20"/>
    </row>
    <row r="717" spans="12:60" ht="14.4">
      <c r="L717" s="54"/>
      <c r="M717" s="96"/>
      <c r="N717" s="96"/>
      <c r="O717" s="96"/>
      <c r="P717" s="96"/>
      <c r="Q717" s="61"/>
      <c r="R717" s="96"/>
      <c r="S717" s="96"/>
      <c r="T717" s="96"/>
      <c r="U717" s="96"/>
      <c r="V717" s="96"/>
      <c r="W717" s="96"/>
      <c r="X717" s="96"/>
      <c r="Y717" s="96"/>
      <c r="Z717" s="96"/>
      <c r="AA717" s="96"/>
      <c r="AB717" s="96"/>
      <c r="AC717" s="96"/>
      <c r="AD717" s="96"/>
      <c r="AE717" s="96"/>
      <c r="AF717" s="96"/>
      <c r="AG717" s="96"/>
      <c r="AH717" s="96"/>
      <c r="AI717" s="96"/>
      <c r="AJ717" s="96"/>
      <c r="AK717" s="96"/>
      <c r="AL717" s="96"/>
      <c r="AM717" s="96"/>
      <c r="AN717" s="96"/>
      <c r="AO717" s="96"/>
      <c r="AP717" s="96"/>
      <c r="AQ717" s="96"/>
      <c r="AR717" s="96"/>
      <c r="AS717" s="96"/>
      <c r="AT717" s="96"/>
      <c r="AU717" s="96"/>
      <c r="AV717" s="96"/>
      <c r="AW717" s="96"/>
      <c r="AX717" s="96"/>
      <c r="AY717" s="96"/>
      <c r="AZ717" s="96"/>
      <c r="BA717" s="96"/>
      <c r="BB717" s="96"/>
      <c r="BC717" s="96"/>
      <c r="BD717" s="20"/>
      <c r="BE717" s="20"/>
      <c r="BF717" s="20"/>
      <c r="BG717" s="20"/>
      <c r="BH717" s="20"/>
    </row>
    <row r="718" spans="12:60" ht="15" customHeight="1">
      <c r="L718" s="136"/>
      <c r="M718" s="136"/>
      <c r="N718" s="136"/>
      <c r="O718" s="136"/>
      <c r="P718" s="137"/>
      <c r="Q718" s="138"/>
      <c r="R718" s="138"/>
      <c r="S718" s="138"/>
      <c r="T718" s="138"/>
      <c r="U718" s="136"/>
      <c r="V718" s="136"/>
      <c r="W718" s="137"/>
      <c r="X718" s="137"/>
      <c r="Y718" s="136"/>
      <c r="Z718" s="136"/>
      <c r="AA718" s="137"/>
      <c r="AB718" s="137"/>
      <c r="AC718" s="137"/>
      <c r="AD718" s="137"/>
      <c r="AE718" s="136"/>
      <c r="AF718" s="136"/>
      <c r="AG718" s="137"/>
      <c r="AH718" s="137"/>
      <c r="AI718" s="136"/>
      <c r="AJ718" s="136"/>
      <c r="AK718" s="137"/>
      <c r="AL718" s="137"/>
      <c r="AM718" s="138"/>
      <c r="AN718" s="138"/>
      <c r="AO718" s="138"/>
      <c r="AP718" s="138"/>
      <c r="AQ718" s="7"/>
      <c r="AR718" s="7"/>
      <c r="AS718" s="7"/>
      <c r="AT718" s="136"/>
      <c r="AU718" s="136"/>
      <c r="AV718" s="136"/>
      <c r="AW718" s="136"/>
      <c r="AX718" s="137"/>
      <c r="AY718" s="137"/>
      <c r="AZ718" s="137"/>
      <c r="BA718" s="137"/>
      <c r="BB718" s="137"/>
      <c r="BC718" s="137"/>
    </row>
    <row r="719" spans="12:60" ht="14.25" customHeight="1">
      <c r="L719" s="136"/>
      <c r="M719" s="136"/>
      <c r="N719" s="136"/>
      <c r="O719" s="136"/>
      <c r="P719" s="137"/>
      <c r="Q719" s="138"/>
      <c r="R719" s="138"/>
      <c r="S719" s="138"/>
      <c r="T719" s="138"/>
      <c r="U719" s="136"/>
      <c r="V719" s="136"/>
      <c r="W719" s="137"/>
      <c r="X719" s="137"/>
      <c r="Y719" s="136"/>
      <c r="Z719" s="136"/>
      <c r="AA719" s="137"/>
      <c r="AB719" s="137"/>
      <c r="AC719" s="137"/>
      <c r="AD719" s="137"/>
      <c r="AE719" s="136"/>
      <c r="AF719" s="136"/>
      <c r="AG719" s="137"/>
      <c r="AH719" s="137"/>
      <c r="AI719" s="136"/>
      <c r="AJ719" s="136"/>
      <c r="AK719" s="137"/>
      <c r="AL719" s="137"/>
      <c r="AM719" s="138"/>
      <c r="AN719" s="138"/>
      <c r="AO719" s="138"/>
      <c r="AP719" s="138"/>
      <c r="AQ719" s="7"/>
      <c r="AR719" s="7"/>
      <c r="AS719" s="7"/>
      <c r="AT719" s="136"/>
      <c r="AU719" s="136"/>
      <c r="AV719" s="136"/>
      <c r="AW719" s="136"/>
      <c r="AX719" s="137"/>
      <c r="AY719" s="137"/>
      <c r="AZ719" s="137"/>
      <c r="BA719" s="137"/>
      <c r="BB719" s="137"/>
      <c r="BC719" s="137"/>
    </row>
    <row r="720" spans="12:60" ht="14.25" customHeight="1">
      <c r="L720" s="136"/>
      <c r="M720" s="136"/>
      <c r="N720" s="136"/>
      <c r="O720" s="136"/>
      <c r="P720" s="137"/>
      <c r="Q720" s="138"/>
      <c r="R720" s="138"/>
      <c r="S720" s="138"/>
      <c r="T720" s="138"/>
      <c r="U720" s="136"/>
      <c r="V720" s="136"/>
      <c r="W720" s="137"/>
      <c r="X720" s="137"/>
      <c r="Y720" s="136"/>
      <c r="Z720" s="136"/>
      <c r="AA720" s="137"/>
      <c r="AB720" s="137"/>
      <c r="AC720" s="137"/>
      <c r="AD720" s="137"/>
      <c r="AE720" s="136"/>
      <c r="AF720" s="136"/>
      <c r="AG720" s="137"/>
      <c r="AH720" s="137"/>
      <c r="AI720" s="136"/>
      <c r="AJ720" s="136"/>
      <c r="AK720" s="137"/>
      <c r="AL720" s="137"/>
      <c r="AM720" s="138"/>
      <c r="AN720" s="138"/>
      <c r="AO720" s="138"/>
      <c r="AP720" s="138"/>
      <c r="AQ720" s="7"/>
      <c r="AR720" s="7"/>
      <c r="AS720" s="7"/>
      <c r="AT720" s="99"/>
      <c r="AU720" s="99"/>
      <c r="AV720" s="99"/>
      <c r="AW720" s="99"/>
      <c r="AX720" s="100"/>
      <c r="AY720" s="100"/>
      <c r="AZ720" s="100"/>
      <c r="BA720" s="97"/>
      <c r="BB720" s="97"/>
      <c r="BC720" s="97"/>
    </row>
    <row r="721" spans="12:55" ht="14.25" customHeight="1">
      <c r="L721" s="136"/>
      <c r="M721" s="136"/>
      <c r="N721" s="136"/>
      <c r="O721" s="136"/>
      <c r="P721" s="137"/>
      <c r="Q721" s="138"/>
      <c r="R721" s="138"/>
      <c r="S721" s="138"/>
      <c r="T721" s="138"/>
      <c r="U721" s="49"/>
      <c r="V721" s="49"/>
      <c r="W721" s="49"/>
      <c r="X721" s="136"/>
      <c r="Y721" s="136"/>
      <c r="Z721" s="136"/>
      <c r="AA721" s="136"/>
      <c r="AB721" s="137"/>
      <c r="AC721" s="137"/>
      <c r="AD721" s="137"/>
      <c r="AE721" s="136"/>
      <c r="AF721" s="136"/>
      <c r="AG721" s="136"/>
      <c r="AH721" s="136"/>
      <c r="AI721" s="137"/>
      <c r="AJ721" s="137"/>
      <c r="AK721" s="137"/>
      <c r="AL721" s="49"/>
      <c r="AM721" s="138"/>
      <c r="AN721" s="138"/>
      <c r="AO721" s="138"/>
      <c r="AP721" s="138"/>
      <c r="AQ721" s="7"/>
      <c r="AR721" s="7"/>
      <c r="AS721" s="7"/>
      <c r="AT721" s="99"/>
      <c r="AU721" s="99"/>
      <c r="AV721" s="99"/>
      <c r="AW721" s="99"/>
      <c r="AX721" s="100"/>
      <c r="AY721" s="100"/>
      <c r="AZ721" s="100"/>
      <c r="BA721" s="97"/>
      <c r="BB721" s="97"/>
      <c r="BC721" s="97"/>
    </row>
    <row r="722" spans="12:55" ht="14.25" customHeight="1">
      <c r="L722" s="136"/>
      <c r="M722" s="136"/>
      <c r="N722" s="136"/>
      <c r="O722" s="136"/>
      <c r="P722" s="137"/>
      <c r="Q722" s="138"/>
      <c r="R722" s="138"/>
      <c r="S722" s="138"/>
      <c r="T722" s="138"/>
      <c r="U722" s="7"/>
      <c r="V722" s="7"/>
      <c r="W722" s="7"/>
      <c r="X722" s="136"/>
      <c r="Y722" s="136"/>
      <c r="Z722" s="136"/>
      <c r="AA722" s="136"/>
      <c r="AB722" s="137"/>
      <c r="AC722" s="137"/>
      <c r="AD722" s="137"/>
      <c r="AE722" s="136"/>
      <c r="AF722" s="136"/>
      <c r="AG722" s="136"/>
      <c r="AH722" s="136"/>
      <c r="AI722" s="137"/>
      <c r="AJ722" s="137"/>
      <c r="AK722" s="137"/>
      <c r="AL722" s="7"/>
      <c r="AM722" s="138"/>
      <c r="AN722" s="138"/>
      <c r="AO722" s="138"/>
      <c r="AP722" s="138"/>
      <c r="AQ722" s="7"/>
      <c r="AR722" s="7"/>
      <c r="AS722" s="7"/>
      <c r="AT722" s="99"/>
      <c r="AU722" s="99"/>
      <c r="AV722" s="99"/>
      <c r="AW722" s="99"/>
      <c r="AX722" s="100"/>
      <c r="AY722" s="100"/>
      <c r="AZ722" s="100"/>
      <c r="BA722" s="97"/>
      <c r="BB722" s="97"/>
      <c r="BC722" s="97"/>
    </row>
    <row r="723" spans="12:55" ht="14.25" customHeight="1">
      <c r="L723" s="136"/>
      <c r="M723" s="136"/>
      <c r="N723" s="136"/>
      <c r="O723" s="136"/>
      <c r="P723" s="137"/>
      <c r="Q723" s="138"/>
      <c r="R723" s="138"/>
      <c r="S723" s="138"/>
      <c r="T723" s="138"/>
      <c r="U723" s="7"/>
      <c r="V723" s="7"/>
      <c r="W723" s="7"/>
      <c r="X723" s="136"/>
      <c r="Y723" s="136"/>
      <c r="Z723" s="136"/>
      <c r="AA723" s="136"/>
      <c r="AB723" s="137"/>
      <c r="AC723" s="137"/>
      <c r="AD723" s="137"/>
      <c r="AE723" s="136"/>
      <c r="AF723" s="136"/>
      <c r="AG723" s="136"/>
      <c r="AH723" s="136"/>
      <c r="AI723" s="137"/>
      <c r="AJ723" s="137"/>
      <c r="AK723" s="137"/>
      <c r="AL723" s="7"/>
      <c r="AM723" s="138"/>
      <c r="AN723" s="138"/>
      <c r="AO723" s="138"/>
      <c r="AP723" s="138"/>
      <c r="AQ723" s="7"/>
      <c r="AR723" s="7"/>
      <c r="AS723" s="7"/>
      <c r="AT723" s="99"/>
      <c r="AU723" s="99"/>
      <c r="AV723" s="99"/>
      <c r="AW723" s="99"/>
      <c r="AX723" s="100"/>
      <c r="AY723" s="100"/>
      <c r="AZ723" s="100"/>
      <c r="BA723" s="97"/>
      <c r="BB723" s="97"/>
      <c r="BC723" s="97"/>
    </row>
    <row r="724" spans="12:55" ht="30.9" customHeight="1">
      <c r="L724" s="139"/>
      <c r="M724" s="139"/>
      <c r="N724" s="139"/>
      <c r="O724" s="140"/>
      <c r="P724" s="140"/>
      <c r="Q724" s="137"/>
      <c r="R724" s="137"/>
      <c r="S724" s="137"/>
      <c r="T724" s="137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  <c r="AH724" s="122"/>
      <c r="AI724" s="122"/>
      <c r="AJ724" s="122"/>
      <c r="AK724" s="122"/>
      <c r="AL724" s="122"/>
      <c r="AM724" s="122"/>
      <c r="AN724" s="122"/>
      <c r="AO724" s="122"/>
      <c r="AP724" s="122"/>
      <c r="AQ724" s="122"/>
      <c r="AR724" s="122"/>
      <c r="AS724" s="122"/>
      <c r="AT724" s="122"/>
      <c r="AU724" s="122"/>
      <c r="AV724" s="122"/>
      <c r="AW724" s="122"/>
      <c r="AX724" s="122"/>
      <c r="AY724" s="122"/>
      <c r="AZ724" s="122"/>
      <c r="BA724" s="122"/>
      <c r="BB724" s="122"/>
      <c r="BC724" s="122"/>
    </row>
    <row r="725" spans="12:55" ht="30.9" customHeight="1">
      <c r="L725" s="139"/>
      <c r="M725" s="139"/>
      <c r="N725" s="139"/>
      <c r="O725" s="140"/>
      <c r="P725" s="140"/>
      <c r="Q725" s="137"/>
      <c r="R725" s="137"/>
      <c r="S725" s="137"/>
      <c r="T725" s="137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  <c r="AH725" s="122"/>
      <c r="AI725" s="122"/>
      <c r="AJ725" s="122"/>
      <c r="AK725" s="122"/>
      <c r="AL725" s="122"/>
      <c r="AM725" s="122"/>
      <c r="AN725" s="122"/>
      <c r="AO725" s="122"/>
      <c r="AP725" s="122"/>
      <c r="AQ725" s="122"/>
      <c r="AR725" s="122"/>
      <c r="AS725" s="122"/>
      <c r="AT725" s="122"/>
      <c r="AU725" s="122"/>
      <c r="AV725" s="122"/>
      <c r="AW725" s="122"/>
      <c r="AX725" s="122"/>
      <c r="AY725" s="122"/>
      <c r="AZ725" s="122"/>
      <c r="BA725" s="122"/>
      <c r="BB725" s="122"/>
      <c r="BC725" s="122"/>
    </row>
    <row r="726" spans="12:55" ht="15" customHeight="1">
      <c r="L726" s="136"/>
      <c r="M726" s="136"/>
      <c r="N726" s="136"/>
      <c r="O726" s="136"/>
      <c r="P726" s="137"/>
      <c r="Q726" s="138"/>
      <c r="R726" s="138"/>
      <c r="S726" s="138"/>
      <c r="T726" s="138"/>
      <c r="U726" s="136"/>
      <c r="V726" s="136"/>
      <c r="W726" s="137"/>
      <c r="X726" s="137"/>
      <c r="Y726" s="136"/>
      <c r="Z726" s="136"/>
      <c r="AA726" s="137"/>
      <c r="AB726" s="137"/>
      <c r="AC726" s="137"/>
      <c r="AD726" s="137"/>
      <c r="AE726" s="136"/>
      <c r="AF726" s="136"/>
      <c r="AG726" s="137"/>
      <c r="AH726" s="137"/>
      <c r="AI726" s="136"/>
      <c r="AJ726" s="136"/>
      <c r="AK726" s="137"/>
      <c r="AL726" s="137"/>
      <c r="AM726" s="138"/>
      <c r="AN726" s="138"/>
      <c r="AO726" s="138"/>
      <c r="AP726" s="138"/>
      <c r="AQ726" s="7"/>
      <c r="AR726" s="7"/>
      <c r="AS726" s="7"/>
      <c r="AT726" s="136"/>
      <c r="AU726" s="136"/>
      <c r="AV726" s="136"/>
      <c r="AW726" s="136"/>
      <c r="AX726" s="137"/>
      <c r="AY726" s="137"/>
      <c r="AZ726" s="137"/>
      <c r="BA726" s="137"/>
      <c r="BB726" s="137"/>
      <c r="BC726" s="137"/>
    </row>
    <row r="727" spans="12:55" ht="14.25" customHeight="1">
      <c r="L727" s="136"/>
      <c r="M727" s="136"/>
      <c r="N727" s="136"/>
      <c r="O727" s="136"/>
      <c r="P727" s="137"/>
      <c r="Q727" s="138"/>
      <c r="R727" s="138"/>
      <c r="S727" s="138"/>
      <c r="T727" s="138"/>
      <c r="U727" s="136"/>
      <c r="V727" s="136"/>
      <c r="W727" s="137"/>
      <c r="X727" s="137"/>
      <c r="Y727" s="136"/>
      <c r="Z727" s="136"/>
      <c r="AA727" s="137"/>
      <c r="AB727" s="137"/>
      <c r="AC727" s="137"/>
      <c r="AD727" s="137"/>
      <c r="AE727" s="136"/>
      <c r="AF727" s="136"/>
      <c r="AG727" s="137"/>
      <c r="AH727" s="137"/>
      <c r="AI727" s="136"/>
      <c r="AJ727" s="136"/>
      <c r="AK727" s="137"/>
      <c r="AL727" s="137"/>
      <c r="AM727" s="138"/>
      <c r="AN727" s="138"/>
      <c r="AO727" s="138"/>
      <c r="AP727" s="138"/>
      <c r="AQ727" s="7"/>
      <c r="AR727" s="7"/>
      <c r="AS727" s="7"/>
      <c r="AT727" s="136"/>
      <c r="AU727" s="136"/>
      <c r="AV727" s="136"/>
      <c r="AW727" s="136"/>
      <c r="AX727" s="137"/>
      <c r="AY727" s="137"/>
      <c r="AZ727" s="137"/>
      <c r="BA727" s="137"/>
      <c r="BB727" s="137"/>
      <c r="BC727" s="137"/>
    </row>
    <row r="728" spans="12:55" ht="14.25" customHeight="1">
      <c r="L728" s="136"/>
      <c r="M728" s="136"/>
      <c r="N728" s="136"/>
      <c r="O728" s="136"/>
      <c r="P728" s="137"/>
      <c r="Q728" s="138"/>
      <c r="R728" s="138"/>
      <c r="S728" s="138"/>
      <c r="T728" s="138"/>
      <c r="U728" s="136"/>
      <c r="V728" s="136"/>
      <c r="W728" s="137"/>
      <c r="X728" s="137"/>
      <c r="Y728" s="136"/>
      <c r="Z728" s="136"/>
      <c r="AA728" s="137"/>
      <c r="AB728" s="137"/>
      <c r="AC728" s="137"/>
      <c r="AD728" s="137"/>
      <c r="AE728" s="136"/>
      <c r="AF728" s="136"/>
      <c r="AG728" s="137"/>
      <c r="AH728" s="137"/>
      <c r="AI728" s="136"/>
      <c r="AJ728" s="136"/>
      <c r="AK728" s="137"/>
      <c r="AL728" s="137"/>
      <c r="AM728" s="138"/>
      <c r="AN728" s="138"/>
      <c r="AO728" s="138"/>
      <c r="AP728" s="138"/>
      <c r="AQ728" s="7"/>
      <c r="AR728" s="7"/>
      <c r="AS728" s="7"/>
      <c r="AT728" s="99"/>
      <c r="AU728" s="99"/>
      <c r="AV728" s="99"/>
      <c r="AW728" s="99"/>
      <c r="AX728" s="100"/>
      <c r="AY728" s="100"/>
      <c r="AZ728" s="100"/>
      <c r="BA728" s="97"/>
      <c r="BB728" s="97"/>
      <c r="BC728" s="97"/>
    </row>
    <row r="729" spans="12:55" ht="14.25" customHeight="1">
      <c r="L729" s="136"/>
      <c r="M729" s="136"/>
      <c r="N729" s="136"/>
      <c r="O729" s="136"/>
      <c r="P729" s="137"/>
      <c r="Q729" s="138"/>
      <c r="R729" s="138"/>
      <c r="S729" s="138"/>
      <c r="T729" s="138"/>
      <c r="U729" s="49"/>
      <c r="V729" s="49"/>
      <c r="W729" s="49"/>
      <c r="X729" s="136"/>
      <c r="Y729" s="136"/>
      <c r="Z729" s="136"/>
      <c r="AA729" s="136"/>
      <c r="AB729" s="137"/>
      <c r="AC729" s="137"/>
      <c r="AD729" s="137"/>
      <c r="AE729" s="136"/>
      <c r="AF729" s="136"/>
      <c r="AG729" s="136"/>
      <c r="AH729" s="136"/>
      <c r="AI729" s="137"/>
      <c r="AJ729" s="137"/>
      <c r="AK729" s="137"/>
      <c r="AL729" s="49"/>
      <c r="AM729" s="138"/>
      <c r="AN729" s="138"/>
      <c r="AO729" s="138"/>
      <c r="AP729" s="138"/>
      <c r="AQ729" s="7"/>
      <c r="AR729" s="7"/>
      <c r="AS729" s="7"/>
      <c r="AT729" s="99"/>
      <c r="AU729" s="99"/>
      <c r="AV729" s="99"/>
      <c r="AW729" s="99"/>
      <c r="AX729" s="100"/>
      <c r="AY729" s="100"/>
      <c r="AZ729" s="100"/>
      <c r="BA729" s="97"/>
      <c r="BB729" s="97"/>
      <c r="BC729" s="97"/>
    </row>
    <row r="730" spans="12:55" ht="14.25" customHeight="1">
      <c r="L730" s="136"/>
      <c r="M730" s="136"/>
      <c r="N730" s="136"/>
      <c r="O730" s="136"/>
      <c r="P730" s="137"/>
      <c r="Q730" s="138"/>
      <c r="R730" s="138"/>
      <c r="S730" s="138"/>
      <c r="T730" s="138"/>
      <c r="U730" s="7"/>
      <c r="V730" s="7"/>
      <c r="W730" s="7"/>
      <c r="X730" s="136"/>
      <c r="Y730" s="136"/>
      <c r="Z730" s="136"/>
      <c r="AA730" s="136"/>
      <c r="AB730" s="137"/>
      <c r="AC730" s="137"/>
      <c r="AD730" s="137"/>
      <c r="AE730" s="136"/>
      <c r="AF730" s="136"/>
      <c r="AG730" s="136"/>
      <c r="AH730" s="136"/>
      <c r="AI730" s="137"/>
      <c r="AJ730" s="137"/>
      <c r="AK730" s="137"/>
      <c r="AL730" s="7"/>
      <c r="AM730" s="138"/>
      <c r="AN730" s="138"/>
      <c r="AO730" s="138"/>
      <c r="AP730" s="138"/>
      <c r="AQ730" s="7"/>
      <c r="AR730" s="7"/>
      <c r="AS730" s="7"/>
      <c r="AT730" s="99"/>
      <c r="AU730" s="99"/>
      <c r="AV730" s="99"/>
      <c r="AW730" s="99"/>
      <c r="AX730" s="100"/>
      <c r="AY730" s="100"/>
      <c r="AZ730" s="100"/>
      <c r="BA730" s="97"/>
      <c r="BB730" s="97"/>
      <c r="BC730" s="97"/>
    </row>
    <row r="731" spans="12:55" ht="14.25" customHeight="1">
      <c r="L731" s="136"/>
      <c r="M731" s="136"/>
      <c r="N731" s="136"/>
      <c r="O731" s="136"/>
      <c r="P731" s="137"/>
      <c r="Q731" s="138"/>
      <c r="R731" s="138"/>
      <c r="S731" s="138"/>
      <c r="T731" s="138"/>
      <c r="U731" s="7"/>
      <c r="V731" s="7"/>
      <c r="W731" s="7"/>
      <c r="X731" s="136"/>
      <c r="Y731" s="136"/>
      <c r="Z731" s="136"/>
      <c r="AA731" s="136"/>
      <c r="AB731" s="137"/>
      <c r="AC731" s="137"/>
      <c r="AD731" s="137"/>
      <c r="AE731" s="136"/>
      <c r="AF731" s="136"/>
      <c r="AG731" s="136"/>
      <c r="AH731" s="136"/>
      <c r="AI731" s="137"/>
      <c r="AJ731" s="137"/>
      <c r="AK731" s="137"/>
      <c r="AL731" s="7"/>
      <c r="AM731" s="138"/>
      <c r="AN731" s="138"/>
      <c r="AO731" s="138"/>
      <c r="AP731" s="138"/>
      <c r="AQ731" s="7"/>
      <c r="AR731" s="7"/>
      <c r="AS731" s="7"/>
      <c r="AT731" s="99"/>
      <c r="AU731" s="99"/>
      <c r="AV731" s="99"/>
      <c r="AW731" s="99"/>
      <c r="AX731" s="100"/>
      <c r="AY731" s="100"/>
      <c r="AZ731" s="100"/>
      <c r="BA731" s="97"/>
      <c r="BB731" s="97"/>
      <c r="BC731" s="97"/>
    </row>
    <row r="732" spans="12:55" ht="30.9" customHeight="1">
      <c r="L732" s="139"/>
      <c r="M732" s="139"/>
      <c r="N732" s="139"/>
      <c r="O732" s="140"/>
      <c r="P732" s="140"/>
      <c r="Q732" s="137"/>
      <c r="R732" s="137"/>
      <c r="S732" s="137"/>
      <c r="T732" s="137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  <c r="AH732" s="122"/>
      <c r="AI732" s="122"/>
      <c r="AJ732" s="122"/>
      <c r="AK732" s="122"/>
      <c r="AL732" s="122"/>
      <c r="AM732" s="122"/>
      <c r="AN732" s="122"/>
      <c r="AO732" s="122"/>
      <c r="AP732" s="122"/>
      <c r="AQ732" s="122"/>
      <c r="AR732" s="122"/>
      <c r="AS732" s="122"/>
      <c r="AT732" s="122"/>
      <c r="AU732" s="122"/>
      <c r="AV732" s="122"/>
      <c r="AW732" s="122"/>
      <c r="AX732" s="122"/>
      <c r="AY732" s="122"/>
      <c r="AZ732" s="122"/>
      <c r="BA732" s="122"/>
      <c r="BB732" s="122"/>
      <c r="BC732" s="122"/>
    </row>
    <row r="733" spans="12:55" ht="30.9" customHeight="1">
      <c r="L733" s="139"/>
      <c r="M733" s="139"/>
      <c r="N733" s="139"/>
      <c r="O733" s="140"/>
      <c r="P733" s="140"/>
      <c r="Q733" s="137"/>
      <c r="R733" s="137"/>
      <c r="S733" s="137"/>
      <c r="T733" s="137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  <c r="AH733" s="122"/>
      <c r="AI733" s="122"/>
      <c r="AJ733" s="122"/>
      <c r="AK733" s="122"/>
      <c r="AL733" s="122"/>
      <c r="AM733" s="122"/>
      <c r="AN733" s="122"/>
      <c r="AO733" s="122"/>
      <c r="AP733" s="122"/>
      <c r="AQ733" s="122"/>
      <c r="AR733" s="122"/>
      <c r="AS733" s="122"/>
      <c r="AT733" s="122"/>
      <c r="AU733" s="122"/>
      <c r="AV733" s="122"/>
      <c r="AW733" s="122"/>
      <c r="AX733" s="122"/>
      <c r="AY733" s="122"/>
      <c r="AZ733" s="122"/>
      <c r="BA733" s="122"/>
      <c r="BB733" s="122"/>
      <c r="BC733" s="122"/>
    </row>
    <row r="734" spans="12:55" ht="14.25" customHeight="1">
      <c r="L734" s="136"/>
      <c r="M734" s="136"/>
      <c r="N734" s="136"/>
      <c r="O734" s="136"/>
      <c r="P734" s="137"/>
      <c r="Q734" s="138"/>
      <c r="R734" s="138"/>
      <c r="S734" s="138"/>
      <c r="T734" s="138"/>
      <c r="U734" s="136"/>
      <c r="V734" s="136"/>
      <c r="W734" s="137"/>
      <c r="X734" s="137"/>
      <c r="Y734" s="136"/>
      <c r="Z734" s="136"/>
      <c r="AA734" s="137"/>
      <c r="AB734" s="137"/>
      <c r="AC734" s="137"/>
      <c r="AD734" s="137"/>
      <c r="AE734" s="136"/>
      <c r="AF734" s="136"/>
      <c r="AG734" s="137"/>
      <c r="AH734" s="137"/>
      <c r="AI734" s="136"/>
      <c r="AJ734" s="136"/>
      <c r="AK734" s="137"/>
      <c r="AL734" s="137"/>
      <c r="AM734" s="138"/>
      <c r="AN734" s="138"/>
      <c r="AO734" s="138"/>
      <c r="AP734" s="138"/>
      <c r="AQ734" s="7"/>
      <c r="AR734" s="7"/>
      <c r="AS734" s="7"/>
      <c r="AT734" s="136"/>
      <c r="AU734" s="136"/>
      <c r="AV734" s="136"/>
      <c r="AW734" s="136"/>
      <c r="AX734" s="137"/>
      <c r="AY734" s="137"/>
      <c r="AZ734" s="137"/>
      <c r="BA734" s="137"/>
      <c r="BB734" s="137"/>
      <c r="BC734" s="137"/>
    </row>
    <row r="735" spans="12:55" ht="14.25" customHeight="1">
      <c r="L735" s="136"/>
      <c r="M735" s="136"/>
      <c r="N735" s="136"/>
      <c r="O735" s="136"/>
      <c r="P735" s="137"/>
      <c r="Q735" s="138"/>
      <c r="R735" s="138"/>
      <c r="S735" s="138"/>
      <c r="T735" s="138"/>
      <c r="U735" s="136"/>
      <c r="V735" s="136"/>
      <c r="W735" s="137"/>
      <c r="X735" s="137"/>
      <c r="Y735" s="136"/>
      <c r="Z735" s="136"/>
      <c r="AA735" s="137"/>
      <c r="AB735" s="137"/>
      <c r="AC735" s="137"/>
      <c r="AD735" s="137"/>
      <c r="AE735" s="136"/>
      <c r="AF735" s="136"/>
      <c r="AG735" s="137"/>
      <c r="AH735" s="137"/>
      <c r="AI735" s="136"/>
      <c r="AJ735" s="136"/>
      <c r="AK735" s="137"/>
      <c r="AL735" s="137"/>
      <c r="AM735" s="138"/>
      <c r="AN735" s="138"/>
      <c r="AO735" s="138"/>
      <c r="AP735" s="138"/>
      <c r="AQ735" s="7"/>
      <c r="AR735" s="7"/>
      <c r="AS735" s="7"/>
      <c r="AT735" s="136"/>
      <c r="AU735" s="136"/>
      <c r="AV735" s="136"/>
      <c r="AW735" s="136"/>
      <c r="AX735" s="137"/>
      <c r="AY735" s="137"/>
      <c r="AZ735" s="137"/>
      <c r="BA735" s="137"/>
      <c r="BB735" s="137"/>
      <c r="BC735" s="137"/>
    </row>
    <row r="736" spans="12:55" ht="14.25" customHeight="1">
      <c r="L736" s="136"/>
      <c r="M736" s="136"/>
      <c r="N736" s="136"/>
      <c r="O736" s="136"/>
      <c r="P736" s="137"/>
      <c r="Q736" s="138"/>
      <c r="R736" s="138"/>
      <c r="S736" s="138"/>
      <c r="T736" s="138"/>
      <c r="U736" s="136"/>
      <c r="V736" s="136"/>
      <c r="W736" s="137"/>
      <c r="X736" s="137"/>
      <c r="Y736" s="136"/>
      <c r="Z736" s="136"/>
      <c r="AA736" s="137"/>
      <c r="AB736" s="137"/>
      <c r="AC736" s="137"/>
      <c r="AD736" s="137"/>
      <c r="AE736" s="136"/>
      <c r="AF736" s="136"/>
      <c r="AG736" s="137"/>
      <c r="AH736" s="137"/>
      <c r="AI736" s="136"/>
      <c r="AJ736" s="136"/>
      <c r="AK736" s="137"/>
      <c r="AL736" s="137"/>
      <c r="AM736" s="138"/>
      <c r="AN736" s="138"/>
      <c r="AO736" s="138"/>
      <c r="AP736" s="138"/>
      <c r="AQ736" s="7"/>
      <c r="AR736" s="7"/>
      <c r="AS736" s="7"/>
      <c r="AT736" s="99"/>
      <c r="AU736" s="99"/>
      <c r="AV736" s="99"/>
      <c r="AW736" s="99"/>
      <c r="AX736" s="100"/>
      <c r="AY736" s="100"/>
      <c r="AZ736" s="100"/>
      <c r="BA736" s="97"/>
      <c r="BB736" s="97"/>
      <c r="BC736" s="97"/>
    </row>
    <row r="737" spans="12:55" ht="14.25" customHeight="1">
      <c r="L737" s="136"/>
      <c r="M737" s="136"/>
      <c r="N737" s="136"/>
      <c r="O737" s="136"/>
      <c r="P737" s="137"/>
      <c r="Q737" s="138"/>
      <c r="R737" s="138"/>
      <c r="S737" s="138"/>
      <c r="T737" s="138"/>
      <c r="U737" s="49"/>
      <c r="V737" s="49"/>
      <c r="W737" s="49"/>
      <c r="X737" s="136"/>
      <c r="Y737" s="136"/>
      <c r="Z737" s="136"/>
      <c r="AA737" s="136"/>
      <c r="AB737" s="137"/>
      <c r="AC737" s="137"/>
      <c r="AD737" s="137"/>
      <c r="AE737" s="136"/>
      <c r="AF737" s="136"/>
      <c r="AG737" s="136"/>
      <c r="AH737" s="136"/>
      <c r="AI737" s="137"/>
      <c r="AJ737" s="137"/>
      <c r="AK737" s="137"/>
      <c r="AL737" s="49"/>
      <c r="AM737" s="138"/>
      <c r="AN737" s="138"/>
      <c r="AO737" s="138"/>
      <c r="AP737" s="138"/>
      <c r="AQ737" s="7"/>
      <c r="AR737" s="7"/>
      <c r="AS737" s="7"/>
      <c r="AT737" s="99"/>
      <c r="AU737" s="99"/>
      <c r="AV737" s="99"/>
      <c r="AW737" s="99"/>
      <c r="AX737" s="100"/>
      <c r="AY737" s="100"/>
      <c r="AZ737" s="100"/>
      <c r="BA737" s="97"/>
      <c r="BB737" s="97"/>
      <c r="BC737" s="97"/>
    </row>
    <row r="738" spans="12:55" ht="14.25" customHeight="1">
      <c r="L738" s="136"/>
      <c r="M738" s="136"/>
      <c r="N738" s="136"/>
      <c r="O738" s="136"/>
      <c r="P738" s="137"/>
      <c r="Q738" s="138"/>
      <c r="R738" s="138"/>
      <c r="S738" s="138"/>
      <c r="T738" s="138"/>
      <c r="U738" s="7"/>
      <c r="V738" s="7"/>
      <c r="W738" s="7"/>
      <c r="X738" s="136"/>
      <c r="Y738" s="136"/>
      <c r="Z738" s="136"/>
      <c r="AA738" s="136"/>
      <c r="AB738" s="137"/>
      <c r="AC738" s="137"/>
      <c r="AD738" s="137"/>
      <c r="AE738" s="136"/>
      <c r="AF738" s="136"/>
      <c r="AG738" s="136"/>
      <c r="AH738" s="136"/>
      <c r="AI738" s="137"/>
      <c r="AJ738" s="137"/>
      <c r="AK738" s="137"/>
      <c r="AL738" s="7"/>
      <c r="AM738" s="138"/>
      <c r="AN738" s="138"/>
      <c r="AO738" s="138"/>
      <c r="AP738" s="138"/>
      <c r="AQ738" s="7"/>
      <c r="AR738" s="7"/>
      <c r="AS738" s="7"/>
      <c r="AT738" s="99"/>
      <c r="AU738" s="99"/>
      <c r="AV738" s="99"/>
      <c r="AW738" s="99"/>
      <c r="AX738" s="100"/>
      <c r="AY738" s="100"/>
      <c r="AZ738" s="100"/>
      <c r="BA738" s="97"/>
      <c r="BB738" s="97"/>
      <c r="BC738" s="97"/>
    </row>
    <row r="739" spans="12:55" ht="14.25" customHeight="1">
      <c r="L739" s="136"/>
      <c r="M739" s="136"/>
      <c r="N739" s="136"/>
      <c r="O739" s="136"/>
      <c r="P739" s="137"/>
      <c r="Q739" s="138"/>
      <c r="R739" s="138"/>
      <c r="S739" s="138"/>
      <c r="T739" s="138"/>
      <c r="U739" s="7"/>
      <c r="V739" s="7"/>
      <c r="W739" s="7"/>
      <c r="X739" s="136"/>
      <c r="Y739" s="136"/>
      <c r="Z739" s="136"/>
      <c r="AA739" s="136"/>
      <c r="AB739" s="137"/>
      <c r="AC739" s="137"/>
      <c r="AD739" s="137"/>
      <c r="AE739" s="136"/>
      <c r="AF739" s="136"/>
      <c r="AG739" s="136"/>
      <c r="AH739" s="136"/>
      <c r="AI739" s="137"/>
      <c r="AJ739" s="137"/>
      <c r="AK739" s="137"/>
      <c r="AL739" s="7"/>
      <c r="AM739" s="138"/>
      <c r="AN739" s="138"/>
      <c r="AO739" s="138"/>
      <c r="AP739" s="138"/>
      <c r="AQ739" s="7"/>
      <c r="AR739" s="7"/>
      <c r="AS739" s="7"/>
      <c r="AT739" s="99"/>
      <c r="AU739" s="99"/>
      <c r="AV739" s="99"/>
      <c r="AW739" s="99"/>
      <c r="AX739" s="100"/>
      <c r="AY739" s="100"/>
      <c r="AZ739" s="100"/>
      <c r="BA739" s="97"/>
      <c r="BB739" s="97"/>
      <c r="BC739" s="97"/>
    </row>
    <row r="740" spans="12:55" ht="30.9" customHeight="1">
      <c r="L740" s="139"/>
      <c r="M740" s="139"/>
      <c r="N740" s="139"/>
      <c r="O740" s="140"/>
      <c r="P740" s="140"/>
      <c r="Q740" s="137"/>
      <c r="R740" s="137"/>
      <c r="S740" s="137"/>
      <c r="T740" s="137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  <c r="AH740" s="122"/>
      <c r="AI740" s="122"/>
      <c r="AJ740" s="122"/>
      <c r="AK740" s="122"/>
      <c r="AL740" s="122"/>
      <c r="AM740" s="122"/>
      <c r="AN740" s="122"/>
      <c r="AO740" s="122"/>
      <c r="AP740" s="122"/>
      <c r="AQ740" s="122"/>
      <c r="AR740" s="122"/>
      <c r="AS740" s="122"/>
      <c r="AT740" s="122"/>
      <c r="AU740" s="122"/>
      <c r="AV740" s="122"/>
      <c r="AW740" s="122"/>
      <c r="AX740" s="122"/>
      <c r="AY740" s="122"/>
      <c r="AZ740" s="122"/>
      <c r="BA740" s="122"/>
      <c r="BB740" s="122"/>
      <c r="BC740" s="122"/>
    </row>
    <row r="741" spans="12:55" ht="30.9" customHeight="1">
      <c r="L741" s="139"/>
      <c r="M741" s="139"/>
      <c r="N741" s="139"/>
      <c r="O741" s="140"/>
      <c r="P741" s="140"/>
      <c r="Q741" s="137"/>
      <c r="R741" s="137"/>
      <c r="S741" s="137"/>
      <c r="T741" s="137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  <c r="AH741" s="122"/>
      <c r="AI741" s="122"/>
      <c r="AJ741" s="122"/>
      <c r="AK741" s="122"/>
      <c r="AL741" s="122"/>
      <c r="AM741" s="122"/>
      <c r="AN741" s="122"/>
      <c r="AO741" s="122"/>
      <c r="AP741" s="122"/>
      <c r="AQ741" s="122"/>
      <c r="AR741" s="122"/>
      <c r="AS741" s="122"/>
      <c r="AT741" s="122"/>
      <c r="AU741" s="122"/>
      <c r="AV741" s="122"/>
      <c r="AW741" s="122"/>
      <c r="AX741" s="122"/>
      <c r="AY741" s="122"/>
      <c r="AZ741" s="122"/>
      <c r="BA741" s="122"/>
      <c r="BB741" s="122"/>
      <c r="BC741" s="122"/>
    </row>
    <row r="742" spans="12:55" ht="14.25" customHeight="1">
      <c r="L742" s="136"/>
      <c r="M742" s="136"/>
      <c r="N742" s="136"/>
      <c r="O742" s="136"/>
      <c r="P742" s="137"/>
      <c r="Q742" s="138"/>
      <c r="R742" s="138"/>
      <c r="S742" s="138"/>
      <c r="T742" s="138"/>
      <c r="U742" s="136"/>
      <c r="V742" s="136"/>
      <c r="W742" s="137"/>
      <c r="X742" s="137"/>
      <c r="Y742" s="136"/>
      <c r="Z742" s="136"/>
      <c r="AA742" s="137"/>
      <c r="AB742" s="137"/>
      <c r="AC742" s="137"/>
      <c r="AD742" s="137"/>
      <c r="AE742" s="136"/>
      <c r="AF742" s="136"/>
      <c r="AG742" s="137"/>
      <c r="AH742" s="137"/>
      <c r="AI742" s="136"/>
      <c r="AJ742" s="136"/>
      <c r="AK742" s="137"/>
      <c r="AL742" s="137"/>
      <c r="AM742" s="138"/>
      <c r="AN742" s="138"/>
      <c r="AO742" s="138"/>
      <c r="AP742" s="138"/>
      <c r="AQ742" s="7"/>
      <c r="AR742" s="7"/>
      <c r="AS742" s="7"/>
      <c r="AT742" s="136"/>
      <c r="AU742" s="136"/>
      <c r="AV742" s="136"/>
      <c r="AW742" s="136"/>
      <c r="AX742" s="137"/>
      <c r="AY742" s="137"/>
      <c r="AZ742" s="137"/>
      <c r="BA742" s="137"/>
      <c r="BB742" s="137"/>
      <c r="BC742" s="137"/>
    </row>
    <row r="743" spans="12:55" ht="14.25" customHeight="1">
      <c r="L743" s="136"/>
      <c r="M743" s="136"/>
      <c r="N743" s="136"/>
      <c r="O743" s="136"/>
      <c r="P743" s="137"/>
      <c r="Q743" s="138"/>
      <c r="R743" s="138"/>
      <c r="S743" s="138"/>
      <c r="T743" s="138"/>
      <c r="U743" s="136"/>
      <c r="V743" s="136"/>
      <c r="W743" s="137"/>
      <c r="X743" s="137"/>
      <c r="Y743" s="136"/>
      <c r="Z743" s="136"/>
      <c r="AA743" s="137"/>
      <c r="AB743" s="137"/>
      <c r="AC743" s="137"/>
      <c r="AD743" s="137"/>
      <c r="AE743" s="136"/>
      <c r="AF743" s="136"/>
      <c r="AG743" s="137"/>
      <c r="AH743" s="137"/>
      <c r="AI743" s="136"/>
      <c r="AJ743" s="136"/>
      <c r="AK743" s="137"/>
      <c r="AL743" s="137"/>
      <c r="AM743" s="138"/>
      <c r="AN743" s="138"/>
      <c r="AO743" s="138"/>
      <c r="AP743" s="138"/>
      <c r="AQ743" s="7"/>
      <c r="AR743" s="7"/>
      <c r="AS743" s="7"/>
      <c r="AT743" s="136"/>
      <c r="AU743" s="136"/>
      <c r="AV743" s="136"/>
      <c r="AW743" s="136"/>
      <c r="AX743" s="137"/>
      <c r="AY743" s="137"/>
      <c r="AZ743" s="137"/>
      <c r="BA743" s="137"/>
      <c r="BB743" s="137"/>
      <c r="BC743" s="137"/>
    </row>
    <row r="744" spans="12:55" ht="14.25" customHeight="1">
      <c r="L744" s="136"/>
      <c r="M744" s="136"/>
      <c r="N744" s="136"/>
      <c r="O744" s="136"/>
      <c r="P744" s="137"/>
      <c r="Q744" s="138"/>
      <c r="R744" s="138"/>
      <c r="S744" s="138"/>
      <c r="T744" s="138"/>
      <c r="U744" s="136"/>
      <c r="V744" s="136"/>
      <c r="W744" s="137"/>
      <c r="X744" s="137"/>
      <c r="Y744" s="136"/>
      <c r="Z744" s="136"/>
      <c r="AA744" s="137"/>
      <c r="AB744" s="137"/>
      <c r="AC744" s="137"/>
      <c r="AD744" s="137"/>
      <c r="AE744" s="136"/>
      <c r="AF744" s="136"/>
      <c r="AG744" s="137"/>
      <c r="AH744" s="137"/>
      <c r="AI744" s="136"/>
      <c r="AJ744" s="136"/>
      <c r="AK744" s="137"/>
      <c r="AL744" s="137"/>
      <c r="AM744" s="138"/>
      <c r="AN744" s="138"/>
      <c r="AO744" s="138"/>
      <c r="AP744" s="138"/>
      <c r="AQ744" s="7"/>
      <c r="AR744" s="7"/>
      <c r="AS744" s="7"/>
      <c r="AT744" s="99"/>
      <c r="AU744" s="99"/>
      <c r="AV744" s="99"/>
      <c r="AW744" s="99"/>
      <c r="AX744" s="100"/>
      <c r="AY744" s="100"/>
      <c r="AZ744" s="100"/>
      <c r="BA744" s="97"/>
      <c r="BB744" s="97"/>
      <c r="BC744" s="97"/>
    </row>
    <row r="745" spans="12:55" ht="14.25" customHeight="1">
      <c r="L745" s="136"/>
      <c r="M745" s="136"/>
      <c r="N745" s="136"/>
      <c r="O745" s="136"/>
      <c r="P745" s="137"/>
      <c r="Q745" s="138"/>
      <c r="R745" s="138"/>
      <c r="S745" s="138"/>
      <c r="T745" s="138"/>
      <c r="U745" s="49"/>
      <c r="V745" s="49"/>
      <c r="W745" s="49"/>
      <c r="X745" s="136"/>
      <c r="Y745" s="136"/>
      <c r="Z745" s="136"/>
      <c r="AA745" s="136"/>
      <c r="AB745" s="137"/>
      <c r="AC745" s="137"/>
      <c r="AD745" s="137"/>
      <c r="AE745" s="136"/>
      <c r="AF745" s="136"/>
      <c r="AG745" s="136"/>
      <c r="AH745" s="136"/>
      <c r="AI745" s="137"/>
      <c r="AJ745" s="137"/>
      <c r="AK745" s="137"/>
      <c r="AL745" s="49"/>
      <c r="AM745" s="138"/>
      <c r="AN745" s="138"/>
      <c r="AO745" s="138"/>
      <c r="AP745" s="138"/>
      <c r="AQ745" s="7"/>
      <c r="AR745" s="7"/>
      <c r="AS745" s="7"/>
      <c r="AT745" s="99"/>
      <c r="AU745" s="99"/>
      <c r="AV745" s="99"/>
      <c r="AW745" s="99"/>
      <c r="AX745" s="100"/>
      <c r="AY745" s="100"/>
      <c r="AZ745" s="100"/>
      <c r="BA745" s="97"/>
      <c r="BB745" s="97"/>
      <c r="BC745" s="97"/>
    </row>
    <row r="746" spans="12:55" ht="14.25" customHeight="1">
      <c r="L746" s="136"/>
      <c r="M746" s="136"/>
      <c r="N746" s="136"/>
      <c r="O746" s="136"/>
      <c r="P746" s="137"/>
      <c r="Q746" s="138"/>
      <c r="R746" s="138"/>
      <c r="S746" s="138"/>
      <c r="T746" s="138"/>
      <c r="U746" s="7"/>
      <c r="V746" s="7"/>
      <c r="W746" s="7"/>
      <c r="X746" s="136"/>
      <c r="Y746" s="136"/>
      <c r="Z746" s="136"/>
      <c r="AA746" s="136"/>
      <c r="AB746" s="137"/>
      <c r="AC746" s="137"/>
      <c r="AD746" s="137"/>
      <c r="AE746" s="136"/>
      <c r="AF746" s="136"/>
      <c r="AG746" s="136"/>
      <c r="AH746" s="136"/>
      <c r="AI746" s="137"/>
      <c r="AJ746" s="137"/>
      <c r="AK746" s="137"/>
      <c r="AL746" s="7"/>
      <c r="AM746" s="138"/>
      <c r="AN746" s="138"/>
      <c r="AO746" s="138"/>
      <c r="AP746" s="138"/>
      <c r="AQ746" s="7"/>
      <c r="AR746" s="7"/>
      <c r="AS746" s="7"/>
      <c r="AT746" s="99"/>
      <c r="AU746" s="99"/>
      <c r="AV746" s="99"/>
      <c r="AW746" s="99"/>
      <c r="AX746" s="100"/>
      <c r="AY746" s="100"/>
      <c r="AZ746" s="100"/>
      <c r="BA746" s="97"/>
      <c r="BB746" s="97"/>
      <c r="BC746" s="97"/>
    </row>
    <row r="747" spans="12:55" ht="14.25" customHeight="1">
      <c r="L747" s="136"/>
      <c r="M747" s="136"/>
      <c r="N747" s="136"/>
      <c r="O747" s="136"/>
      <c r="P747" s="137"/>
      <c r="Q747" s="138"/>
      <c r="R747" s="138"/>
      <c r="S747" s="138"/>
      <c r="T747" s="138"/>
      <c r="U747" s="7"/>
      <c r="V747" s="7"/>
      <c r="W747" s="7"/>
      <c r="X747" s="136"/>
      <c r="Y747" s="136"/>
      <c r="Z747" s="136"/>
      <c r="AA747" s="136"/>
      <c r="AB747" s="137"/>
      <c r="AC747" s="137"/>
      <c r="AD747" s="137"/>
      <c r="AE747" s="136"/>
      <c r="AF747" s="136"/>
      <c r="AG747" s="136"/>
      <c r="AH747" s="136"/>
      <c r="AI747" s="137"/>
      <c r="AJ747" s="137"/>
      <c r="AK747" s="137"/>
      <c r="AL747" s="7"/>
      <c r="AM747" s="138"/>
      <c r="AN747" s="138"/>
      <c r="AO747" s="138"/>
      <c r="AP747" s="138"/>
      <c r="AQ747" s="7"/>
      <c r="AR747" s="7"/>
      <c r="AS747" s="7"/>
      <c r="AT747" s="99"/>
      <c r="AU747" s="99"/>
      <c r="AV747" s="99"/>
      <c r="AW747" s="99"/>
      <c r="AX747" s="100"/>
      <c r="AY747" s="100"/>
      <c r="AZ747" s="100"/>
      <c r="BA747" s="97"/>
      <c r="BB747" s="97"/>
      <c r="BC747" s="97"/>
    </row>
    <row r="748" spans="12:55" ht="30.9" customHeight="1">
      <c r="L748" s="139"/>
      <c r="M748" s="139"/>
      <c r="N748" s="139"/>
      <c r="O748" s="140"/>
      <c r="P748" s="140"/>
      <c r="Q748" s="137"/>
      <c r="R748" s="137"/>
      <c r="S748" s="137"/>
      <c r="T748" s="137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  <c r="AH748" s="122"/>
      <c r="AI748" s="122"/>
      <c r="AJ748" s="122"/>
      <c r="AK748" s="122"/>
      <c r="AL748" s="122"/>
      <c r="AM748" s="122"/>
      <c r="AN748" s="122"/>
      <c r="AO748" s="122"/>
      <c r="AP748" s="122"/>
      <c r="AQ748" s="122"/>
      <c r="AR748" s="122"/>
      <c r="AS748" s="122"/>
      <c r="AT748" s="122"/>
      <c r="AU748" s="122"/>
      <c r="AV748" s="122"/>
      <c r="AW748" s="122"/>
      <c r="AX748" s="122"/>
      <c r="AY748" s="122"/>
      <c r="AZ748" s="122"/>
      <c r="BA748" s="122"/>
      <c r="BB748" s="122"/>
      <c r="BC748" s="122"/>
    </row>
    <row r="749" spans="12:55" ht="30.9" customHeight="1">
      <c r="L749" s="139"/>
      <c r="M749" s="139"/>
      <c r="N749" s="139"/>
      <c r="O749" s="140"/>
      <c r="P749" s="140"/>
      <c r="Q749" s="137"/>
      <c r="R749" s="137"/>
      <c r="S749" s="137"/>
      <c r="T749" s="137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  <c r="AH749" s="122"/>
      <c r="AI749" s="122"/>
      <c r="AJ749" s="122"/>
      <c r="AK749" s="122"/>
      <c r="AL749" s="122"/>
      <c r="AM749" s="122"/>
      <c r="AN749" s="122"/>
      <c r="AO749" s="122"/>
      <c r="AP749" s="122"/>
      <c r="AQ749" s="122"/>
      <c r="AR749" s="122"/>
      <c r="AS749" s="122"/>
      <c r="AT749" s="122"/>
      <c r="AU749" s="122"/>
      <c r="AV749" s="122"/>
      <c r="AW749" s="122"/>
      <c r="AX749" s="122"/>
      <c r="AY749" s="122"/>
      <c r="AZ749" s="122"/>
      <c r="BA749" s="122"/>
      <c r="BB749" s="122"/>
      <c r="BC749" s="122"/>
    </row>
    <row r="750" spans="12:55" ht="14.25" customHeight="1">
      <c r="L750" s="136"/>
      <c r="M750" s="136"/>
      <c r="N750" s="136"/>
      <c r="O750" s="136"/>
      <c r="P750" s="137"/>
      <c r="Q750" s="138"/>
      <c r="R750" s="138"/>
      <c r="S750" s="138"/>
      <c r="T750" s="138"/>
      <c r="U750" s="136"/>
      <c r="V750" s="136"/>
      <c r="W750" s="137"/>
      <c r="X750" s="137"/>
      <c r="Y750" s="136"/>
      <c r="Z750" s="136"/>
      <c r="AA750" s="137"/>
      <c r="AB750" s="137"/>
      <c r="AC750" s="137"/>
      <c r="AD750" s="137"/>
      <c r="AE750" s="136"/>
      <c r="AF750" s="136"/>
      <c r="AG750" s="137"/>
      <c r="AH750" s="137"/>
      <c r="AI750" s="136"/>
      <c r="AJ750" s="136"/>
      <c r="AK750" s="137"/>
      <c r="AL750" s="137"/>
      <c r="AM750" s="138"/>
      <c r="AN750" s="138"/>
      <c r="AO750" s="138"/>
      <c r="AP750" s="138"/>
      <c r="AQ750" s="7"/>
      <c r="AR750" s="7"/>
      <c r="AS750" s="7"/>
      <c r="AT750" s="136"/>
      <c r="AU750" s="136"/>
      <c r="AV750" s="136"/>
      <c r="AW750" s="136"/>
      <c r="AX750" s="137"/>
      <c r="AY750" s="137"/>
      <c r="AZ750" s="137"/>
      <c r="BA750" s="137"/>
      <c r="BB750" s="137"/>
      <c r="BC750" s="137"/>
    </row>
    <row r="751" spans="12:55" ht="14.25" customHeight="1">
      <c r="L751" s="136"/>
      <c r="M751" s="136"/>
      <c r="N751" s="136"/>
      <c r="O751" s="136"/>
      <c r="P751" s="137"/>
      <c r="Q751" s="138"/>
      <c r="R751" s="138"/>
      <c r="S751" s="138"/>
      <c r="T751" s="138"/>
      <c r="U751" s="136"/>
      <c r="V751" s="136"/>
      <c r="W751" s="137"/>
      <c r="X751" s="137"/>
      <c r="Y751" s="136"/>
      <c r="Z751" s="136"/>
      <c r="AA751" s="137"/>
      <c r="AB751" s="137"/>
      <c r="AC751" s="137"/>
      <c r="AD751" s="137"/>
      <c r="AE751" s="136"/>
      <c r="AF751" s="136"/>
      <c r="AG751" s="137"/>
      <c r="AH751" s="137"/>
      <c r="AI751" s="136"/>
      <c r="AJ751" s="136"/>
      <c r="AK751" s="137"/>
      <c r="AL751" s="137"/>
      <c r="AM751" s="138"/>
      <c r="AN751" s="138"/>
      <c r="AO751" s="138"/>
      <c r="AP751" s="138"/>
      <c r="AQ751" s="7"/>
      <c r="AR751" s="7"/>
      <c r="AS751" s="7"/>
      <c r="AT751" s="136"/>
      <c r="AU751" s="136"/>
      <c r="AV751" s="136"/>
      <c r="AW751" s="136"/>
      <c r="AX751" s="137"/>
      <c r="AY751" s="137"/>
      <c r="AZ751" s="137"/>
      <c r="BA751" s="137"/>
      <c r="BB751" s="137"/>
      <c r="BC751" s="137"/>
    </row>
    <row r="752" spans="12:55" ht="14.25" customHeight="1">
      <c r="L752" s="136"/>
      <c r="M752" s="136"/>
      <c r="N752" s="136"/>
      <c r="O752" s="136"/>
      <c r="P752" s="137"/>
      <c r="Q752" s="138"/>
      <c r="R752" s="138"/>
      <c r="S752" s="138"/>
      <c r="T752" s="138"/>
      <c r="U752" s="136"/>
      <c r="V752" s="136"/>
      <c r="W752" s="137"/>
      <c r="X752" s="137"/>
      <c r="Y752" s="136"/>
      <c r="Z752" s="136"/>
      <c r="AA752" s="137"/>
      <c r="AB752" s="137"/>
      <c r="AC752" s="137"/>
      <c r="AD752" s="137"/>
      <c r="AE752" s="136"/>
      <c r="AF752" s="136"/>
      <c r="AG752" s="137"/>
      <c r="AH752" s="137"/>
      <c r="AI752" s="136"/>
      <c r="AJ752" s="136"/>
      <c r="AK752" s="137"/>
      <c r="AL752" s="137"/>
      <c r="AM752" s="138"/>
      <c r="AN752" s="138"/>
      <c r="AO752" s="138"/>
      <c r="AP752" s="138"/>
      <c r="AQ752" s="7"/>
      <c r="AR752" s="7"/>
      <c r="AS752" s="7"/>
      <c r="AT752" s="99"/>
      <c r="AU752" s="99"/>
      <c r="AV752" s="99"/>
      <c r="AW752" s="99"/>
      <c r="AX752" s="100"/>
      <c r="AY752" s="100"/>
      <c r="AZ752" s="100"/>
      <c r="BA752" s="97"/>
      <c r="BB752" s="97"/>
      <c r="BC752" s="97"/>
    </row>
    <row r="753" spans="12:55" ht="14.25" customHeight="1">
      <c r="L753" s="136"/>
      <c r="M753" s="136"/>
      <c r="N753" s="136"/>
      <c r="O753" s="136"/>
      <c r="P753" s="137"/>
      <c r="Q753" s="138"/>
      <c r="R753" s="138"/>
      <c r="S753" s="138"/>
      <c r="T753" s="138"/>
      <c r="U753" s="49"/>
      <c r="V753" s="49"/>
      <c r="W753" s="49"/>
      <c r="X753" s="136"/>
      <c r="Y753" s="136"/>
      <c r="Z753" s="136"/>
      <c r="AA753" s="136"/>
      <c r="AB753" s="137"/>
      <c r="AC753" s="137"/>
      <c r="AD753" s="137"/>
      <c r="AE753" s="136"/>
      <c r="AF753" s="136"/>
      <c r="AG753" s="136"/>
      <c r="AH753" s="136"/>
      <c r="AI753" s="137"/>
      <c r="AJ753" s="137"/>
      <c r="AK753" s="137"/>
      <c r="AL753" s="49"/>
      <c r="AM753" s="138"/>
      <c r="AN753" s="138"/>
      <c r="AO753" s="138"/>
      <c r="AP753" s="138"/>
      <c r="AQ753" s="7"/>
      <c r="AR753" s="7"/>
      <c r="AS753" s="7"/>
      <c r="AT753" s="99"/>
      <c r="AU753" s="99"/>
      <c r="AV753" s="99"/>
      <c r="AW753" s="99"/>
      <c r="AX753" s="100"/>
      <c r="AY753" s="100"/>
      <c r="AZ753" s="100"/>
      <c r="BA753" s="97"/>
      <c r="BB753" s="97"/>
      <c r="BC753" s="97"/>
    </row>
    <row r="754" spans="12:55" ht="14.25" customHeight="1">
      <c r="L754" s="136"/>
      <c r="M754" s="136"/>
      <c r="N754" s="136"/>
      <c r="O754" s="136"/>
      <c r="P754" s="137"/>
      <c r="Q754" s="138"/>
      <c r="R754" s="138"/>
      <c r="S754" s="138"/>
      <c r="T754" s="138"/>
      <c r="U754" s="7"/>
      <c r="V754" s="7"/>
      <c r="W754" s="7"/>
      <c r="X754" s="136"/>
      <c r="Y754" s="136"/>
      <c r="Z754" s="136"/>
      <c r="AA754" s="136"/>
      <c r="AB754" s="137"/>
      <c r="AC754" s="137"/>
      <c r="AD754" s="137"/>
      <c r="AE754" s="136"/>
      <c r="AF754" s="136"/>
      <c r="AG754" s="136"/>
      <c r="AH754" s="136"/>
      <c r="AI754" s="137"/>
      <c r="AJ754" s="137"/>
      <c r="AK754" s="137"/>
      <c r="AL754" s="7"/>
      <c r="AM754" s="138"/>
      <c r="AN754" s="138"/>
      <c r="AO754" s="138"/>
      <c r="AP754" s="138"/>
      <c r="AQ754" s="7"/>
      <c r="AR754" s="7"/>
      <c r="AS754" s="7"/>
      <c r="AT754" s="99"/>
      <c r="AU754" s="99"/>
      <c r="AV754" s="99"/>
      <c r="AW754" s="99"/>
      <c r="AX754" s="100"/>
      <c r="AY754" s="100"/>
      <c r="AZ754" s="100"/>
      <c r="BA754" s="97"/>
      <c r="BB754" s="97"/>
      <c r="BC754" s="97"/>
    </row>
    <row r="755" spans="12:55" ht="14.25" customHeight="1">
      <c r="L755" s="136"/>
      <c r="M755" s="136"/>
      <c r="N755" s="136"/>
      <c r="O755" s="136"/>
      <c r="P755" s="137"/>
      <c r="Q755" s="138"/>
      <c r="R755" s="138"/>
      <c r="S755" s="138"/>
      <c r="T755" s="138"/>
      <c r="U755" s="7"/>
      <c r="V755" s="7"/>
      <c r="W755" s="7"/>
      <c r="X755" s="136"/>
      <c r="Y755" s="136"/>
      <c r="Z755" s="136"/>
      <c r="AA755" s="136"/>
      <c r="AB755" s="137"/>
      <c r="AC755" s="137"/>
      <c r="AD755" s="137"/>
      <c r="AE755" s="136"/>
      <c r="AF755" s="136"/>
      <c r="AG755" s="136"/>
      <c r="AH755" s="136"/>
      <c r="AI755" s="137"/>
      <c r="AJ755" s="137"/>
      <c r="AK755" s="137"/>
      <c r="AL755" s="7"/>
      <c r="AM755" s="138"/>
      <c r="AN755" s="138"/>
      <c r="AO755" s="138"/>
      <c r="AP755" s="138"/>
      <c r="AQ755" s="7"/>
      <c r="AR755" s="7"/>
      <c r="AS755" s="7"/>
      <c r="AT755" s="99"/>
      <c r="AU755" s="99"/>
      <c r="AV755" s="99"/>
      <c r="AW755" s="99"/>
      <c r="AX755" s="100"/>
      <c r="AY755" s="100"/>
      <c r="AZ755" s="100"/>
      <c r="BA755" s="97"/>
      <c r="BB755" s="97"/>
      <c r="BC755" s="97"/>
    </row>
    <row r="756" spans="12:55" ht="30.9" customHeight="1">
      <c r="L756" s="139"/>
      <c r="M756" s="139"/>
      <c r="N756" s="139"/>
      <c r="O756" s="140"/>
      <c r="P756" s="140"/>
      <c r="Q756" s="137"/>
      <c r="R756" s="137"/>
      <c r="S756" s="137"/>
      <c r="T756" s="137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  <c r="AH756" s="122"/>
      <c r="AI756" s="122"/>
      <c r="AJ756" s="122"/>
      <c r="AK756" s="122"/>
      <c r="AL756" s="122"/>
      <c r="AM756" s="122"/>
      <c r="AN756" s="122"/>
      <c r="AO756" s="122"/>
      <c r="AP756" s="122"/>
      <c r="AQ756" s="122"/>
      <c r="AR756" s="122"/>
      <c r="AS756" s="122"/>
      <c r="AT756" s="122"/>
      <c r="AU756" s="122"/>
      <c r="AV756" s="122"/>
      <c r="AW756" s="122"/>
      <c r="AX756" s="122"/>
      <c r="AY756" s="122"/>
      <c r="AZ756" s="122"/>
      <c r="BA756" s="122"/>
      <c r="BB756" s="122"/>
      <c r="BC756" s="122"/>
    </row>
    <row r="757" spans="12:55" ht="30.9" customHeight="1">
      <c r="L757" s="139"/>
      <c r="M757" s="139"/>
      <c r="N757" s="139"/>
      <c r="O757" s="140"/>
      <c r="P757" s="140"/>
      <c r="Q757" s="137"/>
      <c r="R757" s="137"/>
      <c r="S757" s="137"/>
      <c r="T757" s="137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  <c r="AH757" s="122"/>
      <c r="AI757" s="122"/>
      <c r="AJ757" s="122"/>
      <c r="AK757" s="122"/>
      <c r="AL757" s="122"/>
      <c r="AM757" s="122"/>
      <c r="AN757" s="122"/>
      <c r="AO757" s="122"/>
      <c r="AP757" s="122"/>
      <c r="AQ757" s="122"/>
      <c r="AR757" s="122"/>
      <c r="AS757" s="122"/>
      <c r="AT757" s="122"/>
      <c r="AU757" s="122"/>
      <c r="AV757" s="122"/>
      <c r="AW757" s="122"/>
      <c r="AX757" s="122"/>
      <c r="AY757" s="122"/>
      <c r="AZ757" s="122"/>
      <c r="BA757" s="122"/>
      <c r="BB757" s="122"/>
      <c r="BC757" s="122"/>
    </row>
    <row r="758" spans="12:55" ht="14.25" customHeight="1">
      <c r="L758" s="141"/>
      <c r="M758" s="141"/>
      <c r="N758" s="136"/>
      <c r="O758" s="136"/>
      <c r="P758" s="137"/>
      <c r="Q758" s="138"/>
      <c r="R758" s="138"/>
      <c r="S758" s="138"/>
      <c r="T758" s="138"/>
      <c r="U758" s="136"/>
      <c r="V758" s="136"/>
      <c r="W758" s="137"/>
      <c r="X758" s="137"/>
      <c r="Y758" s="136"/>
      <c r="Z758" s="136"/>
      <c r="AA758" s="137"/>
      <c r="AB758" s="137"/>
      <c r="AC758" s="137"/>
      <c r="AD758" s="137"/>
      <c r="AE758" s="136"/>
      <c r="AF758" s="136"/>
      <c r="AG758" s="137"/>
      <c r="AH758" s="137"/>
      <c r="AI758" s="136"/>
      <c r="AJ758" s="136"/>
      <c r="AK758" s="137"/>
      <c r="AL758" s="137"/>
      <c r="AM758" s="138"/>
      <c r="AN758" s="138"/>
      <c r="AO758" s="138"/>
      <c r="AP758" s="138"/>
      <c r="AQ758" s="7"/>
      <c r="AR758" s="7"/>
      <c r="AS758" s="7"/>
      <c r="AT758" s="136"/>
      <c r="AU758" s="136"/>
      <c r="AV758" s="136"/>
      <c r="AW758" s="136"/>
      <c r="AX758" s="137"/>
      <c r="AY758" s="137"/>
      <c r="AZ758" s="137"/>
      <c r="BA758" s="137"/>
      <c r="BB758" s="137"/>
      <c r="BC758" s="137"/>
    </row>
    <row r="759" spans="12:55" ht="14.25" customHeight="1">
      <c r="L759" s="141"/>
      <c r="M759" s="141"/>
      <c r="N759" s="136"/>
      <c r="O759" s="136"/>
      <c r="P759" s="137"/>
      <c r="Q759" s="138"/>
      <c r="R759" s="138"/>
      <c r="S759" s="138"/>
      <c r="T759" s="138"/>
      <c r="U759" s="136"/>
      <c r="V759" s="136"/>
      <c r="W759" s="137"/>
      <c r="X759" s="137"/>
      <c r="Y759" s="136"/>
      <c r="Z759" s="136"/>
      <c r="AA759" s="137"/>
      <c r="AB759" s="137"/>
      <c r="AC759" s="137"/>
      <c r="AD759" s="137"/>
      <c r="AE759" s="136"/>
      <c r="AF759" s="136"/>
      <c r="AG759" s="137"/>
      <c r="AH759" s="137"/>
      <c r="AI759" s="136"/>
      <c r="AJ759" s="136"/>
      <c r="AK759" s="137"/>
      <c r="AL759" s="137"/>
      <c r="AM759" s="138"/>
      <c r="AN759" s="138"/>
      <c r="AO759" s="138"/>
      <c r="AP759" s="138"/>
      <c r="AQ759" s="7"/>
      <c r="AR759" s="7"/>
      <c r="AS759" s="7"/>
      <c r="AT759" s="136"/>
      <c r="AU759" s="136"/>
      <c r="AV759" s="136"/>
      <c r="AW759" s="136"/>
      <c r="AX759" s="137"/>
      <c r="AY759" s="137"/>
      <c r="AZ759" s="137"/>
      <c r="BA759" s="137"/>
      <c r="BB759" s="137"/>
      <c r="BC759" s="137"/>
    </row>
    <row r="760" spans="12:55" ht="14.25" customHeight="1">
      <c r="L760" s="141"/>
      <c r="M760" s="141"/>
      <c r="N760" s="136"/>
      <c r="O760" s="136"/>
      <c r="P760" s="137"/>
      <c r="Q760" s="138"/>
      <c r="R760" s="138"/>
      <c r="S760" s="138"/>
      <c r="T760" s="138"/>
      <c r="U760" s="136"/>
      <c r="V760" s="136"/>
      <c r="W760" s="137"/>
      <c r="X760" s="137"/>
      <c r="Y760" s="136"/>
      <c r="Z760" s="136"/>
      <c r="AA760" s="137"/>
      <c r="AB760" s="137"/>
      <c r="AC760" s="137"/>
      <c r="AD760" s="137"/>
      <c r="AE760" s="136"/>
      <c r="AF760" s="136"/>
      <c r="AG760" s="137"/>
      <c r="AH760" s="137"/>
      <c r="AI760" s="136"/>
      <c r="AJ760" s="136"/>
      <c r="AK760" s="137"/>
      <c r="AL760" s="137"/>
      <c r="AM760" s="138"/>
      <c r="AN760" s="138"/>
      <c r="AO760" s="138"/>
      <c r="AP760" s="138"/>
      <c r="AQ760" s="7"/>
      <c r="AR760" s="7"/>
      <c r="AS760" s="7"/>
      <c r="AT760" s="99"/>
      <c r="AU760" s="99"/>
      <c r="AV760" s="99"/>
      <c r="AW760" s="99"/>
      <c r="AX760" s="100"/>
      <c r="AY760" s="100"/>
      <c r="AZ760" s="100"/>
      <c r="BA760" s="97"/>
      <c r="BB760" s="97"/>
      <c r="BC760" s="97"/>
    </row>
    <row r="761" spans="12:55" ht="14.25" customHeight="1">
      <c r="L761" s="141"/>
      <c r="M761" s="141"/>
      <c r="N761" s="136"/>
      <c r="O761" s="136"/>
      <c r="P761" s="137"/>
      <c r="Q761" s="138"/>
      <c r="R761" s="138"/>
      <c r="S761" s="138"/>
      <c r="T761" s="138"/>
      <c r="U761" s="49"/>
      <c r="V761" s="49"/>
      <c r="W761" s="49"/>
      <c r="X761" s="136"/>
      <c r="Y761" s="136"/>
      <c r="Z761" s="136"/>
      <c r="AA761" s="136"/>
      <c r="AB761" s="137"/>
      <c r="AC761" s="137"/>
      <c r="AD761" s="137"/>
      <c r="AE761" s="136"/>
      <c r="AF761" s="136"/>
      <c r="AG761" s="136"/>
      <c r="AH761" s="136"/>
      <c r="AI761" s="137"/>
      <c r="AJ761" s="137"/>
      <c r="AK761" s="137"/>
      <c r="AL761" s="49"/>
      <c r="AM761" s="138"/>
      <c r="AN761" s="138"/>
      <c r="AO761" s="138"/>
      <c r="AP761" s="138"/>
      <c r="AQ761" s="7"/>
      <c r="AR761" s="7"/>
      <c r="AS761" s="7"/>
      <c r="AT761" s="99"/>
      <c r="AU761" s="99"/>
      <c r="AV761" s="99"/>
      <c r="AW761" s="99"/>
      <c r="AX761" s="100"/>
      <c r="AY761" s="100"/>
      <c r="AZ761" s="100"/>
      <c r="BA761" s="97"/>
      <c r="BB761" s="97"/>
      <c r="BC761" s="97"/>
    </row>
    <row r="762" spans="12:55" ht="14.25" customHeight="1">
      <c r="L762" s="141"/>
      <c r="M762" s="141"/>
      <c r="N762" s="136"/>
      <c r="O762" s="136"/>
      <c r="P762" s="137"/>
      <c r="Q762" s="138"/>
      <c r="R762" s="138"/>
      <c r="S762" s="138"/>
      <c r="T762" s="138"/>
      <c r="U762" s="7"/>
      <c r="V762" s="7"/>
      <c r="W762" s="7"/>
      <c r="X762" s="136"/>
      <c r="Y762" s="136"/>
      <c r="Z762" s="136"/>
      <c r="AA762" s="136"/>
      <c r="AB762" s="137"/>
      <c r="AC762" s="137"/>
      <c r="AD762" s="137"/>
      <c r="AE762" s="136"/>
      <c r="AF762" s="136"/>
      <c r="AG762" s="136"/>
      <c r="AH762" s="136"/>
      <c r="AI762" s="137"/>
      <c r="AJ762" s="137"/>
      <c r="AK762" s="137"/>
      <c r="AL762" s="7"/>
      <c r="AM762" s="138"/>
      <c r="AN762" s="138"/>
      <c r="AO762" s="138"/>
      <c r="AP762" s="138"/>
      <c r="AQ762" s="7"/>
      <c r="AR762" s="7"/>
      <c r="AS762" s="7"/>
      <c r="AT762" s="99"/>
      <c r="AU762" s="99"/>
      <c r="AV762" s="99"/>
      <c r="AW762" s="99"/>
      <c r="AX762" s="100"/>
      <c r="AY762" s="100"/>
      <c r="AZ762" s="100"/>
      <c r="BA762" s="97"/>
      <c r="BB762" s="97"/>
      <c r="BC762" s="97"/>
    </row>
    <row r="763" spans="12:55" ht="14.25" customHeight="1">
      <c r="L763" s="141"/>
      <c r="M763" s="141"/>
      <c r="N763" s="136"/>
      <c r="O763" s="136"/>
      <c r="P763" s="137"/>
      <c r="Q763" s="138"/>
      <c r="R763" s="138"/>
      <c r="S763" s="138"/>
      <c r="T763" s="138"/>
      <c r="U763" s="7"/>
      <c r="V763" s="7"/>
      <c r="W763" s="7"/>
      <c r="X763" s="136"/>
      <c r="Y763" s="136"/>
      <c r="Z763" s="136"/>
      <c r="AA763" s="136"/>
      <c r="AB763" s="137"/>
      <c r="AC763" s="137"/>
      <c r="AD763" s="137"/>
      <c r="AE763" s="136"/>
      <c r="AF763" s="136"/>
      <c r="AG763" s="136"/>
      <c r="AH763" s="136"/>
      <c r="AI763" s="137"/>
      <c r="AJ763" s="137"/>
      <c r="AK763" s="137"/>
      <c r="AL763" s="7"/>
      <c r="AM763" s="138"/>
      <c r="AN763" s="138"/>
      <c r="AO763" s="138"/>
      <c r="AP763" s="138"/>
      <c r="AQ763" s="7"/>
      <c r="AR763" s="7"/>
      <c r="AS763" s="7"/>
      <c r="AT763" s="99"/>
      <c r="AU763" s="99"/>
      <c r="AV763" s="99"/>
      <c r="AW763" s="99"/>
      <c r="AX763" s="100"/>
      <c r="AY763" s="100"/>
      <c r="AZ763" s="100"/>
      <c r="BA763" s="97"/>
      <c r="BB763" s="97"/>
      <c r="BC763" s="97"/>
    </row>
    <row r="764" spans="12:55" ht="30.9" customHeight="1">
      <c r="L764" s="142"/>
      <c r="M764" s="142"/>
      <c r="N764" s="142"/>
      <c r="O764" s="140"/>
      <c r="P764" s="140"/>
      <c r="Q764" s="137"/>
      <c r="R764" s="137"/>
      <c r="S764" s="137"/>
      <c r="T764" s="137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  <c r="AH764" s="122"/>
      <c r="AI764" s="122"/>
      <c r="AJ764" s="122"/>
      <c r="AK764" s="122"/>
      <c r="AL764" s="122"/>
      <c r="AM764" s="122"/>
      <c r="AN764" s="122"/>
      <c r="AO764" s="122"/>
      <c r="AP764" s="122"/>
      <c r="AQ764" s="122"/>
      <c r="AR764" s="122"/>
      <c r="AS764" s="122"/>
      <c r="AT764" s="122"/>
      <c r="AU764" s="122"/>
      <c r="AV764" s="122"/>
      <c r="AW764" s="122"/>
      <c r="AX764" s="122"/>
      <c r="AY764" s="122"/>
      <c r="AZ764" s="122"/>
      <c r="BA764" s="122"/>
      <c r="BB764" s="122"/>
      <c r="BC764" s="122"/>
    </row>
    <row r="765" spans="12:55" ht="30.9" customHeight="1">
      <c r="L765" s="142"/>
      <c r="M765" s="142"/>
      <c r="N765" s="142"/>
      <c r="O765" s="140"/>
      <c r="P765" s="140"/>
      <c r="Q765" s="137"/>
      <c r="R765" s="137"/>
      <c r="S765" s="137"/>
      <c r="T765" s="137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  <c r="AH765" s="122"/>
      <c r="AI765" s="122"/>
      <c r="AJ765" s="122"/>
      <c r="AK765" s="122"/>
      <c r="AL765" s="122"/>
      <c r="AM765" s="122"/>
      <c r="AN765" s="122"/>
      <c r="AO765" s="122"/>
      <c r="AP765" s="122"/>
      <c r="AQ765" s="122"/>
      <c r="AR765" s="122"/>
      <c r="AS765" s="122"/>
      <c r="AT765" s="122"/>
      <c r="AU765" s="122"/>
      <c r="AV765" s="122"/>
      <c r="AW765" s="122"/>
      <c r="AX765" s="122"/>
      <c r="AY765" s="122"/>
      <c r="AZ765" s="122"/>
      <c r="BA765" s="122"/>
      <c r="BB765" s="122"/>
      <c r="BC765" s="122"/>
    </row>
    <row r="766" spans="12:55" ht="14.25" customHeight="1">
      <c r="L766" s="136"/>
      <c r="M766" s="136"/>
      <c r="N766" s="136"/>
      <c r="O766" s="136"/>
      <c r="P766" s="137"/>
      <c r="Q766" s="138"/>
      <c r="R766" s="138"/>
      <c r="S766" s="138"/>
      <c r="T766" s="138"/>
      <c r="U766" s="136"/>
      <c r="V766" s="136"/>
      <c r="W766" s="137"/>
      <c r="X766" s="137"/>
      <c r="Y766" s="136"/>
      <c r="Z766" s="136"/>
      <c r="AA766" s="137"/>
      <c r="AB766" s="137"/>
      <c r="AC766" s="137"/>
      <c r="AD766" s="137"/>
      <c r="AE766" s="136"/>
      <c r="AF766" s="136"/>
      <c r="AG766" s="137"/>
      <c r="AH766" s="137"/>
      <c r="AI766" s="136"/>
      <c r="AJ766" s="136"/>
      <c r="AK766" s="137"/>
      <c r="AL766" s="137"/>
      <c r="AM766" s="138"/>
      <c r="AN766" s="138"/>
      <c r="AO766" s="138"/>
      <c r="AP766" s="138"/>
      <c r="AQ766" s="7"/>
      <c r="AR766" s="7"/>
      <c r="AS766" s="7"/>
      <c r="AT766" s="136"/>
      <c r="AU766" s="136"/>
      <c r="AV766" s="136"/>
      <c r="AW766" s="136"/>
      <c r="AX766" s="137"/>
      <c r="AY766" s="137"/>
      <c r="AZ766" s="137"/>
      <c r="BA766" s="137"/>
      <c r="BB766" s="137"/>
      <c r="BC766" s="137"/>
    </row>
    <row r="767" spans="12:55" ht="14.25" customHeight="1">
      <c r="L767" s="136"/>
      <c r="M767" s="136"/>
      <c r="N767" s="136"/>
      <c r="O767" s="136"/>
      <c r="P767" s="137"/>
      <c r="Q767" s="138"/>
      <c r="R767" s="138"/>
      <c r="S767" s="138"/>
      <c r="T767" s="138"/>
      <c r="U767" s="136"/>
      <c r="V767" s="136"/>
      <c r="W767" s="137"/>
      <c r="X767" s="137"/>
      <c r="Y767" s="136"/>
      <c r="Z767" s="136"/>
      <c r="AA767" s="137"/>
      <c r="AB767" s="137"/>
      <c r="AC767" s="137"/>
      <c r="AD767" s="137"/>
      <c r="AE767" s="136"/>
      <c r="AF767" s="136"/>
      <c r="AG767" s="137"/>
      <c r="AH767" s="137"/>
      <c r="AI767" s="136"/>
      <c r="AJ767" s="136"/>
      <c r="AK767" s="137"/>
      <c r="AL767" s="137"/>
      <c r="AM767" s="138"/>
      <c r="AN767" s="138"/>
      <c r="AO767" s="138"/>
      <c r="AP767" s="138"/>
      <c r="AQ767" s="7"/>
      <c r="AR767" s="7"/>
      <c r="AS767" s="7"/>
      <c r="AT767" s="136"/>
      <c r="AU767" s="136"/>
      <c r="AV767" s="136"/>
      <c r="AW767" s="136"/>
      <c r="AX767" s="137"/>
      <c r="AY767" s="137"/>
      <c r="AZ767" s="137"/>
      <c r="BA767" s="137"/>
      <c r="BB767" s="137"/>
      <c r="BC767" s="137"/>
    </row>
    <row r="768" spans="12:55" ht="14.25" customHeight="1">
      <c r="L768" s="136"/>
      <c r="M768" s="136"/>
      <c r="N768" s="136"/>
      <c r="O768" s="136"/>
      <c r="P768" s="137"/>
      <c r="Q768" s="138"/>
      <c r="R768" s="138"/>
      <c r="S768" s="138"/>
      <c r="T768" s="138"/>
      <c r="U768" s="136"/>
      <c r="V768" s="136"/>
      <c r="W768" s="137"/>
      <c r="X768" s="137"/>
      <c r="Y768" s="136"/>
      <c r="Z768" s="136"/>
      <c r="AA768" s="137"/>
      <c r="AB768" s="137"/>
      <c r="AC768" s="137"/>
      <c r="AD768" s="137"/>
      <c r="AE768" s="136"/>
      <c r="AF768" s="136"/>
      <c r="AG768" s="137"/>
      <c r="AH768" s="137"/>
      <c r="AI768" s="136"/>
      <c r="AJ768" s="136"/>
      <c r="AK768" s="137"/>
      <c r="AL768" s="137"/>
      <c r="AM768" s="138"/>
      <c r="AN768" s="138"/>
      <c r="AO768" s="138"/>
      <c r="AP768" s="138"/>
      <c r="AQ768" s="7"/>
      <c r="AR768" s="7"/>
      <c r="AS768" s="7"/>
      <c r="AT768" s="99"/>
      <c r="AU768" s="99"/>
      <c r="AV768" s="99"/>
      <c r="AW768" s="99"/>
      <c r="AX768" s="100"/>
      <c r="AY768" s="100"/>
      <c r="AZ768" s="100"/>
      <c r="BA768" s="97"/>
      <c r="BB768" s="97"/>
      <c r="BC768" s="97"/>
    </row>
    <row r="769" spans="12:55" ht="14.25" customHeight="1">
      <c r="L769" s="136"/>
      <c r="M769" s="136"/>
      <c r="N769" s="136"/>
      <c r="O769" s="136"/>
      <c r="P769" s="137"/>
      <c r="Q769" s="138"/>
      <c r="R769" s="138"/>
      <c r="S769" s="138"/>
      <c r="T769" s="138"/>
      <c r="U769" s="49"/>
      <c r="V769" s="49"/>
      <c r="W769" s="49"/>
      <c r="X769" s="136"/>
      <c r="Y769" s="136"/>
      <c r="Z769" s="136"/>
      <c r="AA769" s="136"/>
      <c r="AB769" s="137"/>
      <c r="AC769" s="137"/>
      <c r="AD769" s="137"/>
      <c r="AE769" s="136"/>
      <c r="AF769" s="136"/>
      <c r="AG769" s="136"/>
      <c r="AH769" s="136"/>
      <c r="AI769" s="137"/>
      <c r="AJ769" s="137"/>
      <c r="AK769" s="137"/>
      <c r="AL769" s="49"/>
      <c r="AM769" s="138"/>
      <c r="AN769" s="138"/>
      <c r="AO769" s="138"/>
      <c r="AP769" s="138"/>
      <c r="AQ769" s="7"/>
      <c r="AR769" s="7"/>
      <c r="AS769" s="7"/>
      <c r="AT769" s="99"/>
      <c r="AU769" s="99"/>
      <c r="AV769" s="99"/>
      <c r="AW769" s="99"/>
      <c r="AX769" s="100"/>
      <c r="AY769" s="100"/>
      <c r="AZ769" s="100"/>
      <c r="BA769" s="97"/>
      <c r="BB769" s="97"/>
      <c r="BC769" s="97"/>
    </row>
    <row r="770" spans="12:55" ht="14.25" customHeight="1">
      <c r="L770" s="136"/>
      <c r="M770" s="136"/>
      <c r="N770" s="136"/>
      <c r="O770" s="136"/>
      <c r="P770" s="137"/>
      <c r="Q770" s="138"/>
      <c r="R770" s="138"/>
      <c r="S770" s="138"/>
      <c r="T770" s="138"/>
      <c r="U770" s="7"/>
      <c r="V770" s="7"/>
      <c r="W770" s="7"/>
      <c r="X770" s="136"/>
      <c r="Y770" s="136"/>
      <c r="Z770" s="136"/>
      <c r="AA770" s="136"/>
      <c r="AB770" s="137"/>
      <c r="AC770" s="137"/>
      <c r="AD770" s="137"/>
      <c r="AE770" s="136"/>
      <c r="AF770" s="136"/>
      <c r="AG770" s="136"/>
      <c r="AH770" s="136"/>
      <c r="AI770" s="137"/>
      <c r="AJ770" s="137"/>
      <c r="AK770" s="137"/>
      <c r="AL770" s="7"/>
      <c r="AM770" s="138"/>
      <c r="AN770" s="138"/>
      <c r="AO770" s="138"/>
      <c r="AP770" s="138"/>
      <c r="AQ770" s="7"/>
      <c r="AR770" s="7"/>
      <c r="AS770" s="7"/>
      <c r="AT770" s="99"/>
      <c r="AU770" s="99"/>
      <c r="AV770" s="99"/>
      <c r="AW770" s="99"/>
      <c r="AX770" s="100"/>
      <c r="AY770" s="100"/>
      <c r="AZ770" s="100"/>
      <c r="BA770" s="97"/>
      <c r="BB770" s="97"/>
      <c r="BC770" s="97"/>
    </row>
    <row r="771" spans="12:55" ht="14.25" customHeight="1">
      <c r="L771" s="136"/>
      <c r="M771" s="136"/>
      <c r="N771" s="136"/>
      <c r="O771" s="136"/>
      <c r="P771" s="137"/>
      <c r="Q771" s="138"/>
      <c r="R771" s="138"/>
      <c r="S771" s="138"/>
      <c r="T771" s="138"/>
      <c r="U771" s="7"/>
      <c r="V771" s="7"/>
      <c r="W771" s="7"/>
      <c r="X771" s="136"/>
      <c r="Y771" s="136"/>
      <c r="Z771" s="136"/>
      <c r="AA771" s="136"/>
      <c r="AB771" s="137"/>
      <c r="AC771" s="137"/>
      <c r="AD771" s="137"/>
      <c r="AE771" s="136"/>
      <c r="AF771" s="136"/>
      <c r="AG771" s="136"/>
      <c r="AH771" s="136"/>
      <c r="AI771" s="137"/>
      <c r="AJ771" s="137"/>
      <c r="AK771" s="137"/>
      <c r="AL771" s="7"/>
      <c r="AM771" s="138"/>
      <c r="AN771" s="138"/>
      <c r="AO771" s="138"/>
      <c r="AP771" s="138"/>
      <c r="AQ771" s="7"/>
      <c r="AR771" s="7"/>
      <c r="AS771" s="7"/>
      <c r="AT771" s="99"/>
      <c r="AU771" s="99"/>
      <c r="AV771" s="99"/>
      <c r="AW771" s="99"/>
      <c r="AX771" s="100"/>
      <c r="AY771" s="100"/>
      <c r="AZ771" s="100"/>
      <c r="BA771" s="97"/>
      <c r="BB771" s="97"/>
      <c r="BC771" s="97"/>
    </row>
    <row r="772" spans="12:55" ht="30.9" customHeight="1">
      <c r="L772" s="139"/>
      <c r="M772" s="139"/>
      <c r="N772" s="139"/>
      <c r="O772" s="140"/>
      <c r="P772" s="140"/>
      <c r="Q772" s="137"/>
      <c r="R772" s="137"/>
      <c r="S772" s="137"/>
      <c r="T772" s="137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  <c r="AH772" s="122"/>
      <c r="AI772" s="122"/>
      <c r="AJ772" s="122"/>
      <c r="AK772" s="122"/>
      <c r="AL772" s="122"/>
      <c r="AM772" s="122"/>
      <c r="AN772" s="122"/>
      <c r="AO772" s="122"/>
      <c r="AP772" s="122"/>
      <c r="AQ772" s="122"/>
      <c r="AR772" s="122"/>
      <c r="AS772" s="122"/>
      <c r="AT772" s="122"/>
      <c r="AU772" s="122"/>
      <c r="AV772" s="122"/>
      <c r="AW772" s="122"/>
      <c r="AX772" s="122"/>
      <c r="AY772" s="122"/>
      <c r="AZ772" s="122"/>
      <c r="BA772" s="122"/>
      <c r="BB772" s="122"/>
      <c r="BC772" s="122"/>
    </row>
    <row r="773" spans="12:55" ht="30.9" customHeight="1">
      <c r="L773" s="139"/>
      <c r="M773" s="139"/>
      <c r="N773" s="139"/>
      <c r="O773" s="140"/>
      <c r="P773" s="140"/>
      <c r="Q773" s="137"/>
      <c r="R773" s="137"/>
      <c r="S773" s="137"/>
      <c r="T773" s="137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  <c r="AH773" s="122"/>
      <c r="AI773" s="122"/>
      <c r="AJ773" s="122"/>
      <c r="AK773" s="122"/>
      <c r="AL773" s="122"/>
      <c r="AM773" s="122"/>
      <c r="AN773" s="122"/>
      <c r="AO773" s="122"/>
      <c r="AP773" s="122"/>
      <c r="AQ773" s="122"/>
      <c r="AR773" s="122"/>
      <c r="AS773" s="122"/>
      <c r="AT773" s="122"/>
      <c r="AU773" s="122"/>
      <c r="AV773" s="122"/>
      <c r="AW773" s="122"/>
      <c r="AX773" s="122"/>
      <c r="AY773" s="122"/>
      <c r="AZ773" s="122"/>
      <c r="BA773" s="122"/>
      <c r="BB773" s="122"/>
      <c r="BC773" s="122"/>
    </row>
    <row r="774" spans="12:55" ht="14.25" customHeight="1">
      <c r="L774" s="136"/>
      <c r="M774" s="136"/>
      <c r="N774" s="136"/>
      <c r="O774" s="136"/>
      <c r="P774" s="137"/>
      <c r="Q774" s="138"/>
      <c r="R774" s="138"/>
      <c r="S774" s="138"/>
      <c r="T774" s="138"/>
      <c r="U774" s="136"/>
      <c r="V774" s="136"/>
      <c r="W774" s="137"/>
      <c r="X774" s="137"/>
      <c r="Y774" s="136"/>
      <c r="Z774" s="136"/>
      <c r="AA774" s="137"/>
      <c r="AB774" s="137"/>
      <c r="AC774" s="137"/>
      <c r="AD774" s="137"/>
      <c r="AE774" s="136"/>
      <c r="AF774" s="136"/>
      <c r="AG774" s="137"/>
      <c r="AH774" s="137"/>
      <c r="AI774" s="136"/>
      <c r="AJ774" s="136"/>
      <c r="AK774" s="137"/>
      <c r="AL774" s="137"/>
      <c r="AM774" s="138"/>
      <c r="AN774" s="138"/>
      <c r="AO774" s="138"/>
      <c r="AP774" s="138"/>
      <c r="AQ774" s="7"/>
      <c r="AR774" s="7"/>
      <c r="AS774" s="7"/>
      <c r="AT774" s="136"/>
      <c r="AU774" s="136"/>
      <c r="AV774" s="136"/>
      <c r="AW774" s="136"/>
      <c r="AX774" s="137"/>
      <c r="AY774" s="137"/>
      <c r="AZ774" s="137"/>
      <c r="BA774" s="137"/>
      <c r="BB774" s="137"/>
      <c r="BC774" s="137"/>
    </row>
    <row r="775" spans="12:55" ht="14.25" customHeight="1">
      <c r="L775" s="136"/>
      <c r="M775" s="136"/>
      <c r="N775" s="136"/>
      <c r="O775" s="136"/>
      <c r="P775" s="137"/>
      <c r="Q775" s="138"/>
      <c r="R775" s="138"/>
      <c r="S775" s="138"/>
      <c r="T775" s="138"/>
      <c r="U775" s="136"/>
      <c r="V775" s="136"/>
      <c r="W775" s="137"/>
      <c r="X775" s="137"/>
      <c r="Y775" s="136"/>
      <c r="Z775" s="136"/>
      <c r="AA775" s="137"/>
      <c r="AB775" s="137"/>
      <c r="AC775" s="137"/>
      <c r="AD775" s="137"/>
      <c r="AE775" s="136"/>
      <c r="AF775" s="136"/>
      <c r="AG775" s="137"/>
      <c r="AH775" s="137"/>
      <c r="AI775" s="136"/>
      <c r="AJ775" s="136"/>
      <c r="AK775" s="137"/>
      <c r="AL775" s="137"/>
      <c r="AM775" s="138"/>
      <c r="AN775" s="138"/>
      <c r="AO775" s="138"/>
      <c r="AP775" s="138"/>
      <c r="AQ775" s="7"/>
      <c r="AR775" s="7"/>
      <c r="AS775" s="7"/>
      <c r="AT775" s="136"/>
      <c r="AU775" s="136"/>
      <c r="AV775" s="136"/>
      <c r="AW775" s="136"/>
      <c r="AX775" s="137"/>
      <c r="AY775" s="137"/>
      <c r="AZ775" s="137"/>
      <c r="BA775" s="137"/>
      <c r="BB775" s="137"/>
      <c r="BC775" s="137"/>
    </row>
    <row r="776" spans="12:55" ht="14.25" customHeight="1">
      <c r="L776" s="136"/>
      <c r="M776" s="136"/>
      <c r="N776" s="136"/>
      <c r="O776" s="136"/>
      <c r="P776" s="137"/>
      <c r="Q776" s="138"/>
      <c r="R776" s="138"/>
      <c r="S776" s="138"/>
      <c r="T776" s="138"/>
      <c r="U776" s="136"/>
      <c r="V776" s="136"/>
      <c r="W776" s="137"/>
      <c r="X776" s="137"/>
      <c r="Y776" s="136"/>
      <c r="Z776" s="136"/>
      <c r="AA776" s="137"/>
      <c r="AB776" s="137"/>
      <c r="AC776" s="137"/>
      <c r="AD776" s="137"/>
      <c r="AE776" s="136"/>
      <c r="AF776" s="136"/>
      <c r="AG776" s="137"/>
      <c r="AH776" s="137"/>
      <c r="AI776" s="136"/>
      <c r="AJ776" s="136"/>
      <c r="AK776" s="137"/>
      <c r="AL776" s="137"/>
      <c r="AM776" s="138"/>
      <c r="AN776" s="138"/>
      <c r="AO776" s="138"/>
      <c r="AP776" s="138"/>
      <c r="AQ776" s="7"/>
      <c r="AR776" s="7"/>
      <c r="AS776" s="7"/>
      <c r="AT776" s="99"/>
      <c r="AU776" s="99"/>
      <c r="AV776" s="99"/>
      <c r="AW776" s="99"/>
      <c r="AX776" s="100"/>
      <c r="AY776" s="100"/>
      <c r="AZ776" s="100"/>
      <c r="BA776" s="97"/>
      <c r="BB776" s="97"/>
      <c r="BC776" s="97"/>
    </row>
    <row r="777" spans="12:55" ht="14.25" customHeight="1">
      <c r="L777" s="136"/>
      <c r="M777" s="136"/>
      <c r="N777" s="136"/>
      <c r="O777" s="136"/>
      <c r="P777" s="137"/>
      <c r="Q777" s="138"/>
      <c r="R777" s="138"/>
      <c r="S777" s="138"/>
      <c r="T777" s="138"/>
      <c r="U777" s="49"/>
      <c r="V777" s="49"/>
      <c r="W777" s="49"/>
      <c r="X777" s="136"/>
      <c r="Y777" s="136"/>
      <c r="Z777" s="136"/>
      <c r="AA777" s="136"/>
      <c r="AB777" s="137"/>
      <c r="AC777" s="137"/>
      <c r="AD777" s="137"/>
      <c r="AE777" s="136"/>
      <c r="AF777" s="136"/>
      <c r="AG777" s="136"/>
      <c r="AH777" s="136"/>
      <c r="AI777" s="137"/>
      <c r="AJ777" s="137"/>
      <c r="AK777" s="137"/>
      <c r="AL777" s="49"/>
      <c r="AM777" s="138"/>
      <c r="AN777" s="138"/>
      <c r="AO777" s="138"/>
      <c r="AP777" s="138"/>
      <c r="AQ777" s="7"/>
      <c r="AR777" s="7"/>
      <c r="AS777" s="7"/>
      <c r="AT777" s="99"/>
      <c r="AU777" s="99"/>
      <c r="AV777" s="99"/>
      <c r="AW777" s="99"/>
      <c r="AX777" s="100"/>
      <c r="AY777" s="100"/>
      <c r="AZ777" s="100"/>
      <c r="BA777" s="97"/>
      <c r="BB777" s="97"/>
      <c r="BC777" s="97"/>
    </row>
    <row r="778" spans="12:55" ht="14.25" customHeight="1">
      <c r="L778" s="136"/>
      <c r="M778" s="136"/>
      <c r="N778" s="136"/>
      <c r="O778" s="136"/>
      <c r="P778" s="137"/>
      <c r="Q778" s="138"/>
      <c r="R778" s="138"/>
      <c r="S778" s="138"/>
      <c r="T778" s="138"/>
      <c r="U778" s="7"/>
      <c r="V778" s="7"/>
      <c r="W778" s="7"/>
      <c r="X778" s="136"/>
      <c r="Y778" s="136"/>
      <c r="Z778" s="136"/>
      <c r="AA778" s="136"/>
      <c r="AB778" s="137"/>
      <c r="AC778" s="137"/>
      <c r="AD778" s="137"/>
      <c r="AE778" s="136"/>
      <c r="AF778" s="136"/>
      <c r="AG778" s="136"/>
      <c r="AH778" s="136"/>
      <c r="AI778" s="137"/>
      <c r="AJ778" s="137"/>
      <c r="AK778" s="137"/>
      <c r="AL778" s="7"/>
      <c r="AM778" s="138"/>
      <c r="AN778" s="138"/>
      <c r="AO778" s="138"/>
      <c r="AP778" s="138"/>
      <c r="AQ778" s="7"/>
      <c r="AR778" s="7"/>
      <c r="AS778" s="7"/>
      <c r="AT778" s="99"/>
      <c r="AU778" s="99"/>
      <c r="AV778" s="99"/>
      <c r="AW778" s="99"/>
      <c r="AX778" s="100"/>
      <c r="AY778" s="100"/>
      <c r="AZ778" s="100"/>
      <c r="BA778" s="97"/>
      <c r="BB778" s="97"/>
      <c r="BC778" s="97"/>
    </row>
    <row r="779" spans="12:55" ht="14.25" customHeight="1">
      <c r="L779" s="136"/>
      <c r="M779" s="136"/>
      <c r="N779" s="136"/>
      <c r="O779" s="136"/>
      <c r="P779" s="137"/>
      <c r="Q779" s="138"/>
      <c r="R779" s="138"/>
      <c r="S779" s="138"/>
      <c r="T779" s="138"/>
      <c r="U779" s="7"/>
      <c r="V779" s="7"/>
      <c r="W779" s="7"/>
      <c r="X779" s="136"/>
      <c r="Y779" s="136"/>
      <c r="Z779" s="136"/>
      <c r="AA779" s="136"/>
      <c r="AB779" s="137"/>
      <c r="AC779" s="137"/>
      <c r="AD779" s="137"/>
      <c r="AE779" s="136"/>
      <c r="AF779" s="136"/>
      <c r="AG779" s="136"/>
      <c r="AH779" s="136"/>
      <c r="AI779" s="137"/>
      <c r="AJ779" s="137"/>
      <c r="AK779" s="137"/>
      <c r="AL779" s="7"/>
      <c r="AM779" s="138"/>
      <c r="AN779" s="138"/>
      <c r="AO779" s="138"/>
      <c r="AP779" s="138"/>
      <c r="AQ779" s="7"/>
      <c r="AR779" s="7"/>
      <c r="AS779" s="7"/>
      <c r="AT779" s="99"/>
      <c r="AU779" s="99"/>
      <c r="AV779" s="99"/>
      <c r="AW779" s="99"/>
      <c r="AX779" s="100"/>
      <c r="AY779" s="100"/>
      <c r="AZ779" s="100"/>
      <c r="BA779" s="97"/>
      <c r="BB779" s="97"/>
      <c r="BC779" s="97"/>
    </row>
    <row r="780" spans="12:55" ht="30.9" customHeight="1">
      <c r="L780" s="139"/>
      <c r="M780" s="139"/>
      <c r="N780" s="139"/>
      <c r="O780" s="140"/>
      <c r="P780" s="140"/>
      <c r="Q780" s="137"/>
      <c r="R780" s="137"/>
      <c r="S780" s="137"/>
      <c r="T780" s="137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  <c r="AH780" s="122"/>
      <c r="AI780" s="122"/>
      <c r="AJ780" s="122"/>
      <c r="AK780" s="122"/>
      <c r="AL780" s="122"/>
      <c r="AM780" s="122"/>
      <c r="AN780" s="122"/>
      <c r="AO780" s="122"/>
      <c r="AP780" s="122"/>
      <c r="AQ780" s="122"/>
      <c r="AR780" s="122"/>
      <c r="AS780" s="122"/>
      <c r="AT780" s="122"/>
      <c r="AU780" s="122"/>
      <c r="AV780" s="122"/>
      <c r="AW780" s="122"/>
      <c r="AX780" s="122"/>
      <c r="AY780" s="122"/>
      <c r="AZ780" s="122"/>
      <c r="BA780" s="122"/>
      <c r="BB780" s="122"/>
      <c r="BC780" s="122"/>
    </row>
    <row r="781" spans="12:55" ht="30.9" customHeight="1">
      <c r="L781" s="139"/>
      <c r="M781" s="139"/>
      <c r="N781" s="139"/>
      <c r="O781" s="140"/>
      <c r="P781" s="140"/>
      <c r="Q781" s="137"/>
      <c r="R781" s="137"/>
      <c r="S781" s="137"/>
      <c r="T781" s="137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  <c r="AH781" s="122"/>
      <c r="AI781" s="122"/>
      <c r="AJ781" s="122"/>
      <c r="AK781" s="122"/>
      <c r="AL781" s="122"/>
      <c r="AM781" s="122"/>
      <c r="AN781" s="122"/>
      <c r="AO781" s="122"/>
      <c r="AP781" s="122"/>
      <c r="AQ781" s="122"/>
      <c r="AR781" s="122"/>
      <c r="AS781" s="122"/>
      <c r="AT781" s="122"/>
      <c r="AU781" s="122"/>
      <c r="AV781" s="122"/>
      <c r="AW781" s="122"/>
      <c r="AX781" s="122"/>
      <c r="AY781" s="122"/>
      <c r="AZ781" s="122"/>
      <c r="BA781" s="122"/>
      <c r="BB781" s="122"/>
      <c r="BC781" s="122"/>
    </row>
    <row r="782" spans="12:55" ht="14.25" customHeight="1">
      <c r="L782" s="136"/>
      <c r="M782" s="136"/>
      <c r="N782" s="136"/>
      <c r="O782" s="136"/>
      <c r="P782" s="137"/>
      <c r="Q782" s="138"/>
      <c r="R782" s="138"/>
      <c r="S782" s="138"/>
      <c r="T782" s="138"/>
      <c r="U782" s="136"/>
      <c r="V782" s="136"/>
      <c r="W782" s="137"/>
      <c r="X782" s="137"/>
      <c r="Y782" s="136"/>
      <c r="Z782" s="136"/>
      <c r="AA782" s="137"/>
      <c r="AB782" s="137"/>
      <c r="AC782" s="137"/>
      <c r="AD782" s="137"/>
      <c r="AE782" s="136"/>
      <c r="AF782" s="136"/>
      <c r="AG782" s="137"/>
      <c r="AH782" s="137"/>
      <c r="AI782" s="136"/>
      <c r="AJ782" s="136"/>
      <c r="AK782" s="137"/>
      <c r="AL782" s="137"/>
      <c r="AM782" s="138"/>
      <c r="AN782" s="138"/>
      <c r="AO782" s="138"/>
      <c r="AP782" s="138"/>
      <c r="AQ782" s="7"/>
      <c r="AR782" s="7"/>
      <c r="AS782" s="7"/>
      <c r="AT782" s="136"/>
      <c r="AU782" s="136"/>
      <c r="AV782" s="136"/>
      <c r="AW782" s="136"/>
      <c r="AX782" s="137"/>
      <c r="AY782" s="137"/>
      <c r="AZ782" s="137"/>
      <c r="BA782" s="137"/>
      <c r="BB782" s="137"/>
      <c r="BC782" s="137"/>
    </row>
    <row r="783" spans="12:55" ht="14.25" customHeight="1">
      <c r="L783" s="136"/>
      <c r="M783" s="136"/>
      <c r="N783" s="136"/>
      <c r="O783" s="136"/>
      <c r="P783" s="137"/>
      <c r="Q783" s="138"/>
      <c r="R783" s="138"/>
      <c r="S783" s="138"/>
      <c r="T783" s="138"/>
      <c r="U783" s="136"/>
      <c r="V783" s="136"/>
      <c r="W783" s="137"/>
      <c r="X783" s="137"/>
      <c r="Y783" s="136"/>
      <c r="Z783" s="136"/>
      <c r="AA783" s="137"/>
      <c r="AB783" s="137"/>
      <c r="AC783" s="137"/>
      <c r="AD783" s="137"/>
      <c r="AE783" s="136"/>
      <c r="AF783" s="136"/>
      <c r="AG783" s="137"/>
      <c r="AH783" s="137"/>
      <c r="AI783" s="136"/>
      <c r="AJ783" s="136"/>
      <c r="AK783" s="137"/>
      <c r="AL783" s="137"/>
      <c r="AM783" s="138"/>
      <c r="AN783" s="138"/>
      <c r="AO783" s="138"/>
      <c r="AP783" s="138"/>
      <c r="AQ783" s="7"/>
      <c r="AR783" s="7"/>
      <c r="AS783" s="7"/>
      <c r="AT783" s="136"/>
      <c r="AU783" s="136"/>
      <c r="AV783" s="136"/>
      <c r="AW783" s="136"/>
      <c r="AX783" s="137"/>
      <c r="AY783" s="137"/>
      <c r="AZ783" s="137"/>
      <c r="BA783" s="137"/>
      <c r="BB783" s="137"/>
      <c r="BC783" s="137"/>
    </row>
    <row r="784" spans="12:55" ht="14.25" customHeight="1">
      <c r="L784" s="136"/>
      <c r="M784" s="136"/>
      <c r="N784" s="136"/>
      <c r="O784" s="136"/>
      <c r="P784" s="137"/>
      <c r="Q784" s="138"/>
      <c r="R784" s="138"/>
      <c r="S784" s="138"/>
      <c r="T784" s="138"/>
      <c r="U784" s="136"/>
      <c r="V784" s="136"/>
      <c r="W784" s="137"/>
      <c r="X784" s="137"/>
      <c r="Y784" s="136"/>
      <c r="Z784" s="136"/>
      <c r="AA784" s="137"/>
      <c r="AB784" s="137"/>
      <c r="AC784" s="137"/>
      <c r="AD784" s="137"/>
      <c r="AE784" s="136"/>
      <c r="AF784" s="136"/>
      <c r="AG784" s="137"/>
      <c r="AH784" s="137"/>
      <c r="AI784" s="136"/>
      <c r="AJ784" s="136"/>
      <c r="AK784" s="137"/>
      <c r="AL784" s="137"/>
      <c r="AM784" s="138"/>
      <c r="AN784" s="138"/>
      <c r="AO784" s="138"/>
      <c r="AP784" s="138"/>
      <c r="AQ784" s="7"/>
      <c r="AR784" s="7"/>
      <c r="AS784" s="7"/>
      <c r="AT784" s="99"/>
      <c r="AU784" s="99"/>
      <c r="AV784" s="99"/>
      <c r="AW784" s="99"/>
      <c r="AX784" s="100"/>
      <c r="AY784" s="100"/>
      <c r="AZ784" s="100"/>
      <c r="BA784" s="97"/>
      <c r="BB784" s="97"/>
      <c r="BC784" s="97"/>
    </row>
    <row r="785" spans="12:55" ht="14.25" customHeight="1">
      <c r="L785" s="136"/>
      <c r="M785" s="136"/>
      <c r="N785" s="136"/>
      <c r="O785" s="136"/>
      <c r="P785" s="137"/>
      <c r="Q785" s="138"/>
      <c r="R785" s="138"/>
      <c r="S785" s="138"/>
      <c r="T785" s="138"/>
      <c r="U785" s="49"/>
      <c r="V785" s="49"/>
      <c r="W785" s="49"/>
      <c r="X785" s="136"/>
      <c r="Y785" s="136"/>
      <c r="Z785" s="136"/>
      <c r="AA785" s="136"/>
      <c r="AB785" s="137"/>
      <c r="AC785" s="137"/>
      <c r="AD785" s="137"/>
      <c r="AE785" s="136"/>
      <c r="AF785" s="136"/>
      <c r="AG785" s="136"/>
      <c r="AH785" s="136"/>
      <c r="AI785" s="137"/>
      <c r="AJ785" s="137"/>
      <c r="AK785" s="137"/>
      <c r="AL785" s="49"/>
      <c r="AM785" s="138"/>
      <c r="AN785" s="138"/>
      <c r="AO785" s="138"/>
      <c r="AP785" s="138"/>
      <c r="AQ785" s="7"/>
      <c r="AR785" s="7"/>
      <c r="AS785" s="7"/>
      <c r="AT785" s="99"/>
      <c r="AU785" s="99"/>
      <c r="AV785" s="99"/>
      <c r="AW785" s="99"/>
      <c r="AX785" s="100"/>
      <c r="AY785" s="100"/>
      <c r="AZ785" s="100"/>
      <c r="BA785" s="97"/>
      <c r="BB785" s="97"/>
      <c r="BC785" s="97"/>
    </row>
    <row r="786" spans="12:55" ht="14.25" customHeight="1">
      <c r="L786" s="136"/>
      <c r="M786" s="136"/>
      <c r="N786" s="136"/>
      <c r="O786" s="136"/>
      <c r="P786" s="137"/>
      <c r="Q786" s="138"/>
      <c r="R786" s="138"/>
      <c r="S786" s="138"/>
      <c r="T786" s="138"/>
      <c r="U786" s="7"/>
      <c r="V786" s="7"/>
      <c r="W786" s="7"/>
      <c r="X786" s="136"/>
      <c r="Y786" s="136"/>
      <c r="Z786" s="136"/>
      <c r="AA786" s="136"/>
      <c r="AB786" s="137"/>
      <c r="AC786" s="137"/>
      <c r="AD786" s="137"/>
      <c r="AE786" s="136"/>
      <c r="AF786" s="136"/>
      <c r="AG786" s="136"/>
      <c r="AH786" s="136"/>
      <c r="AI786" s="137"/>
      <c r="AJ786" s="137"/>
      <c r="AK786" s="137"/>
      <c r="AL786" s="7"/>
      <c r="AM786" s="138"/>
      <c r="AN786" s="138"/>
      <c r="AO786" s="138"/>
      <c r="AP786" s="138"/>
      <c r="AQ786" s="7"/>
      <c r="AR786" s="7"/>
      <c r="AS786" s="7"/>
      <c r="AT786" s="99"/>
      <c r="AU786" s="99"/>
      <c r="AV786" s="99"/>
      <c r="AW786" s="99"/>
      <c r="AX786" s="100"/>
      <c r="AY786" s="100"/>
      <c r="AZ786" s="100"/>
      <c r="BA786" s="97"/>
      <c r="BB786" s="97"/>
      <c r="BC786" s="97"/>
    </row>
    <row r="787" spans="12:55" ht="14.25" customHeight="1">
      <c r="L787" s="136"/>
      <c r="M787" s="136"/>
      <c r="N787" s="136"/>
      <c r="O787" s="136"/>
      <c r="P787" s="137"/>
      <c r="Q787" s="138"/>
      <c r="R787" s="138"/>
      <c r="S787" s="138"/>
      <c r="T787" s="138"/>
      <c r="U787" s="7"/>
      <c r="V787" s="7"/>
      <c r="W787" s="7"/>
      <c r="X787" s="136"/>
      <c r="Y787" s="136"/>
      <c r="Z787" s="136"/>
      <c r="AA787" s="136"/>
      <c r="AB787" s="137"/>
      <c r="AC787" s="137"/>
      <c r="AD787" s="137"/>
      <c r="AE787" s="136"/>
      <c r="AF787" s="136"/>
      <c r="AG787" s="136"/>
      <c r="AH787" s="136"/>
      <c r="AI787" s="137"/>
      <c r="AJ787" s="137"/>
      <c r="AK787" s="137"/>
      <c r="AL787" s="7"/>
      <c r="AM787" s="138"/>
      <c r="AN787" s="138"/>
      <c r="AO787" s="138"/>
      <c r="AP787" s="138"/>
      <c r="AQ787" s="7"/>
      <c r="AR787" s="7"/>
      <c r="AS787" s="7"/>
      <c r="AT787" s="99"/>
      <c r="AU787" s="99"/>
      <c r="AV787" s="99"/>
      <c r="AW787" s="99"/>
      <c r="AX787" s="100"/>
      <c r="AY787" s="100"/>
      <c r="AZ787" s="100"/>
      <c r="BA787" s="97"/>
      <c r="BB787" s="97"/>
      <c r="BC787" s="97"/>
    </row>
    <row r="788" spans="12:55" ht="30.9" customHeight="1">
      <c r="L788" s="139"/>
      <c r="M788" s="139"/>
      <c r="N788" s="139"/>
      <c r="O788" s="140"/>
      <c r="P788" s="140"/>
      <c r="Q788" s="137"/>
      <c r="R788" s="137"/>
      <c r="S788" s="137"/>
      <c r="T788" s="137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  <c r="AH788" s="122"/>
      <c r="AI788" s="122"/>
      <c r="AJ788" s="122"/>
      <c r="AK788" s="122"/>
      <c r="AL788" s="122"/>
      <c r="AM788" s="122"/>
      <c r="AN788" s="122"/>
      <c r="AO788" s="122"/>
      <c r="AP788" s="122"/>
      <c r="AQ788" s="122"/>
      <c r="AR788" s="122"/>
      <c r="AS788" s="122"/>
      <c r="AT788" s="122"/>
      <c r="AU788" s="122"/>
      <c r="AV788" s="122"/>
      <c r="AW788" s="122"/>
      <c r="AX788" s="122"/>
      <c r="AY788" s="122"/>
      <c r="AZ788" s="122"/>
      <c r="BA788" s="122"/>
      <c r="BB788" s="122"/>
      <c r="BC788" s="122"/>
    </row>
    <row r="789" spans="12:55" ht="30.9" customHeight="1">
      <c r="L789" s="139"/>
      <c r="M789" s="139"/>
      <c r="N789" s="139"/>
      <c r="O789" s="140"/>
      <c r="P789" s="140"/>
      <c r="Q789" s="137"/>
      <c r="R789" s="137"/>
      <c r="S789" s="137"/>
      <c r="T789" s="137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  <c r="AH789" s="122"/>
      <c r="AI789" s="122"/>
      <c r="AJ789" s="122"/>
      <c r="AK789" s="122"/>
      <c r="AL789" s="122"/>
      <c r="AM789" s="122"/>
      <c r="AN789" s="122"/>
      <c r="AO789" s="122"/>
      <c r="AP789" s="122"/>
      <c r="AQ789" s="122"/>
      <c r="AR789" s="122"/>
      <c r="AS789" s="122"/>
      <c r="AT789" s="122"/>
      <c r="AU789" s="122"/>
      <c r="AV789" s="122"/>
      <c r="AW789" s="122"/>
      <c r="AX789" s="122"/>
      <c r="AY789" s="122"/>
      <c r="AZ789" s="122"/>
      <c r="BA789" s="122"/>
      <c r="BB789" s="122"/>
      <c r="BC789" s="122"/>
    </row>
    <row r="790" spans="12:55" ht="14.25" customHeight="1">
      <c r="L790" s="136"/>
      <c r="M790" s="136"/>
      <c r="N790" s="136"/>
      <c r="O790" s="136"/>
      <c r="P790" s="137"/>
      <c r="Q790" s="138"/>
      <c r="R790" s="138"/>
      <c r="S790" s="138"/>
      <c r="T790" s="138"/>
      <c r="U790" s="136"/>
      <c r="V790" s="136"/>
      <c r="W790" s="137"/>
      <c r="X790" s="137"/>
      <c r="Y790" s="136"/>
      <c r="Z790" s="136"/>
      <c r="AA790" s="137"/>
      <c r="AB790" s="137"/>
      <c r="AC790" s="137"/>
      <c r="AD790" s="137"/>
      <c r="AE790" s="136"/>
      <c r="AF790" s="136"/>
      <c r="AG790" s="137"/>
      <c r="AH790" s="137"/>
      <c r="AI790" s="136"/>
      <c r="AJ790" s="136"/>
      <c r="AK790" s="137"/>
      <c r="AL790" s="137"/>
      <c r="AM790" s="138"/>
      <c r="AN790" s="138"/>
      <c r="AO790" s="138"/>
      <c r="AP790" s="138"/>
      <c r="AQ790" s="7"/>
      <c r="AR790" s="7"/>
      <c r="AS790" s="7"/>
      <c r="AT790" s="136"/>
      <c r="AU790" s="136"/>
      <c r="AV790" s="136"/>
      <c r="AW790" s="136"/>
      <c r="AX790" s="137"/>
      <c r="AY790" s="137"/>
      <c r="AZ790" s="137"/>
      <c r="BA790" s="137"/>
      <c r="BB790" s="137"/>
      <c r="BC790" s="137"/>
    </row>
    <row r="791" spans="12:55" ht="14.25" customHeight="1">
      <c r="L791" s="136"/>
      <c r="M791" s="136"/>
      <c r="N791" s="136"/>
      <c r="O791" s="136"/>
      <c r="P791" s="137"/>
      <c r="Q791" s="138"/>
      <c r="R791" s="138"/>
      <c r="S791" s="138"/>
      <c r="T791" s="138"/>
      <c r="U791" s="136"/>
      <c r="V791" s="136"/>
      <c r="W791" s="137"/>
      <c r="X791" s="137"/>
      <c r="Y791" s="136"/>
      <c r="Z791" s="136"/>
      <c r="AA791" s="137"/>
      <c r="AB791" s="137"/>
      <c r="AC791" s="137"/>
      <c r="AD791" s="137"/>
      <c r="AE791" s="136"/>
      <c r="AF791" s="136"/>
      <c r="AG791" s="137"/>
      <c r="AH791" s="137"/>
      <c r="AI791" s="136"/>
      <c r="AJ791" s="136"/>
      <c r="AK791" s="137"/>
      <c r="AL791" s="137"/>
      <c r="AM791" s="138"/>
      <c r="AN791" s="138"/>
      <c r="AO791" s="138"/>
      <c r="AP791" s="138"/>
      <c r="AQ791" s="7"/>
      <c r="AR791" s="7"/>
      <c r="AS791" s="7"/>
      <c r="AT791" s="136"/>
      <c r="AU791" s="136"/>
      <c r="AV791" s="136"/>
      <c r="AW791" s="136"/>
      <c r="AX791" s="137"/>
      <c r="AY791" s="137"/>
      <c r="AZ791" s="137"/>
      <c r="BA791" s="137"/>
      <c r="BB791" s="137"/>
      <c r="BC791" s="137"/>
    </row>
    <row r="792" spans="12:55" ht="14.25" customHeight="1">
      <c r="L792" s="136"/>
      <c r="M792" s="136"/>
      <c r="N792" s="136"/>
      <c r="O792" s="136"/>
      <c r="P792" s="137"/>
      <c r="Q792" s="138"/>
      <c r="R792" s="138"/>
      <c r="S792" s="138"/>
      <c r="T792" s="138"/>
      <c r="U792" s="136"/>
      <c r="V792" s="136"/>
      <c r="W792" s="137"/>
      <c r="X792" s="137"/>
      <c r="Y792" s="136"/>
      <c r="Z792" s="136"/>
      <c r="AA792" s="137"/>
      <c r="AB792" s="137"/>
      <c r="AC792" s="137"/>
      <c r="AD792" s="137"/>
      <c r="AE792" s="136"/>
      <c r="AF792" s="136"/>
      <c r="AG792" s="137"/>
      <c r="AH792" s="137"/>
      <c r="AI792" s="136"/>
      <c r="AJ792" s="136"/>
      <c r="AK792" s="137"/>
      <c r="AL792" s="137"/>
      <c r="AM792" s="138"/>
      <c r="AN792" s="138"/>
      <c r="AO792" s="138"/>
      <c r="AP792" s="138"/>
      <c r="AQ792" s="7"/>
      <c r="AR792" s="7"/>
      <c r="AS792" s="7"/>
      <c r="AT792" s="99"/>
      <c r="AU792" s="99"/>
      <c r="AV792" s="99"/>
      <c r="AW792" s="99"/>
      <c r="AX792" s="100"/>
      <c r="AY792" s="100"/>
      <c r="AZ792" s="100"/>
      <c r="BA792" s="97"/>
      <c r="BB792" s="97"/>
      <c r="BC792" s="97"/>
    </row>
    <row r="793" spans="12:55" ht="14.25" customHeight="1">
      <c r="L793" s="136"/>
      <c r="M793" s="136"/>
      <c r="N793" s="136"/>
      <c r="O793" s="136"/>
      <c r="P793" s="137"/>
      <c r="Q793" s="138"/>
      <c r="R793" s="138"/>
      <c r="S793" s="138"/>
      <c r="T793" s="138"/>
      <c r="U793" s="49"/>
      <c r="V793" s="49"/>
      <c r="W793" s="49"/>
      <c r="X793" s="136"/>
      <c r="Y793" s="136"/>
      <c r="Z793" s="136"/>
      <c r="AA793" s="136"/>
      <c r="AB793" s="137"/>
      <c r="AC793" s="137"/>
      <c r="AD793" s="137"/>
      <c r="AE793" s="136"/>
      <c r="AF793" s="136"/>
      <c r="AG793" s="136"/>
      <c r="AH793" s="136"/>
      <c r="AI793" s="137"/>
      <c r="AJ793" s="137"/>
      <c r="AK793" s="137"/>
      <c r="AL793" s="49"/>
      <c r="AM793" s="138"/>
      <c r="AN793" s="138"/>
      <c r="AO793" s="138"/>
      <c r="AP793" s="138"/>
      <c r="AQ793" s="7"/>
      <c r="AR793" s="7"/>
      <c r="AS793" s="7"/>
      <c r="AT793" s="99"/>
      <c r="AU793" s="99"/>
      <c r="AV793" s="99"/>
      <c r="AW793" s="99"/>
      <c r="AX793" s="100"/>
      <c r="AY793" s="100"/>
      <c r="AZ793" s="100"/>
      <c r="BA793" s="97"/>
      <c r="BB793" s="97"/>
      <c r="BC793" s="97"/>
    </row>
    <row r="794" spans="12:55" ht="14.25" customHeight="1">
      <c r="L794" s="136"/>
      <c r="M794" s="136"/>
      <c r="N794" s="136"/>
      <c r="O794" s="136"/>
      <c r="P794" s="137"/>
      <c r="Q794" s="138"/>
      <c r="R794" s="138"/>
      <c r="S794" s="138"/>
      <c r="T794" s="138"/>
      <c r="U794" s="7"/>
      <c r="V794" s="7"/>
      <c r="W794" s="7"/>
      <c r="X794" s="136"/>
      <c r="Y794" s="136"/>
      <c r="Z794" s="136"/>
      <c r="AA794" s="136"/>
      <c r="AB794" s="137"/>
      <c r="AC794" s="137"/>
      <c r="AD794" s="137"/>
      <c r="AE794" s="136"/>
      <c r="AF794" s="136"/>
      <c r="AG794" s="136"/>
      <c r="AH794" s="136"/>
      <c r="AI794" s="137"/>
      <c r="AJ794" s="137"/>
      <c r="AK794" s="137"/>
      <c r="AL794" s="7"/>
      <c r="AM794" s="138"/>
      <c r="AN794" s="138"/>
      <c r="AO794" s="138"/>
      <c r="AP794" s="138"/>
      <c r="AQ794" s="7"/>
      <c r="AR794" s="7"/>
      <c r="AS794" s="7"/>
      <c r="AT794" s="99"/>
      <c r="AU794" s="99"/>
      <c r="AV794" s="99"/>
      <c r="AW794" s="99"/>
      <c r="AX794" s="100"/>
      <c r="AY794" s="100"/>
      <c r="AZ794" s="100"/>
      <c r="BA794" s="97"/>
      <c r="BB794" s="97"/>
      <c r="BC794" s="97"/>
    </row>
    <row r="795" spans="12:55" ht="14.25" customHeight="1">
      <c r="L795" s="136"/>
      <c r="M795" s="136"/>
      <c r="N795" s="136"/>
      <c r="O795" s="136"/>
      <c r="P795" s="137"/>
      <c r="Q795" s="138"/>
      <c r="R795" s="138"/>
      <c r="S795" s="138"/>
      <c r="T795" s="138"/>
      <c r="U795" s="7"/>
      <c r="V795" s="7"/>
      <c r="W795" s="7"/>
      <c r="X795" s="136"/>
      <c r="Y795" s="136"/>
      <c r="Z795" s="136"/>
      <c r="AA795" s="136"/>
      <c r="AB795" s="137"/>
      <c r="AC795" s="137"/>
      <c r="AD795" s="137"/>
      <c r="AE795" s="136"/>
      <c r="AF795" s="136"/>
      <c r="AG795" s="136"/>
      <c r="AH795" s="136"/>
      <c r="AI795" s="137"/>
      <c r="AJ795" s="137"/>
      <c r="AK795" s="137"/>
      <c r="AL795" s="7"/>
      <c r="AM795" s="138"/>
      <c r="AN795" s="138"/>
      <c r="AO795" s="138"/>
      <c r="AP795" s="138"/>
      <c r="AQ795" s="7"/>
      <c r="AR795" s="7"/>
      <c r="AS795" s="7"/>
      <c r="AT795" s="99"/>
      <c r="AU795" s="99"/>
      <c r="AV795" s="99"/>
      <c r="AW795" s="99"/>
      <c r="AX795" s="100"/>
      <c r="AY795" s="100"/>
      <c r="AZ795" s="100"/>
      <c r="BA795" s="97"/>
      <c r="BB795" s="97"/>
      <c r="BC795" s="97"/>
    </row>
    <row r="796" spans="12:55" ht="30.9" customHeight="1">
      <c r="L796" s="139"/>
      <c r="M796" s="139"/>
      <c r="N796" s="139"/>
      <c r="O796" s="140"/>
      <c r="P796" s="140"/>
      <c r="Q796" s="137"/>
      <c r="R796" s="137"/>
      <c r="S796" s="137"/>
      <c r="T796" s="137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  <c r="AH796" s="122"/>
      <c r="AI796" s="122"/>
      <c r="AJ796" s="122"/>
      <c r="AK796" s="122"/>
      <c r="AL796" s="122"/>
      <c r="AM796" s="122"/>
      <c r="AN796" s="122"/>
      <c r="AO796" s="122"/>
      <c r="AP796" s="122"/>
      <c r="AQ796" s="122"/>
      <c r="AR796" s="122"/>
      <c r="AS796" s="122"/>
      <c r="AT796" s="122"/>
      <c r="AU796" s="122"/>
      <c r="AV796" s="122"/>
      <c r="AW796" s="122"/>
      <c r="AX796" s="122"/>
      <c r="AY796" s="122"/>
      <c r="AZ796" s="122"/>
      <c r="BA796" s="122"/>
      <c r="BB796" s="122"/>
      <c r="BC796" s="122"/>
    </row>
    <row r="797" spans="12:55" ht="30.9" customHeight="1">
      <c r="L797" s="139"/>
      <c r="M797" s="139"/>
      <c r="N797" s="139"/>
      <c r="O797" s="140"/>
      <c r="P797" s="140"/>
      <c r="Q797" s="137"/>
      <c r="R797" s="137"/>
      <c r="S797" s="137"/>
      <c r="T797" s="137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  <c r="AH797" s="122"/>
      <c r="AI797" s="122"/>
      <c r="AJ797" s="122"/>
      <c r="AK797" s="122"/>
      <c r="AL797" s="122"/>
      <c r="AM797" s="122"/>
      <c r="AN797" s="122"/>
      <c r="AO797" s="122"/>
      <c r="AP797" s="122"/>
      <c r="AQ797" s="122"/>
      <c r="AR797" s="122"/>
      <c r="AS797" s="122"/>
      <c r="AT797" s="122"/>
      <c r="AU797" s="122"/>
      <c r="AV797" s="122"/>
      <c r="AW797" s="122"/>
      <c r="AX797" s="122"/>
      <c r="AY797" s="122"/>
      <c r="AZ797" s="122"/>
      <c r="BA797" s="122"/>
      <c r="BB797" s="122"/>
      <c r="BC797" s="122"/>
    </row>
  </sheetData>
  <mergeCells count="3134">
    <mergeCell ref="B4:C4"/>
    <mergeCell ref="D4:E4"/>
    <mergeCell ref="D2:E2"/>
    <mergeCell ref="B2:C2"/>
    <mergeCell ref="L796:N797"/>
    <mergeCell ref="O796:P797"/>
    <mergeCell ref="Q796:T797"/>
    <mergeCell ref="U796:BC797"/>
    <mergeCell ref="X793:AA795"/>
    <mergeCell ref="AB793:AD795"/>
    <mergeCell ref="AE793:AH795"/>
    <mergeCell ref="AI793:AK795"/>
    <mergeCell ref="AM794:AP795"/>
    <mergeCell ref="AT794:AW795"/>
    <mergeCell ref="BA790:BC791"/>
    <mergeCell ref="AM792:AP793"/>
    <mergeCell ref="AT792:AW793"/>
    <mergeCell ref="AX792:AZ793"/>
    <mergeCell ref="BA792:BC793"/>
    <mergeCell ref="AI790:AJ792"/>
    <mergeCell ref="AK790:AL792"/>
    <mergeCell ref="AM790:AP791"/>
    <mergeCell ref="AT790:AW791"/>
    <mergeCell ref="AX790:AZ791"/>
    <mergeCell ref="W790:X792"/>
    <mergeCell ref="Y790:Z792"/>
    <mergeCell ref="AA790:AB792"/>
    <mergeCell ref="AC790:AD792"/>
    <mergeCell ref="AE790:AF792"/>
    <mergeCell ref="AG790:AH792"/>
    <mergeCell ref="L790:M795"/>
    <mergeCell ref="N790:O795"/>
    <mergeCell ref="P790:P795"/>
    <mergeCell ref="Q790:T792"/>
    <mergeCell ref="U790:V792"/>
    <mergeCell ref="Q793:T795"/>
    <mergeCell ref="AX786:AZ787"/>
    <mergeCell ref="BA786:BC787"/>
    <mergeCell ref="L788:N789"/>
    <mergeCell ref="O788:P789"/>
    <mergeCell ref="Q788:T789"/>
    <mergeCell ref="U788:BC789"/>
    <mergeCell ref="X785:AA787"/>
    <mergeCell ref="AB785:AD787"/>
    <mergeCell ref="AE785:AH787"/>
    <mergeCell ref="AI785:AK787"/>
    <mergeCell ref="AM786:AP787"/>
    <mergeCell ref="AT786:AW787"/>
    <mergeCell ref="L782:M787"/>
    <mergeCell ref="N782:O787"/>
    <mergeCell ref="P782:P787"/>
    <mergeCell ref="Q782:T784"/>
    <mergeCell ref="U782:V784"/>
    <mergeCell ref="Q785:T787"/>
    <mergeCell ref="AX794:AZ795"/>
    <mergeCell ref="BA794:BC795"/>
    <mergeCell ref="BA782:BC783"/>
    <mergeCell ref="AM784:AP785"/>
    <mergeCell ref="AT784:AW785"/>
    <mergeCell ref="AX784:AZ785"/>
    <mergeCell ref="BA784:BC785"/>
    <mergeCell ref="AI782:AJ784"/>
    <mergeCell ref="AK782:AL784"/>
    <mergeCell ref="AM782:AP783"/>
    <mergeCell ref="AT782:AW783"/>
    <mergeCell ref="AX782:AZ783"/>
    <mergeCell ref="W782:X784"/>
    <mergeCell ref="Y782:Z784"/>
    <mergeCell ref="AA782:AB784"/>
    <mergeCell ref="AC782:AD784"/>
    <mergeCell ref="AE782:AF784"/>
    <mergeCell ref="AG782:AH784"/>
    <mergeCell ref="L780:N781"/>
    <mergeCell ref="O780:P781"/>
    <mergeCell ref="Q780:T781"/>
    <mergeCell ref="U780:BC781"/>
    <mergeCell ref="X777:AA779"/>
    <mergeCell ref="AB777:AD779"/>
    <mergeCell ref="AE777:AH779"/>
    <mergeCell ref="AI777:AK779"/>
    <mergeCell ref="AM778:AP779"/>
    <mergeCell ref="AT778:AW779"/>
    <mergeCell ref="L774:M779"/>
    <mergeCell ref="N774:O779"/>
    <mergeCell ref="P774:P779"/>
    <mergeCell ref="Q774:T776"/>
    <mergeCell ref="U774:V776"/>
    <mergeCell ref="Q777:T779"/>
    <mergeCell ref="AX778:AZ779"/>
    <mergeCell ref="BA778:BC779"/>
    <mergeCell ref="BA774:BC775"/>
    <mergeCell ref="AM776:AP777"/>
    <mergeCell ref="AT776:AW777"/>
    <mergeCell ref="AX776:AZ777"/>
    <mergeCell ref="BA776:BC777"/>
    <mergeCell ref="AI774:AJ776"/>
    <mergeCell ref="AK774:AL776"/>
    <mergeCell ref="AM774:AP775"/>
    <mergeCell ref="AT774:AW775"/>
    <mergeCell ref="AX774:AZ775"/>
    <mergeCell ref="W774:X776"/>
    <mergeCell ref="Y774:Z776"/>
    <mergeCell ref="AA774:AB776"/>
    <mergeCell ref="AC774:AD776"/>
    <mergeCell ref="AE774:AF776"/>
    <mergeCell ref="AG774:AH776"/>
    <mergeCell ref="AX770:AZ771"/>
    <mergeCell ref="BA770:BC771"/>
    <mergeCell ref="L772:N773"/>
    <mergeCell ref="O772:P773"/>
    <mergeCell ref="Q772:T773"/>
    <mergeCell ref="U772:BC773"/>
    <mergeCell ref="X769:AA771"/>
    <mergeCell ref="AB769:AD771"/>
    <mergeCell ref="AE769:AH771"/>
    <mergeCell ref="AI769:AK771"/>
    <mergeCell ref="AM770:AP771"/>
    <mergeCell ref="AT770:AW771"/>
    <mergeCell ref="L766:M771"/>
    <mergeCell ref="N766:O771"/>
    <mergeCell ref="P766:P771"/>
    <mergeCell ref="Q766:T768"/>
    <mergeCell ref="U766:V768"/>
    <mergeCell ref="Q769:T771"/>
    <mergeCell ref="BA766:BC767"/>
    <mergeCell ref="AM768:AP769"/>
    <mergeCell ref="AT768:AW769"/>
    <mergeCell ref="AX768:AZ769"/>
    <mergeCell ref="BA768:BC769"/>
    <mergeCell ref="AI766:AJ768"/>
    <mergeCell ref="AK766:AL768"/>
    <mergeCell ref="AM766:AP767"/>
    <mergeCell ref="AT766:AW767"/>
    <mergeCell ref="AX766:AZ767"/>
    <mergeCell ref="W766:X768"/>
    <mergeCell ref="Y766:Z768"/>
    <mergeCell ref="AA766:AB768"/>
    <mergeCell ref="AC766:AD768"/>
    <mergeCell ref="AE766:AF768"/>
    <mergeCell ref="AG766:AH768"/>
    <mergeCell ref="L764:N765"/>
    <mergeCell ref="O764:P765"/>
    <mergeCell ref="Q764:T765"/>
    <mergeCell ref="U764:BC765"/>
    <mergeCell ref="X761:AA763"/>
    <mergeCell ref="AB761:AD763"/>
    <mergeCell ref="AE761:AH763"/>
    <mergeCell ref="AI761:AK763"/>
    <mergeCell ref="AM762:AP763"/>
    <mergeCell ref="AT762:AW763"/>
    <mergeCell ref="BA758:BC759"/>
    <mergeCell ref="AM760:AP761"/>
    <mergeCell ref="AT760:AW761"/>
    <mergeCell ref="AX760:AZ761"/>
    <mergeCell ref="BA760:BC761"/>
    <mergeCell ref="AI758:AJ760"/>
    <mergeCell ref="AK758:AL760"/>
    <mergeCell ref="AM758:AP759"/>
    <mergeCell ref="AT758:AW759"/>
    <mergeCell ref="AX758:AZ759"/>
    <mergeCell ref="W758:X760"/>
    <mergeCell ref="Y758:Z760"/>
    <mergeCell ref="AA758:AB760"/>
    <mergeCell ref="AC758:AD760"/>
    <mergeCell ref="AE758:AF760"/>
    <mergeCell ref="AG758:AH760"/>
    <mergeCell ref="L758:M763"/>
    <mergeCell ref="N758:O763"/>
    <mergeCell ref="P758:P763"/>
    <mergeCell ref="Q758:T760"/>
    <mergeCell ref="U758:V760"/>
    <mergeCell ref="Q761:T763"/>
    <mergeCell ref="AX762:AZ763"/>
    <mergeCell ref="BA762:BC763"/>
    <mergeCell ref="AX754:AZ755"/>
    <mergeCell ref="BA754:BC755"/>
    <mergeCell ref="L756:N757"/>
    <mergeCell ref="O756:P757"/>
    <mergeCell ref="Q756:T757"/>
    <mergeCell ref="U756:BC757"/>
    <mergeCell ref="X753:AA755"/>
    <mergeCell ref="AB753:AD755"/>
    <mergeCell ref="AE753:AH755"/>
    <mergeCell ref="AI753:AK755"/>
    <mergeCell ref="AM754:AP755"/>
    <mergeCell ref="AT754:AW755"/>
    <mergeCell ref="L750:M755"/>
    <mergeCell ref="N750:O755"/>
    <mergeCell ref="P750:P755"/>
    <mergeCell ref="Q750:T752"/>
    <mergeCell ref="U750:V752"/>
    <mergeCell ref="Q753:T755"/>
    <mergeCell ref="BA750:BC751"/>
    <mergeCell ref="AM752:AP753"/>
    <mergeCell ref="AT752:AW753"/>
    <mergeCell ref="AX752:AZ753"/>
    <mergeCell ref="BA752:BC753"/>
    <mergeCell ref="AI750:AJ752"/>
    <mergeCell ref="AK750:AL752"/>
    <mergeCell ref="AM750:AP751"/>
    <mergeCell ref="AT750:AW751"/>
    <mergeCell ref="AX750:AZ751"/>
    <mergeCell ref="W750:X752"/>
    <mergeCell ref="Y750:Z752"/>
    <mergeCell ref="AA750:AB752"/>
    <mergeCell ref="AC750:AD752"/>
    <mergeCell ref="AE750:AF752"/>
    <mergeCell ref="AG750:AH752"/>
    <mergeCell ref="L748:N749"/>
    <mergeCell ref="O748:P749"/>
    <mergeCell ref="Q748:T749"/>
    <mergeCell ref="U748:BC749"/>
    <mergeCell ref="X745:AA747"/>
    <mergeCell ref="AB745:AD747"/>
    <mergeCell ref="AE745:AH747"/>
    <mergeCell ref="AI745:AK747"/>
    <mergeCell ref="AM746:AP747"/>
    <mergeCell ref="AT746:AW747"/>
    <mergeCell ref="L742:M747"/>
    <mergeCell ref="N742:O747"/>
    <mergeCell ref="P742:P747"/>
    <mergeCell ref="Q742:T744"/>
    <mergeCell ref="U742:V744"/>
    <mergeCell ref="Q745:T747"/>
    <mergeCell ref="AX746:AZ747"/>
    <mergeCell ref="BA746:BC747"/>
    <mergeCell ref="BA742:BC743"/>
    <mergeCell ref="AM744:AP745"/>
    <mergeCell ref="AT744:AW745"/>
    <mergeCell ref="AX744:AZ745"/>
    <mergeCell ref="BA744:BC745"/>
    <mergeCell ref="AI742:AJ744"/>
    <mergeCell ref="AK742:AL744"/>
    <mergeCell ref="AM742:AP743"/>
    <mergeCell ref="AT742:AW743"/>
    <mergeCell ref="AX742:AZ743"/>
    <mergeCell ref="W742:X744"/>
    <mergeCell ref="Y742:Z744"/>
    <mergeCell ref="AA742:AB744"/>
    <mergeCell ref="AC742:AD744"/>
    <mergeCell ref="AE742:AF744"/>
    <mergeCell ref="AG742:AH744"/>
    <mergeCell ref="AX738:AZ739"/>
    <mergeCell ref="BA738:BC739"/>
    <mergeCell ref="L740:N741"/>
    <mergeCell ref="O740:P741"/>
    <mergeCell ref="Q740:T741"/>
    <mergeCell ref="U740:BC741"/>
    <mergeCell ref="X737:AA739"/>
    <mergeCell ref="AB737:AD739"/>
    <mergeCell ref="AE737:AH739"/>
    <mergeCell ref="AI737:AK739"/>
    <mergeCell ref="AM738:AP739"/>
    <mergeCell ref="AT738:AW739"/>
    <mergeCell ref="L734:M739"/>
    <mergeCell ref="N734:O739"/>
    <mergeCell ref="P734:P739"/>
    <mergeCell ref="Q734:T736"/>
    <mergeCell ref="U734:V736"/>
    <mergeCell ref="Q737:T739"/>
    <mergeCell ref="BA734:BC735"/>
    <mergeCell ref="AM736:AP737"/>
    <mergeCell ref="AT736:AW737"/>
    <mergeCell ref="AX736:AZ737"/>
    <mergeCell ref="BA736:BC737"/>
    <mergeCell ref="AI734:AJ736"/>
    <mergeCell ref="AK734:AL736"/>
    <mergeCell ref="AM734:AP735"/>
    <mergeCell ref="AT734:AW735"/>
    <mergeCell ref="AX734:AZ735"/>
    <mergeCell ref="W734:X736"/>
    <mergeCell ref="Y734:Z736"/>
    <mergeCell ref="AA734:AB736"/>
    <mergeCell ref="AC734:AD736"/>
    <mergeCell ref="AE734:AF736"/>
    <mergeCell ref="AG734:AH736"/>
    <mergeCell ref="L732:N733"/>
    <mergeCell ref="O732:P733"/>
    <mergeCell ref="Q732:T733"/>
    <mergeCell ref="U732:BC733"/>
    <mergeCell ref="X729:AA731"/>
    <mergeCell ref="AB729:AD731"/>
    <mergeCell ref="AE729:AH731"/>
    <mergeCell ref="AI729:AK731"/>
    <mergeCell ref="AM730:AP731"/>
    <mergeCell ref="AT730:AW731"/>
    <mergeCell ref="L726:M731"/>
    <mergeCell ref="N726:O731"/>
    <mergeCell ref="P726:P731"/>
    <mergeCell ref="Q726:T728"/>
    <mergeCell ref="U726:V728"/>
    <mergeCell ref="Q729:T731"/>
    <mergeCell ref="L724:N725"/>
    <mergeCell ref="O724:P725"/>
    <mergeCell ref="Q724:T725"/>
    <mergeCell ref="U724:BC725"/>
    <mergeCell ref="Q721:T723"/>
    <mergeCell ref="X721:AA723"/>
    <mergeCell ref="AB721:AD723"/>
    <mergeCell ref="AE721:AH723"/>
    <mergeCell ref="AI721:AK723"/>
    <mergeCell ref="AM722:AP723"/>
    <mergeCell ref="AX730:AZ731"/>
    <mergeCell ref="BA730:BC731"/>
    <mergeCell ref="BA726:BC727"/>
    <mergeCell ref="AM728:AP729"/>
    <mergeCell ref="AT728:AW729"/>
    <mergeCell ref="AX728:AZ729"/>
    <mergeCell ref="BA728:BC729"/>
    <mergeCell ref="AI726:AJ728"/>
    <mergeCell ref="AK726:AL728"/>
    <mergeCell ref="AM726:AP727"/>
    <mergeCell ref="AT726:AW727"/>
    <mergeCell ref="AX726:AZ727"/>
    <mergeCell ref="W726:X728"/>
    <mergeCell ref="Y726:Z728"/>
    <mergeCell ref="AA726:AB728"/>
    <mergeCell ref="AC726:AD728"/>
    <mergeCell ref="AE726:AF728"/>
    <mergeCell ref="AG726:AH728"/>
    <mergeCell ref="AM718:AP719"/>
    <mergeCell ref="AT718:AW719"/>
    <mergeCell ref="AX718:AZ719"/>
    <mergeCell ref="BA718:BC719"/>
    <mergeCell ref="AM720:AP721"/>
    <mergeCell ref="AT720:AW721"/>
    <mergeCell ref="AX720:AZ721"/>
    <mergeCell ref="BA720:BC721"/>
    <mergeCell ref="AA718:AB720"/>
    <mergeCell ref="AC718:AD720"/>
    <mergeCell ref="AE718:AF720"/>
    <mergeCell ref="AG718:AH720"/>
    <mergeCell ref="AI718:AJ720"/>
    <mergeCell ref="AK718:AL720"/>
    <mergeCell ref="M716:P717"/>
    <mergeCell ref="R716:BC717"/>
    <mergeCell ref="L718:M723"/>
    <mergeCell ref="N718:O723"/>
    <mergeCell ref="P718:P723"/>
    <mergeCell ref="Q718:T720"/>
    <mergeCell ref="U718:V720"/>
    <mergeCell ref="W718:X720"/>
    <mergeCell ref="Y718:Z720"/>
    <mergeCell ref="AT722:AW723"/>
    <mergeCell ref="AX722:AZ723"/>
    <mergeCell ref="BA722:BC723"/>
    <mergeCell ref="L713:AD713"/>
    <mergeCell ref="M714:P715"/>
    <mergeCell ref="Q714:AI715"/>
    <mergeCell ref="AK714:AP715"/>
    <mergeCell ref="AQ714:BC715"/>
    <mergeCell ref="AX707:AZ708"/>
    <mergeCell ref="BA707:BC708"/>
    <mergeCell ref="L709:N710"/>
    <mergeCell ref="O709:P710"/>
    <mergeCell ref="Q709:T710"/>
    <mergeCell ref="U709:BC710"/>
    <mergeCell ref="X706:AA708"/>
    <mergeCell ref="AB706:AD708"/>
    <mergeCell ref="AE706:AH708"/>
    <mergeCell ref="AI706:AK708"/>
    <mergeCell ref="AM707:AP708"/>
    <mergeCell ref="AT707:AW708"/>
    <mergeCell ref="L703:M708"/>
    <mergeCell ref="N703:O708"/>
    <mergeCell ref="P703:P708"/>
    <mergeCell ref="Q703:T705"/>
    <mergeCell ref="U703:V705"/>
    <mergeCell ref="Q706:T708"/>
    <mergeCell ref="BA703:BC704"/>
    <mergeCell ref="AM705:AP706"/>
    <mergeCell ref="AT705:AW706"/>
    <mergeCell ref="AX705:AZ706"/>
    <mergeCell ref="BA705:BC706"/>
    <mergeCell ref="AI703:AJ705"/>
    <mergeCell ref="AK703:AL705"/>
    <mergeCell ref="AM703:AP704"/>
    <mergeCell ref="AT703:AW704"/>
    <mergeCell ref="AX703:AZ704"/>
    <mergeCell ref="W703:X705"/>
    <mergeCell ref="Y703:Z705"/>
    <mergeCell ref="AA703:AB705"/>
    <mergeCell ref="AC703:AD705"/>
    <mergeCell ref="AE703:AF705"/>
    <mergeCell ref="AG703:AH705"/>
    <mergeCell ref="L701:N702"/>
    <mergeCell ref="O701:P702"/>
    <mergeCell ref="Q701:T702"/>
    <mergeCell ref="U701:BC702"/>
    <mergeCell ref="AE698:AH700"/>
    <mergeCell ref="AI698:AK700"/>
    <mergeCell ref="AM699:AP700"/>
    <mergeCell ref="AT699:AW700"/>
    <mergeCell ref="L695:M700"/>
    <mergeCell ref="N695:O700"/>
    <mergeCell ref="P695:P700"/>
    <mergeCell ref="Q695:T697"/>
    <mergeCell ref="U695:V697"/>
    <mergeCell ref="Q698:T700"/>
    <mergeCell ref="AX699:AZ700"/>
    <mergeCell ref="BA699:BC700"/>
    <mergeCell ref="BA695:BC696"/>
    <mergeCell ref="AM697:AP698"/>
    <mergeCell ref="AT697:AW698"/>
    <mergeCell ref="AX697:AZ698"/>
    <mergeCell ref="BA697:BC698"/>
    <mergeCell ref="AI695:AJ697"/>
    <mergeCell ref="AK695:AL697"/>
    <mergeCell ref="AM695:AP696"/>
    <mergeCell ref="AT695:AW696"/>
    <mergeCell ref="AX695:AZ696"/>
    <mergeCell ref="W695:X697"/>
    <mergeCell ref="Y695:Z697"/>
    <mergeCell ref="AA695:AB697"/>
    <mergeCell ref="AC695:AD697"/>
    <mergeCell ref="AE695:AF697"/>
    <mergeCell ref="AG695:AH697"/>
    <mergeCell ref="X698:AA700"/>
    <mergeCell ref="AB698:AD700"/>
    <mergeCell ref="AX691:AZ692"/>
    <mergeCell ref="BA691:BC692"/>
    <mergeCell ref="L693:N694"/>
    <mergeCell ref="O693:P694"/>
    <mergeCell ref="Q693:T694"/>
    <mergeCell ref="U693:BC694"/>
    <mergeCell ref="X690:AA692"/>
    <mergeCell ref="AB690:AD692"/>
    <mergeCell ref="AE690:AH692"/>
    <mergeCell ref="AI690:AK692"/>
    <mergeCell ref="AM691:AP692"/>
    <mergeCell ref="AT691:AW692"/>
    <mergeCell ref="L687:M692"/>
    <mergeCell ref="N687:O692"/>
    <mergeCell ref="P687:P692"/>
    <mergeCell ref="Q687:T689"/>
    <mergeCell ref="U687:V689"/>
    <mergeCell ref="Q690:T692"/>
    <mergeCell ref="BA687:BC688"/>
    <mergeCell ref="AM689:AP690"/>
    <mergeCell ref="AT689:AW690"/>
    <mergeCell ref="AX689:AZ690"/>
    <mergeCell ref="BA689:BC690"/>
    <mergeCell ref="L679:M684"/>
    <mergeCell ref="N679:O684"/>
    <mergeCell ref="P679:P684"/>
    <mergeCell ref="Q679:T681"/>
    <mergeCell ref="U679:V681"/>
    <mergeCell ref="Q682:T684"/>
    <mergeCell ref="AX683:AZ684"/>
    <mergeCell ref="BA683:BC684"/>
    <mergeCell ref="X682:AA684"/>
    <mergeCell ref="AB682:AD684"/>
    <mergeCell ref="AI687:AJ689"/>
    <mergeCell ref="AK687:AL689"/>
    <mergeCell ref="AM687:AP688"/>
    <mergeCell ref="AT687:AW688"/>
    <mergeCell ref="AX687:AZ688"/>
    <mergeCell ref="W687:X689"/>
    <mergeCell ref="Y687:Z689"/>
    <mergeCell ref="AA687:AB689"/>
    <mergeCell ref="AC687:AD689"/>
    <mergeCell ref="AE687:AF689"/>
    <mergeCell ref="AG687:AH689"/>
    <mergeCell ref="L685:N686"/>
    <mergeCell ref="O685:P686"/>
    <mergeCell ref="Q685:T686"/>
    <mergeCell ref="U685:BC686"/>
    <mergeCell ref="AE682:AH684"/>
    <mergeCell ref="AI682:AK684"/>
    <mergeCell ref="AM683:AP684"/>
    <mergeCell ref="AT683:AW684"/>
    <mergeCell ref="AT671:AW672"/>
    <mergeCell ref="AX671:AZ672"/>
    <mergeCell ref="W671:X673"/>
    <mergeCell ref="Y671:Z673"/>
    <mergeCell ref="AA671:AB673"/>
    <mergeCell ref="AC671:AD673"/>
    <mergeCell ref="BA679:BC680"/>
    <mergeCell ref="AM681:AP682"/>
    <mergeCell ref="AT681:AW682"/>
    <mergeCell ref="AX681:AZ682"/>
    <mergeCell ref="BA681:BC682"/>
    <mergeCell ref="AI679:AJ681"/>
    <mergeCell ref="AK679:AL681"/>
    <mergeCell ref="AM679:AP680"/>
    <mergeCell ref="AT679:AW680"/>
    <mergeCell ref="AX679:AZ680"/>
    <mergeCell ref="W679:X681"/>
    <mergeCell ref="Y679:Z681"/>
    <mergeCell ref="AA679:AB681"/>
    <mergeCell ref="AC679:AD681"/>
    <mergeCell ref="AE679:AF681"/>
    <mergeCell ref="AG679:AH681"/>
    <mergeCell ref="L663:M668"/>
    <mergeCell ref="N663:O668"/>
    <mergeCell ref="P663:P668"/>
    <mergeCell ref="Q663:T665"/>
    <mergeCell ref="U663:V665"/>
    <mergeCell ref="Q666:T668"/>
    <mergeCell ref="AX675:AZ676"/>
    <mergeCell ref="BA675:BC676"/>
    <mergeCell ref="L677:N678"/>
    <mergeCell ref="O677:P678"/>
    <mergeCell ref="Q677:T678"/>
    <mergeCell ref="U677:BC678"/>
    <mergeCell ref="X674:AA676"/>
    <mergeCell ref="AB674:AD676"/>
    <mergeCell ref="AE674:AH676"/>
    <mergeCell ref="AI674:AK676"/>
    <mergeCell ref="AM675:AP676"/>
    <mergeCell ref="AT675:AW676"/>
    <mergeCell ref="L671:M676"/>
    <mergeCell ref="N671:O676"/>
    <mergeCell ref="P671:P676"/>
    <mergeCell ref="Q671:T673"/>
    <mergeCell ref="U671:V673"/>
    <mergeCell ref="Q674:T676"/>
    <mergeCell ref="BA671:BC672"/>
    <mergeCell ref="AM673:AP674"/>
    <mergeCell ref="AT673:AW674"/>
    <mergeCell ref="AX673:AZ674"/>
    <mergeCell ref="BA673:BC674"/>
    <mergeCell ref="AI671:AJ673"/>
    <mergeCell ref="AK671:AL673"/>
    <mergeCell ref="AM671:AP672"/>
    <mergeCell ref="L661:N662"/>
    <mergeCell ref="O661:P662"/>
    <mergeCell ref="Q661:T662"/>
    <mergeCell ref="U661:BC662"/>
    <mergeCell ref="X658:AA660"/>
    <mergeCell ref="AB658:AD660"/>
    <mergeCell ref="AE658:AH660"/>
    <mergeCell ref="AI658:AK660"/>
    <mergeCell ref="AM659:AP660"/>
    <mergeCell ref="AT659:AW660"/>
    <mergeCell ref="L655:M660"/>
    <mergeCell ref="N655:O660"/>
    <mergeCell ref="P655:P660"/>
    <mergeCell ref="Q655:T657"/>
    <mergeCell ref="U655:V657"/>
    <mergeCell ref="Q658:T660"/>
    <mergeCell ref="AE671:AF673"/>
    <mergeCell ref="AG671:AH673"/>
    <mergeCell ref="L669:N670"/>
    <mergeCell ref="O669:P670"/>
    <mergeCell ref="Q669:T670"/>
    <mergeCell ref="U669:BC670"/>
    <mergeCell ref="AE666:AH668"/>
    <mergeCell ref="AI666:AK668"/>
    <mergeCell ref="AM667:AP668"/>
    <mergeCell ref="AT667:AW668"/>
    <mergeCell ref="BA663:BC664"/>
    <mergeCell ref="AM665:AP666"/>
    <mergeCell ref="AT665:AW666"/>
    <mergeCell ref="AX665:AZ666"/>
    <mergeCell ref="BA665:BC666"/>
    <mergeCell ref="AI663:AJ665"/>
    <mergeCell ref="AX667:AZ668"/>
    <mergeCell ref="BA667:BC668"/>
    <mergeCell ref="BA655:BC656"/>
    <mergeCell ref="AM657:AP658"/>
    <mergeCell ref="X666:AA668"/>
    <mergeCell ref="AB666:AD668"/>
    <mergeCell ref="AT657:AW658"/>
    <mergeCell ref="AX657:AZ658"/>
    <mergeCell ref="BA657:BC658"/>
    <mergeCell ref="AI655:AJ657"/>
    <mergeCell ref="AK655:AL657"/>
    <mergeCell ref="AM655:AP656"/>
    <mergeCell ref="AT655:AW656"/>
    <mergeCell ref="AX655:AZ656"/>
    <mergeCell ref="W655:X657"/>
    <mergeCell ref="Y655:Z657"/>
    <mergeCell ref="AA655:AB657"/>
    <mergeCell ref="AC655:AD657"/>
    <mergeCell ref="AE655:AF657"/>
    <mergeCell ref="AG655:AH657"/>
    <mergeCell ref="AX659:AZ660"/>
    <mergeCell ref="BA659:BC660"/>
    <mergeCell ref="AK663:AL665"/>
    <mergeCell ref="AM663:AP664"/>
    <mergeCell ref="AT663:AW664"/>
    <mergeCell ref="AX663:AZ664"/>
    <mergeCell ref="W663:X665"/>
    <mergeCell ref="Y663:Z665"/>
    <mergeCell ref="AA663:AB665"/>
    <mergeCell ref="AC663:AD665"/>
    <mergeCell ref="AE663:AF665"/>
    <mergeCell ref="AG663:AH665"/>
    <mergeCell ref="L653:N654"/>
    <mergeCell ref="O653:P654"/>
    <mergeCell ref="Q653:T654"/>
    <mergeCell ref="U653:BC654"/>
    <mergeCell ref="Q639:T641"/>
    <mergeCell ref="U639:V641"/>
    <mergeCell ref="Q642:T644"/>
    <mergeCell ref="AX651:AZ652"/>
    <mergeCell ref="BA651:BC652"/>
    <mergeCell ref="BA639:BC640"/>
    <mergeCell ref="AM641:AP642"/>
    <mergeCell ref="X650:AA652"/>
    <mergeCell ref="AB650:AD652"/>
    <mergeCell ref="AE650:AH652"/>
    <mergeCell ref="AI650:AK652"/>
    <mergeCell ref="AM651:AP652"/>
    <mergeCell ref="AT651:AW652"/>
    <mergeCell ref="BA647:BC648"/>
    <mergeCell ref="AM649:AP650"/>
    <mergeCell ref="AT649:AW650"/>
    <mergeCell ref="AX649:AZ650"/>
    <mergeCell ref="BA649:BC650"/>
    <mergeCell ref="AI647:AJ649"/>
    <mergeCell ref="AK647:AL649"/>
    <mergeCell ref="AM647:AP648"/>
    <mergeCell ref="AT647:AW648"/>
    <mergeCell ref="AX647:AZ648"/>
    <mergeCell ref="W647:X649"/>
    <mergeCell ref="Y647:Z649"/>
    <mergeCell ref="AA647:AB649"/>
    <mergeCell ref="AC647:AD649"/>
    <mergeCell ref="AE647:AF649"/>
    <mergeCell ref="AG647:AH649"/>
    <mergeCell ref="W639:X641"/>
    <mergeCell ref="Y639:Z641"/>
    <mergeCell ref="AA639:AB641"/>
    <mergeCell ref="AC639:AD641"/>
    <mergeCell ref="AE639:AF641"/>
    <mergeCell ref="AG639:AH641"/>
    <mergeCell ref="L637:N638"/>
    <mergeCell ref="O637:P638"/>
    <mergeCell ref="Q637:T638"/>
    <mergeCell ref="U637:BC638"/>
    <mergeCell ref="L647:M652"/>
    <mergeCell ref="N647:O652"/>
    <mergeCell ref="P647:P652"/>
    <mergeCell ref="Q647:T649"/>
    <mergeCell ref="U647:V649"/>
    <mergeCell ref="Q650:T652"/>
    <mergeCell ref="AX643:AZ644"/>
    <mergeCell ref="BA643:BC644"/>
    <mergeCell ref="L645:N646"/>
    <mergeCell ref="O645:P646"/>
    <mergeCell ref="Q645:T646"/>
    <mergeCell ref="U645:BC646"/>
    <mergeCell ref="X642:AA644"/>
    <mergeCell ref="AB642:AD644"/>
    <mergeCell ref="AE642:AH644"/>
    <mergeCell ref="AI642:AK644"/>
    <mergeCell ref="AM643:AP644"/>
    <mergeCell ref="AT643:AW644"/>
    <mergeCell ref="L639:M644"/>
    <mergeCell ref="N639:O644"/>
    <mergeCell ref="P639:P644"/>
    <mergeCell ref="BA631:BC632"/>
    <mergeCell ref="AM633:AP634"/>
    <mergeCell ref="AT633:AW634"/>
    <mergeCell ref="AX633:AZ634"/>
    <mergeCell ref="BA633:BC634"/>
    <mergeCell ref="AA631:AB633"/>
    <mergeCell ref="AC631:AD633"/>
    <mergeCell ref="AE631:AF633"/>
    <mergeCell ref="AG631:AH633"/>
    <mergeCell ref="AI631:AJ633"/>
    <mergeCell ref="AK631:AL633"/>
    <mergeCell ref="AT641:AW642"/>
    <mergeCell ref="AX641:AZ642"/>
    <mergeCell ref="BA641:BC642"/>
    <mergeCell ref="AI639:AJ641"/>
    <mergeCell ref="AK639:AL641"/>
    <mergeCell ref="AM639:AP640"/>
    <mergeCell ref="AT639:AW640"/>
    <mergeCell ref="AX639:AZ640"/>
    <mergeCell ref="L616:M621"/>
    <mergeCell ref="N616:O621"/>
    <mergeCell ref="P616:P621"/>
    <mergeCell ref="Q616:T618"/>
    <mergeCell ref="U616:V618"/>
    <mergeCell ref="Q619:T621"/>
    <mergeCell ref="M629:P630"/>
    <mergeCell ref="R629:BC630"/>
    <mergeCell ref="L631:M636"/>
    <mergeCell ref="N631:O636"/>
    <mergeCell ref="P631:P636"/>
    <mergeCell ref="Q631:T633"/>
    <mergeCell ref="U631:V633"/>
    <mergeCell ref="W631:X633"/>
    <mergeCell ref="Y631:Z633"/>
    <mergeCell ref="L626:AD626"/>
    <mergeCell ref="M627:P628"/>
    <mergeCell ref="Q627:AI628"/>
    <mergeCell ref="AK627:AP628"/>
    <mergeCell ref="AQ627:BC628"/>
    <mergeCell ref="AT635:AW636"/>
    <mergeCell ref="AX635:AZ636"/>
    <mergeCell ref="BA635:BC636"/>
    <mergeCell ref="Q634:T636"/>
    <mergeCell ref="X634:AA636"/>
    <mergeCell ref="AB634:AD636"/>
    <mergeCell ref="AE634:AH636"/>
    <mergeCell ref="AI634:AK636"/>
    <mergeCell ref="AM635:AP636"/>
    <mergeCell ref="AM631:AP632"/>
    <mergeCell ref="AT631:AW632"/>
    <mergeCell ref="AX631:AZ632"/>
    <mergeCell ref="L614:N615"/>
    <mergeCell ref="O614:P615"/>
    <mergeCell ref="Q614:T615"/>
    <mergeCell ref="U614:BC615"/>
    <mergeCell ref="X611:AA613"/>
    <mergeCell ref="AB611:AD613"/>
    <mergeCell ref="AE611:AH613"/>
    <mergeCell ref="AI611:AK613"/>
    <mergeCell ref="AM612:AP613"/>
    <mergeCell ref="AT612:AW613"/>
    <mergeCell ref="L608:M613"/>
    <mergeCell ref="N608:O613"/>
    <mergeCell ref="P608:P613"/>
    <mergeCell ref="Q608:T610"/>
    <mergeCell ref="U608:V610"/>
    <mergeCell ref="Q611:T613"/>
    <mergeCell ref="L622:N623"/>
    <mergeCell ref="O622:P623"/>
    <mergeCell ref="Q622:T623"/>
    <mergeCell ref="U622:BC623"/>
    <mergeCell ref="X619:AA621"/>
    <mergeCell ref="AB619:AD621"/>
    <mergeCell ref="AE619:AH621"/>
    <mergeCell ref="AI619:AK621"/>
    <mergeCell ref="AM620:AP621"/>
    <mergeCell ref="AT620:AW621"/>
    <mergeCell ref="BA616:BC617"/>
    <mergeCell ref="AM618:AP619"/>
    <mergeCell ref="AT618:AW619"/>
    <mergeCell ref="AX618:AZ619"/>
    <mergeCell ref="BA618:BC619"/>
    <mergeCell ref="AI616:AJ618"/>
    <mergeCell ref="AX620:AZ621"/>
    <mergeCell ref="BA620:BC621"/>
    <mergeCell ref="BA608:BC609"/>
    <mergeCell ref="AM610:AP611"/>
    <mergeCell ref="AT610:AW611"/>
    <mergeCell ref="AX610:AZ611"/>
    <mergeCell ref="BA610:BC611"/>
    <mergeCell ref="AI608:AJ610"/>
    <mergeCell ref="AK608:AL610"/>
    <mergeCell ref="AM608:AP609"/>
    <mergeCell ref="AT608:AW609"/>
    <mergeCell ref="AX608:AZ609"/>
    <mergeCell ref="W608:X610"/>
    <mergeCell ref="Y608:Z610"/>
    <mergeCell ref="AA608:AB610"/>
    <mergeCell ref="AC608:AD610"/>
    <mergeCell ref="AE608:AF610"/>
    <mergeCell ref="AG608:AH610"/>
    <mergeCell ref="AX612:AZ613"/>
    <mergeCell ref="BA612:BC613"/>
    <mergeCell ref="AK616:AL618"/>
    <mergeCell ref="AM616:AP617"/>
    <mergeCell ref="AT616:AW617"/>
    <mergeCell ref="AX616:AZ617"/>
    <mergeCell ref="W616:X618"/>
    <mergeCell ref="Y616:Z618"/>
    <mergeCell ref="AA616:AB618"/>
    <mergeCell ref="AC616:AD618"/>
    <mergeCell ref="AE616:AF618"/>
    <mergeCell ref="AG616:AH618"/>
    <mergeCell ref="L606:N607"/>
    <mergeCell ref="O606:P607"/>
    <mergeCell ref="Q606:T607"/>
    <mergeCell ref="U606:BC607"/>
    <mergeCell ref="X603:AA605"/>
    <mergeCell ref="AB603:AD605"/>
    <mergeCell ref="AE603:AH605"/>
    <mergeCell ref="AI603:AK605"/>
    <mergeCell ref="AM604:AP605"/>
    <mergeCell ref="AT604:AW605"/>
    <mergeCell ref="L600:M605"/>
    <mergeCell ref="N600:O605"/>
    <mergeCell ref="P600:P605"/>
    <mergeCell ref="Q600:T602"/>
    <mergeCell ref="U600:V602"/>
    <mergeCell ref="Q603:T605"/>
    <mergeCell ref="AX604:AZ605"/>
    <mergeCell ref="BA604:BC605"/>
    <mergeCell ref="BA600:BC601"/>
    <mergeCell ref="AM602:AP603"/>
    <mergeCell ref="AT602:AW603"/>
    <mergeCell ref="AX602:AZ603"/>
    <mergeCell ref="BA602:BC603"/>
    <mergeCell ref="AI600:AJ602"/>
    <mergeCell ref="AK600:AL602"/>
    <mergeCell ref="AM600:AP601"/>
    <mergeCell ref="AT600:AW601"/>
    <mergeCell ref="AX600:AZ601"/>
    <mergeCell ref="W600:X602"/>
    <mergeCell ref="Y600:Z602"/>
    <mergeCell ref="AA600:AB602"/>
    <mergeCell ref="AC600:AD602"/>
    <mergeCell ref="AE600:AF602"/>
    <mergeCell ref="AG600:AH602"/>
    <mergeCell ref="AX596:AZ597"/>
    <mergeCell ref="BA596:BC597"/>
    <mergeCell ref="L598:N599"/>
    <mergeCell ref="O598:P599"/>
    <mergeCell ref="Q598:T599"/>
    <mergeCell ref="U598:BC599"/>
    <mergeCell ref="X595:AA597"/>
    <mergeCell ref="AB595:AD597"/>
    <mergeCell ref="AE595:AH597"/>
    <mergeCell ref="AI595:AK597"/>
    <mergeCell ref="AM596:AP597"/>
    <mergeCell ref="AT596:AW597"/>
    <mergeCell ref="L592:M597"/>
    <mergeCell ref="N592:O597"/>
    <mergeCell ref="P592:P597"/>
    <mergeCell ref="Q592:T594"/>
    <mergeCell ref="U592:V594"/>
    <mergeCell ref="Q595:T597"/>
    <mergeCell ref="BA592:BC593"/>
    <mergeCell ref="AM594:AP595"/>
    <mergeCell ref="AT594:AW595"/>
    <mergeCell ref="AX594:AZ595"/>
    <mergeCell ref="BA594:BC595"/>
    <mergeCell ref="AI592:AJ594"/>
    <mergeCell ref="AK592:AL594"/>
    <mergeCell ref="AM592:AP593"/>
    <mergeCell ref="AT592:AW593"/>
    <mergeCell ref="AX592:AZ593"/>
    <mergeCell ref="W592:X594"/>
    <mergeCell ref="Y592:Z594"/>
    <mergeCell ref="AA592:AB594"/>
    <mergeCell ref="AC592:AD594"/>
    <mergeCell ref="AE592:AF594"/>
    <mergeCell ref="AG592:AH594"/>
    <mergeCell ref="L590:N591"/>
    <mergeCell ref="O590:P591"/>
    <mergeCell ref="Q590:T591"/>
    <mergeCell ref="U590:BC591"/>
    <mergeCell ref="X587:AA589"/>
    <mergeCell ref="AB587:AD589"/>
    <mergeCell ref="AE587:AH589"/>
    <mergeCell ref="AI587:AK589"/>
    <mergeCell ref="AM588:AP589"/>
    <mergeCell ref="AT588:AW589"/>
    <mergeCell ref="BA584:BC585"/>
    <mergeCell ref="AM586:AP587"/>
    <mergeCell ref="AT586:AW587"/>
    <mergeCell ref="AX586:AZ587"/>
    <mergeCell ref="BA586:BC587"/>
    <mergeCell ref="AI584:AJ586"/>
    <mergeCell ref="AK584:AL586"/>
    <mergeCell ref="AM584:AP585"/>
    <mergeCell ref="AT584:AW585"/>
    <mergeCell ref="AX584:AZ585"/>
    <mergeCell ref="W584:X586"/>
    <mergeCell ref="Y584:Z586"/>
    <mergeCell ref="AA584:AB586"/>
    <mergeCell ref="AC584:AD586"/>
    <mergeCell ref="AE584:AF586"/>
    <mergeCell ref="AG584:AH586"/>
    <mergeCell ref="L584:M589"/>
    <mergeCell ref="N584:O589"/>
    <mergeCell ref="P584:P589"/>
    <mergeCell ref="Q584:T586"/>
    <mergeCell ref="U584:V586"/>
    <mergeCell ref="Q587:T589"/>
    <mergeCell ref="AX580:AZ581"/>
    <mergeCell ref="BA580:BC581"/>
    <mergeCell ref="L582:N583"/>
    <mergeCell ref="O582:P583"/>
    <mergeCell ref="Q582:T583"/>
    <mergeCell ref="U582:BC583"/>
    <mergeCell ref="X579:AA581"/>
    <mergeCell ref="AB579:AD581"/>
    <mergeCell ref="AE579:AH581"/>
    <mergeCell ref="AI579:AK581"/>
    <mergeCell ref="AM580:AP581"/>
    <mergeCell ref="AT580:AW581"/>
    <mergeCell ref="L576:M581"/>
    <mergeCell ref="N576:O581"/>
    <mergeCell ref="P576:P581"/>
    <mergeCell ref="Q576:T578"/>
    <mergeCell ref="U576:V578"/>
    <mergeCell ref="Q579:T581"/>
    <mergeCell ref="AX588:AZ589"/>
    <mergeCell ref="BA588:BC589"/>
    <mergeCell ref="BA576:BC577"/>
    <mergeCell ref="AM578:AP579"/>
    <mergeCell ref="AT578:AW579"/>
    <mergeCell ref="AX578:AZ579"/>
    <mergeCell ref="BA578:BC579"/>
    <mergeCell ref="AI576:AJ578"/>
    <mergeCell ref="AK576:AL578"/>
    <mergeCell ref="AM576:AP577"/>
    <mergeCell ref="AT576:AW577"/>
    <mergeCell ref="AX576:AZ577"/>
    <mergeCell ref="W576:X578"/>
    <mergeCell ref="Y576:Z578"/>
    <mergeCell ref="AA576:AB578"/>
    <mergeCell ref="AC576:AD578"/>
    <mergeCell ref="AE576:AF578"/>
    <mergeCell ref="AG576:AH578"/>
    <mergeCell ref="L574:N575"/>
    <mergeCell ref="O574:P575"/>
    <mergeCell ref="Q574:T575"/>
    <mergeCell ref="U574:BC575"/>
    <mergeCell ref="X571:AA573"/>
    <mergeCell ref="AB571:AD573"/>
    <mergeCell ref="AE571:AH573"/>
    <mergeCell ref="AI571:AK573"/>
    <mergeCell ref="AM572:AP573"/>
    <mergeCell ref="AT572:AW573"/>
    <mergeCell ref="L568:M573"/>
    <mergeCell ref="N568:O573"/>
    <mergeCell ref="P568:P573"/>
    <mergeCell ref="Q568:T570"/>
    <mergeCell ref="U568:V570"/>
    <mergeCell ref="Q571:T573"/>
    <mergeCell ref="AX572:AZ573"/>
    <mergeCell ref="BA572:BC573"/>
    <mergeCell ref="BA568:BC569"/>
    <mergeCell ref="AM570:AP571"/>
    <mergeCell ref="AT570:AW571"/>
    <mergeCell ref="AX570:AZ571"/>
    <mergeCell ref="BA570:BC571"/>
    <mergeCell ref="AI568:AJ570"/>
    <mergeCell ref="AK568:AL570"/>
    <mergeCell ref="AM568:AP569"/>
    <mergeCell ref="AT568:AW569"/>
    <mergeCell ref="AX568:AZ569"/>
    <mergeCell ref="W568:X570"/>
    <mergeCell ref="Y568:Z570"/>
    <mergeCell ref="AA568:AB570"/>
    <mergeCell ref="AC568:AD570"/>
    <mergeCell ref="AE568:AF570"/>
    <mergeCell ref="AG568:AH570"/>
    <mergeCell ref="AX564:AZ565"/>
    <mergeCell ref="BA564:BC565"/>
    <mergeCell ref="L566:N567"/>
    <mergeCell ref="O566:P567"/>
    <mergeCell ref="Q566:T567"/>
    <mergeCell ref="U566:BC567"/>
    <mergeCell ref="X563:AA565"/>
    <mergeCell ref="AB563:AD565"/>
    <mergeCell ref="AE563:AH565"/>
    <mergeCell ref="AI563:AK565"/>
    <mergeCell ref="AM564:AP565"/>
    <mergeCell ref="AT564:AW565"/>
    <mergeCell ref="L560:M565"/>
    <mergeCell ref="N560:O565"/>
    <mergeCell ref="P560:P565"/>
    <mergeCell ref="Q560:T562"/>
    <mergeCell ref="U560:V562"/>
    <mergeCell ref="Q563:T565"/>
    <mergeCell ref="BA560:BC561"/>
    <mergeCell ref="AM562:AP563"/>
    <mergeCell ref="AT562:AW563"/>
    <mergeCell ref="AX562:AZ563"/>
    <mergeCell ref="BA562:BC563"/>
    <mergeCell ref="AI560:AJ562"/>
    <mergeCell ref="AK560:AL562"/>
    <mergeCell ref="AM560:AP561"/>
    <mergeCell ref="AT560:AW561"/>
    <mergeCell ref="AX560:AZ561"/>
    <mergeCell ref="W560:X562"/>
    <mergeCell ref="Y560:Z562"/>
    <mergeCell ref="AA560:AB562"/>
    <mergeCell ref="AC560:AD562"/>
    <mergeCell ref="AE560:AF562"/>
    <mergeCell ref="AG560:AH562"/>
    <mergeCell ref="L558:N559"/>
    <mergeCell ref="O558:P559"/>
    <mergeCell ref="Q558:T559"/>
    <mergeCell ref="U558:BC559"/>
    <mergeCell ref="X555:AA557"/>
    <mergeCell ref="AB555:AD557"/>
    <mergeCell ref="AE555:AH557"/>
    <mergeCell ref="AI555:AK557"/>
    <mergeCell ref="AM556:AP557"/>
    <mergeCell ref="AT556:AW557"/>
    <mergeCell ref="L552:M557"/>
    <mergeCell ref="N552:O557"/>
    <mergeCell ref="P552:P557"/>
    <mergeCell ref="Q552:T554"/>
    <mergeCell ref="U552:V554"/>
    <mergeCell ref="Q555:T557"/>
    <mergeCell ref="L550:N551"/>
    <mergeCell ref="O550:P551"/>
    <mergeCell ref="Q550:T551"/>
    <mergeCell ref="U550:BC551"/>
    <mergeCell ref="Q547:T549"/>
    <mergeCell ref="X547:AA549"/>
    <mergeCell ref="AB547:AD549"/>
    <mergeCell ref="AE547:AH549"/>
    <mergeCell ref="AI547:AK549"/>
    <mergeCell ref="AM548:AP549"/>
    <mergeCell ref="AX556:AZ557"/>
    <mergeCell ref="BA556:BC557"/>
    <mergeCell ref="BA552:BC553"/>
    <mergeCell ref="AM554:AP555"/>
    <mergeCell ref="AT554:AW555"/>
    <mergeCell ref="AX554:AZ555"/>
    <mergeCell ref="BA554:BC555"/>
    <mergeCell ref="AI552:AJ554"/>
    <mergeCell ref="AK552:AL554"/>
    <mergeCell ref="AM552:AP553"/>
    <mergeCell ref="AT552:AW553"/>
    <mergeCell ref="AX552:AZ553"/>
    <mergeCell ref="W552:X554"/>
    <mergeCell ref="Y552:Z554"/>
    <mergeCell ref="AA552:AB554"/>
    <mergeCell ref="AC552:AD554"/>
    <mergeCell ref="AE552:AF554"/>
    <mergeCell ref="AG552:AH554"/>
    <mergeCell ref="AM544:AP545"/>
    <mergeCell ref="AT544:AW545"/>
    <mergeCell ref="AX544:AZ545"/>
    <mergeCell ref="BA544:BC545"/>
    <mergeCell ref="AM546:AP547"/>
    <mergeCell ref="AT546:AW547"/>
    <mergeCell ref="AX546:AZ547"/>
    <mergeCell ref="BA546:BC547"/>
    <mergeCell ref="AA544:AB546"/>
    <mergeCell ref="AC544:AD546"/>
    <mergeCell ref="AE544:AF546"/>
    <mergeCell ref="AG544:AH546"/>
    <mergeCell ref="AI544:AJ546"/>
    <mergeCell ref="AK544:AL546"/>
    <mergeCell ref="M542:P543"/>
    <mergeCell ref="R542:BC543"/>
    <mergeCell ref="L544:M549"/>
    <mergeCell ref="N544:O549"/>
    <mergeCell ref="P544:P549"/>
    <mergeCell ref="Q544:T546"/>
    <mergeCell ref="U544:V546"/>
    <mergeCell ref="W544:X546"/>
    <mergeCell ref="Y544:Z546"/>
    <mergeCell ref="AT548:AW549"/>
    <mergeCell ref="AX548:AZ549"/>
    <mergeCell ref="BA548:BC549"/>
    <mergeCell ref="L539:AD539"/>
    <mergeCell ref="M540:P541"/>
    <mergeCell ref="Q540:AI541"/>
    <mergeCell ref="AK540:AP541"/>
    <mergeCell ref="AQ540:BC541"/>
    <mergeCell ref="AX533:AZ534"/>
    <mergeCell ref="BA533:BC534"/>
    <mergeCell ref="L535:N536"/>
    <mergeCell ref="O535:P536"/>
    <mergeCell ref="Q535:T536"/>
    <mergeCell ref="U535:BC536"/>
    <mergeCell ref="X532:AA534"/>
    <mergeCell ref="AB532:AD534"/>
    <mergeCell ref="AE532:AH534"/>
    <mergeCell ref="AI532:AK534"/>
    <mergeCell ref="AM533:AP534"/>
    <mergeCell ref="AT533:AW534"/>
    <mergeCell ref="L529:M534"/>
    <mergeCell ref="N529:O534"/>
    <mergeCell ref="P529:P534"/>
    <mergeCell ref="Q529:T531"/>
    <mergeCell ref="U529:V531"/>
    <mergeCell ref="Q532:T534"/>
    <mergeCell ref="BA529:BC530"/>
    <mergeCell ref="AM531:AP532"/>
    <mergeCell ref="AT531:AW532"/>
    <mergeCell ref="AX531:AZ532"/>
    <mergeCell ref="BA531:BC532"/>
    <mergeCell ref="AI529:AJ531"/>
    <mergeCell ref="AK529:AL531"/>
    <mergeCell ref="AM529:AP530"/>
    <mergeCell ref="AT529:AW530"/>
    <mergeCell ref="AX529:AZ530"/>
    <mergeCell ref="W529:X531"/>
    <mergeCell ref="Y529:Z531"/>
    <mergeCell ref="AA529:AB531"/>
    <mergeCell ref="AC529:AD531"/>
    <mergeCell ref="AE529:AF531"/>
    <mergeCell ref="AG529:AH531"/>
    <mergeCell ref="L527:N528"/>
    <mergeCell ref="O527:P528"/>
    <mergeCell ref="Q527:T528"/>
    <mergeCell ref="U527:BC528"/>
    <mergeCell ref="AE524:AH526"/>
    <mergeCell ref="AI524:AK526"/>
    <mergeCell ref="AM525:AP526"/>
    <mergeCell ref="AT525:AW526"/>
    <mergeCell ref="L521:M526"/>
    <mergeCell ref="N521:O526"/>
    <mergeCell ref="P521:P526"/>
    <mergeCell ref="Q521:T523"/>
    <mergeCell ref="U521:V523"/>
    <mergeCell ref="Q524:T526"/>
    <mergeCell ref="AX525:AZ526"/>
    <mergeCell ref="BA525:BC526"/>
    <mergeCell ref="BA521:BC522"/>
    <mergeCell ref="AM523:AP524"/>
    <mergeCell ref="AT523:AW524"/>
    <mergeCell ref="AX523:AZ524"/>
    <mergeCell ref="BA523:BC524"/>
    <mergeCell ref="AI521:AJ523"/>
    <mergeCell ref="AK521:AL523"/>
    <mergeCell ref="AM521:AP522"/>
    <mergeCell ref="AT521:AW522"/>
    <mergeCell ref="AX521:AZ522"/>
    <mergeCell ref="W521:X523"/>
    <mergeCell ref="Y521:Z523"/>
    <mergeCell ref="AA521:AB523"/>
    <mergeCell ref="AC521:AD523"/>
    <mergeCell ref="AE521:AF523"/>
    <mergeCell ref="AG521:AH523"/>
    <mergeCell ref="X524:AA526"/>
    <mergeCell ref="AB524:AD526"/>
    <mergeCell ref="AX517:AZ518"/>
    <mergeCell ref="BA517:BC518"/>
    <mergeCell ref="L519:N520"/>
    <mergeCell ref="O519:P520"/>
    <mergeCell ref="Q519:T520"/>
    <mergeCell ref="U519:BC520"/>
    <mergeCell ref="X516:AA518"/>
    <mergeCell ref="AB516:AD518"/>
    <mergeCell ref="AE516:AH518"/>
    <mergeCell ref="AI516:AK518"/>
    <mergeCell ref="AM517:AP518"/>
    <mergeCell ref="AT517:AW518"/>
    <mergeCell ref="L513:M518"/>
    <mergeCell ref="N513:O518"/>
    <mergeCell ref="P513:P518"/>
    <mergeCell ref="Q513:T515"/>
    <mergeCell ref="U513:V515"/>
    <mergeCell ref="Q516:T518"/>
    <mergeCell ref="BA513:BC514"/>
    <mergeCell ref="AM515:AP516"/>
    <mergeCell ref="AT515:AW516"/>
    <mergeCell ref="AX515:AZ516"/>
    <mergeCell ref="BA515:BC516"/>
    <mergeCell ref="L505:M510"/>
    <mergeCell ref="N505:O510"/>
    <mergeCell ref="P505:P510"/>
    <mergeCell ref="Q505:T507"/>
    <mergeCell ref="U505:V507"/>
    <mergeCell ref="Q508:T510"/>
    <mergeCell ref="AX509:AZ510"/>
    <mergeCell ref="BA509:BC510"/>
    <mergeCell ref="X508:AA510"/>
    <mergeCell ref="AB508:AD510"/>
    <mergeCell ref="AI513:AJ515"/>
    <mergeCell ref="AK513:AL515"/>
    <mergeCell ref="AM513:AP514"/>
    <mergeCell ref="AT513:AW514"/>
    <mergeCell ref="AX513:AZ514"/>
    <mergeCell ref="W513:X515"/>
    <mergeCell ref="Y513:Z515"/>
    <mergeCell ref="AA513:AB515"/>
    <mergeCell ref="AC513:AD515"/>
    <mergeCell ref="AE513:AF515"/>
    <mergeCell ref="AG513:AH515"/>
    <mergeCell ref="L511:N512"/>
    <mergeCell ref="O511:P512"/>
    <mergeCell ref="Q511:T512"/>
    <mergeCell ref="U511:BC512"/>
    <mergeCell ref="AE508:AH510"/>
    <mergeCell ref="AI508:AK510"/>
    <mergeCell ref="AM509:AP510"/>
    <mergeCell ref="AT509:AW510"/>
    <mergeCell ref="AT497:AW498"/>
    <mergeCell ref="AX497:AZ498"/>
    <mergeCell ref="W497:X499"/>
    <mergeCell ref="Y497:Z499"/>
    <mergeCell ref="AA497:AB499"/>
    <mergeCell ref="AC497:AD499"/>
    <mergeCell ref="BA505:BC506"/>
    <mergeCell ref="AM507:AP508"/>
    <mergeCell ref="AT507:AW508"/>
    <mergeCell ref="AX507:AZ508"/>
    <mergeCell ref="BA507:BC508"/>
    <mergeCell ref="AI505:AJ507"/>
    <mergeCell ref="AK505:AL507"/>
    <mergeCell ref="AM505:AP506"/>
    <mergeCell ref="AT505:AW506"/>
    <mergeCell ref="AX505:AZ506"/>
    <mergeCell ref="W505:X507"/>
    <mergeCell ref="Y505:Z507"/>
    <mergeCell ref="AA505:AB507"/>
    <mergeCell ref="AC505:AD507"/>
    <mergeCell ref="AE505:AF507"/>
    <mergeCell ref="AG505:AH507"/>
    <mergeCell ref="L489:M494"/>
    <mergeCell ref="N489:O494"/>
    <mergeCell ref="P489:P494"/>
    <mergeCell ref="Q489:T491"/>
    <mergeCell ref="U489:V491"/>
    <mergeCell ref="Q492:T494"/>
    <mergeCell ref="AX501:AZ502"/>
    <mergeCell ref="BA501:BC502"/>
    <mergeCell ref="L503:N504"/>
    <mergeCell ref="O503:P504"/>
    <mergeCell ref="Q503:T504"/>
    <mergeCell ref="U503:BC504"/>
    <mergeCell ref="X500:AA502"/>
    <mergeCell ref="AB500:AD502"/>
    <mergeCell ref="AE500:AH502"/>
    <mergeCell ref="AI500:AK502"/>
    <mergeCell ref="AM501:AP502"/>
    <mergeCell ref="AT501:AW502"/>
    <mergeCell ref="L497:M502"/>
    <mergeCell ref="N497:O502"/>
    <mergeCell ref="P497:P502"/>
    <mergeCell ref="Q497:T499"/>
    <mergeCell ref="U497:V499"/>
    <mergeCell ref="Q500:T502"/>
    <mergeCell ref="BA497:BC498"/>
    <mergeCell ref="AM499:AP500"/>
    <mergeCell ref="AT499:AW500"/>
    <mergeCell ref="AX499:AZ500"/>
    <mergeCell ref="BA499:BC500"/>
    <mergeCell ref="AI497:AJ499"/>
    <mergeCell ref="AK497:AL499"/>
    <mergeCell ref="AM497:AP498"/>
    <mergeCell ref="L487:N488"/>
    <mergeCell ref="O487:P488"/>
    <mergeCell ref="Q487:T488"/>
    <mergeCell ref="U487:BC488"/>
    <mergeCell ref="X484:AA486"/>
    <mergeCell ref="AB484:AD486"/>
    <mergeCell ref="AE484:AH486"/>
    <mergeCell ref="AI484:AK486"/>
    <mergeCell ref="AM485:AP486"/>
    <mergeCell ref="AT485:AW486"/>
    <mergeCell ref="L481:M486"/>
    <mergeCell ref="N481:O486"/>
    <mergeCell ref="P481:P486"/>
    <mergeCell ref="Q481:T483"/>
    <mergeCell ref="U481:V483"/>
    <mergeCell ref="Q484:T486"/>
    <mergeCell ref="AE497:AF499"/>
    <mergeCell ref="AG497:AH499"/>
    <mergeCell ref="L495:N496"/>
    <mergeCell ref="O495:P496"/>
    <mergeCell ref="Q495:T496"/>
    <mergeCell ref="U495:BC496"/>
    <mergeCell ref="AE492:AH494"/>
    <mergeCell ref="AI492:AK494"/>
    <mergeCell ref="AM493:AP494"/>
    <mergeCell ref="AT493:AW494"/>
    <mergeCell ref="BA489:BC490"/>
    <mergeCell ref="AM491:AP492"/>
    <mergeCell ref="AT491:AW492"/>
    <mergeCell ref="AX491:AZ492"/>
    <mergeCell ref="BA491:BC492"/>
    <mergeCell ref="AI489:AJ491"/>
    <mergeCell ref="AX493:AZ494"/>
    <mergeCell ref="BA493:BC494"/>
    <mergeCell ref="BA481:BC482"/>
    <mergeCell ref="AM483:AP484"/>
    <mergeCell ref="X492:AA494"/>
    <mergeCell ref="AB492:AD494"/>
    <mergeCell ref="AT483:AW484"/>
    <mergeCell ref="AX483:AZ484"/>
    <mergeCell ref="BA483:BC484"/>
    <mergeCell ref="AI481:AJ483"/>
    <mergeCell ref="AK481:AL483"/>
    <mergeCell ref="AM481:AP482"/>
    <mergeCell ref="AT481:AW482"/>
    <mergeCell ref="AX481:AZ482"/>
    <mergeCell ref="W481:X483"/>
    <mergeCell ref="Y481:Z483"/>
    <mergeCell ref="AA481:AB483"/>
    <mergeCell ref="AC481:AD483"/>
    <mergeCell ref="AE481:AF483"/>
    <mergeCell ref="AG481:AH483"/>
    <mergeCell ref="AX485:AZ486"/>
    <mergeCell ref="BA485:BC486"/>
    <mergeCell ref="AK489:AL491"/>
    <mergeCell ref="AM489:AP490"/>
    <mergeCell ref="AT489:AW490"/>
    <mergeCell ref="AX489:AZ490"/>
    <mergeCell ref="W489:X491"/>
    <mergeCell ref="Y489:Z491"/>
    <mergeCell ref="AA489:AB491"/>
    <mergeCell ref="AC489:AD491"/>
    <mergeCell ref="AE489:AF491"/>
    <mergeCell ref="AG489:AH491"/>
    <mergeCell ref="L479:N480"/>
    <mergeCell ref="O479:P480"/>
    <mergeCell ref="Q479:T480"/>
    <mergeCell ref="U479:BC480"/>
    <mergeCell ref="Q465:T467"/>
    <mergeCell ref="U465:V467"/>
    <mergeCell ref="Q468:T470"/>
    <mergeCell ref="AX477:AZ478"/>
    <mergeCell ref="BA477:BC478"/>
    <mergeCell ref="BA465:BC466"/>
    <mergeCell ref="AM467:AP468"/>
    <mergeCell ref="X476:AA478"/>
    <mergeCell ref="AB476:AD478"/>
    <mergeCell ref="AE476:AH478"/>
    <mergeCell ref="AI476:AK478"/>
    <mergeCell ref="AM477:AP478"/>
    <mergeCell ref="AT477:AW478"/>
    <mergeCell ref="BA473:BC474"/>
    <mergeCell ref="AM475:AP476"/>
    <mergeCell ref="AT475:AW476"/>
    <mergeCell ref="AX475:AZ476"/>
    <mergeCell ref="BA475:BC476"/>
    <mergeCell ref="AI473:AJ475"/>
    <mergeCell ref="AK473:AL475"/>
    <mergeCell ref="AM473:AP474"/>
    <mergeCell ref="AT473:AW474"/>
    <mergeCell ref="AX473:AZ474"/>
    <mergeCell ref="W473:X475"/>
    <mergeCell ref="Y473:Z475"/>
    <mergeCell ref="AA473:AB475"/>
    <mergeCell ref="AC473:AD475"/>
    <mergeCell ref="AE473:AF475"/>
    <mergeCell ref="AG473:AH475"/>
    <mergeCell ref="W465:X467"/>
    <mergeCell ref="Y465:Z467"/>
    <mergeCell ref="AA465:AB467"/>
    <mergeCell ref="AC465:AD467"/>
    <mergeCell ref="AE465:AF467"/>
    <mergeCell ref="AG465:AH467"/>
    <mergeCell ref="L463:N464"/>
    <mergeCell ref="O463:P464"/>
    <mergeCell ref="Q463:T464"/>
    <mergeCell ref="U463:BC464"/>
    <mergeCell ref="L473:M478"/>
    <mergeCell ref="N473:O478"/>
    <mergeCell ref="P473:P478"/>
    <mergeCell ref="Q473:T475"/>
    <mergeCell ref="U473:V475"/>
    <mergeCell ref="Q476:T478"/>
    <mergeCell ref="AX469:AZ470"/>
    <mergeCell ref="BA469:BC470"/>
    <mergeCell ref="L471:N472"/>
    <mergeCell ref="O471:P472"/>
    <mergeCell ref="Q471:T472"/>
    <mergeCell ref="U471:BC472"/>
    <mergeCell ref="X468:AA470"/>
    <mergeCell ref="AB468:AD470"/>
    <mergeCell ref="AE468:AH470"/>
    <mergeCell ref="AI468:AK470"/>
    <mergeCell ref="AM469:AP470"/>
    <mergeCell ref="AT469:AW470"/>
    <mergeCell ref="L465:M470"/>
    <mergeCell ref="N465:O470"/>
    <mergeCell ref="P465:P470"/>
    <mergeCell ref="BA457:BC458"/>
    <mergeCell ref="AM459:AP460"/>
    <mergeCell ref="AT459:AW460"/>
    <mergeCell ref="AX459:AZ460"/>
    <mergeCell ref="BA459:BC460"/>
    <mergeCell ref="AA457:AB459"/>
    <mergeCell ref="AC457:AD459"/>
    <mergeCell ref="AE457:AF459"/>
    <mergeCell ref="AG457:AH459"/>
    <mergeCell ref="AI457:AJ459"/>
    <mergeCell ref="AK457:AL459"/>
    <mergeCell ref="AT467:AW468"/>
    <mergeCell ref="AX467:AZ468"/>
    <mergeCell ref="BA467:BC468"/>
    <mergeCell ref="AI465:AJ467"/>
    <mergeCell ref="AK465:AL467"/>
    <mergeCell ref="AM465:AP466"/>
    <mergeCell ref="AT465:AW466"/>
    <mergeCell ref="AX465:AZ466"/>
    <mergeCell ref="L442:M447"/>
    <mergeCell ref="N442:O447"/>
    <mergeCell ref="P442:P447"/>
    <mergeCell ref="Q442:T444"/>
    <mergeCell ref="U442:V444"/>
    <mergeCell ref="Q445:T447"/>
    <mergeCell ref="M455:P456"/>
    <mergeCell ref="R455:BC456"/>
    <mergeCell ref="L457:M462"/>
    <mergeCell ref="N457:O462"/>
    <mergeCell ref="P457:P462"/>
    <mergeCell ref="Q457:T459"/>
    <mergeCell ref="U457:V459"/>
    <mergeCell ref="W457:X459"/>
    <mergeCell ref="Y457:Z459"/>
    <mergeCell ref="L452:AD452"/>
    <mergeCell ref="M453:P454"/>
    <mergeCell ref="Q453:AI454"/>
    <mergeCell ref="AK453:AP454"/>
    <mergeCell ref="AQ453:BC454"/>
    <mergeCell ref="AT461:AW462"/>
    <mergeCell ref="AX461:AZ462"/>
    <mergeCell ref="BA461:BC462"/>
    <mergeCell ref="Q460:T462"/>
    <mergeCell ref="X460:AA462"/>
    <mergeCell ref="AB460:AD462"/>
    <mergeCell ref="AE460:AH462"/>
    <mergeCell ref="AI460:AK462"/>
    <mergeCell ref="AM461:AP462"/>
    <mergeCell ref="AM457:AP458"/>
    <mergeCell ref="AT457:AW458"/>
    <mergeCell ref="AX457:AZ458"/>
    <mergeCell ref="L440:N441"/>
    <mergeCell ref="O440:P441"/>
    <mergeCell ref="Q440:T441"/>
    <mergeCell ref="U440:BC441"/>
    <mergeCell ref="X437:AA439"/>
    <mergeCell ref="AB437:AD439"/>
    <mergeCell ref="AE437:AH439"/>
    <mergeCell ref="AI437:AK439"/>
    <mergeCell ref="AM438:AP439"/>
    <mergeCell ref="AT438:AW439"/>
    <mergeCell ref="L434:M439"/>
    <mergeCell ref="N434:O439"/>
    <mergeCell ref="P434:P439"/>
    <mergeCell ref="Q434:T436"/>
    <mergeCell ref="U434:V436"/>
    <mergeCell ref="Q437:T439"/>
    <mergeCell ref="L448:N449"/>
    <mergeCell ref="O448:P449"/>
    <mergeCell ref="Q448:T449"/>
    <mergeCell ref="U448:BC449"/>
    <mergeCell ref="X445:AA447"/>
    <mergeCell ref="AB445:AD447"/>
    <mergeCell ref="AE445:AH447"/>
    <mergeCell ref="AI445:AK447"/>
    <mergeCell ref="AM446:AP447"/>
    <mergeCell ref="AT446:AW447"/>
    <mergeCell ref="BA442:BC443"/>
    <mergeCell ref="AM444:AP445"/>
    <mergeCell ref="AT444:AW445"/>
    <mergeCell ref="AX444:AZ445"/>
    <mergeCell ref="BA444:BC445"/>
    <mergeCell ref="AI442:AJ444"/>
    <mergeCell ref="AX446:AZ447"/>
    <mergeCell ref="BA446:BC447"/>
    <mergeCell ref="BA434:BC435"/>
    <mergeCell ref="AM436:AP437"/>
    <mergeCell ref="AT436:AW437"/>
    <mergeCell ref="AX436:AZ437"/>
    <mergeCell ref="BA436:BC437"/>
    <mergeCell ref="AI434:AJ436"/>
    <mergeCell ref="AK434:AL436"/>
    <mergeCell ref="AM434:AP435"/>
    <mergeCell ref="AT434:AW435"/>
    <mergeCell ref="AX434:AZ435"/>
    <mergeCell ref="W434:X436"/>
    <mergeCell ref="Y434:Z436"/>
    <mergeCell ref="AA434:AB436"/>
    <mergeCell ref="AC434:AD436"/>
    <mergeCell ref="AE434:AF436"/>
    <mergeCell ref="AG434:AH436"/>
    <mergeCell ref="AX438:AZ439"/>
    <mergeCell ref="BA438:BC439"/>
    <mergeCell ref="AK442:AL444"/>
    <mergeCell ref="AM442:AP443"/>
    <mergeCell ref="AT442:AW443"/>
    <mergeCell ref="AX442:AZ443"/>
    <mergeCell ref="W442:X444"/>
    <mergeCell ref="Y442:Z444"/>
    <mergeCell ref="AA442:AB444"/>
    <mergeCell ref="AC442:AD444"/>
    <mergeCell ref="AE442:AF444"/>
    <mergeCell ref="AG442:AH444"/>
    <mergeCell ref="L432:N433"/>
    <mergeCell ref="O432:P433"/>
    <mergeCell ref="Q432:T433"/>
    <mergeCell ref="U432:BC433"/>
    <mergeCell ref="X429:AA431"/>
    <mergeCell ref="AB429:AD431"/>
    <mergeCell ref="AE429:AH431"/>
    <mergeCell ref="AI429:AK431"/>
    <mergeCell ref="AM430:AP431"/>
    <mergeCell ref="AT430:AW431"/>
    <mergeCell ref="L426:M431"/>
    <mergeCell ref="N426:O431"/>
    <mergeCell ref="P426:P431"/>
    <mergeCell ref="Q426:T428"/>
    <mergeCell ref="U426:V428"/>
    <mergeCell ref="Q429:T431"/>
    <mergeCell ref="AX430:AZ431"/>
    <mergeCell ref="BA430:BC431"/>
    <mergeCell ref="BA426:BC427"/>
    <mergeCell ref="AM428:AP429"/>
    <mergeCell ref="AT428:AW429"/>
    <mergeCell ref="AX428:AZ429"/>
    <mergeCell ref="BA428:BC429"/>
    <mergeCell ref="AI426:AJ428"/>
    <mergeCell ref="AK426:AL428"/>
    <mergeCell ref="AM426:AP427"/>
    <mergeCell ref="AT426:AW427"/>
    <mergeCell ref="AX426:AZ427"/>
    <mergeCell ref="W426:X428"/>
    <mergeCell ref="Y426:Z428"/>
    <mergeCell ref="AA426:AB428"/>
    <mergeCell ref="AC426:AD428"/>
    <mergeCell ref="AE426:AF428"/>
    <mergeCell ref="AG426:AH428"/>
    <mergeCell ref="AX422:AZ423"/>
    <mergeCell ref="BA422:BC423"/>
    <mergeCell ref="L424:N425"/>
    <mergeCell ref="O424:P425"/>
    <mergeCell ref="Q424:T425"/>
    <mergeCell ref="U424:BC425"/>
    <mergeCell ref="X421:AA423"/>
    <mergeCell ref="AB421:AD423"/>
    <mergeCell ref="AE421:AH423"/>
    <mergeCell ref="AI421:AK423"/>
    <mergeCell ref="AM422:AP423"/>
    <mergeCell ref="AT422:AW423"/>
    <mergeCell ref="L418:M423"/>
    <mergeCell ref="N418:O423"/>
    <mergeCell ref="P418:P423"/>
    <mergeCell ref="Q418:T420"/>
    <mergeCell ref="U418:V420"/>
    <mergeCell ref="Q421:T423"/>
    <mergeCell ref="BA418:BC419"/>
    <mergeCell ref="AM420:AP421"/>
    <mergeCell ref="AT420:AW421"/>
    <mergeCell ref="AX420:AZ421"/>
    <mergeCell ref="BA420:BC421"/>
    <mergeCell ref="AI418:AJ420"/>
    <mergeCell ref="AK418:AL420"/>
    <mergeCell ref="AM418:AP419"/>
    <mergeCell ref="AT418:AW419"/>
    <mergeCell ref="AX418:AZ419"/>
    <mergeCell ref="W418:X420"/>
    <mergeCell ref="Y418:Z420"/>
    <mergeCell ref="AA418:AB420"/>
    <mergeCell ref="AC418:AD420"/>
    <mergeCell ref="AE418:AF420"/>
    <mergeCell ref="AG418:AH420"/>
    <mergeCell ref="L416:N417"/>
    <mergeCell ref="O416:P417"/>
    <mergeCell ref="Q416:T417"/>
    <mergeCell ref="U416:BC417"/>
    <mergeCell ref="X413:AA415"/>
    <mergeCell ref="AB413:AD415"/>
    <mergeCell ref="AE413:AH415"/>
    <mergeCell ref="AI413:AK415"/>
    <mergeCell ref="AM414:AP415"/>
    <mergeCell ref="AT414:AW415"/>
    <mergeCell ref="BA410:BC411"/>
    <mergeCell ref="AM412:AP413"/>
    <mergeCell ref="AT412:AW413"/>
    <mergeCell ref="AX412:AZ413"/>
    <mergeCell ref="BA412:BC413"/>
    <mergeCell ref="AI410:AJ412"/>
    <mergeCell ref="AK410:AL412"/>
    <mergeCell ref="AM410:AP411"/>
    <mergeCell ref="AT410:AW411"/>
    <mergeCell ref="AX410:AZ411"/>
    <mergeCell ref="W410:X412"/>
    <mergeCell ref="Y410:Z412"/>
    <mergeCell ref="AA410:AB412"/>
    <mergeCell ref="AC410:AD412"/>
    <mergeCell ref="AE410:AF412"/>
    <mergeCell ref="AG410:AH412"/>
    <mergeCell ref="L410:M415"/>
    <mergeCell ref="N410:O415"/>
    <mergeCell ref="P410:P415"/>
    <mergeCell ref="Q410:T412"/>
    <mergeCell ref="U410:V412"/>
    <mergeCell ref="Q413:T415"/>
    <mergeCell ref="AX406:AZ407"/>
    <mergeCell ref="BA406:BC407"/>
    <mergeCell ref="L408:N409"/>
    <mergeCell ref="O408:P409"/>
    <mergeCell ref="Q408:T409"/>
    <mergeCell ref="U408:BC409"/>
    <mergeCell ref="X405:AA407"/>
    <mergeCell ref="AB405:AD407"/>
    <mergeCell ref="AE405:AH407"/>
    <mergeCell ref="AI405:AK407"/>
    <mergeCell ref="AM406:AP407"/>
    <mergeCell ref="AT406:AW407"/>
    <mergeCell ref="L402:M407"/>
    <mergeCell ref="N402:O407"/>
    <mergeCell ref="P402:P407"/>
    <mergeCell ref="Q402:T404"/>
    <mergeCell ref="U402:V404"/>
    <mergeCell ref="Q405:T407"/>
    <mergeCell ref="AX414:AZ415"/>
    <mergeCell ref="BA414:BC415"/>
    <mergeCell ref="BA402:BC403"/>
    <mergeCell ref="AM404:AP405"/>
    <mergeCell ref="AT404:AW405"/>
    <mergeCell ref="AX404:AZ405"/>
    <mergeCell ref="BA404:BC405"/>
    <mergeCell ref="AI402:AJ404"/>
    <mergeCell ref="AK402:AL404"/>
    <mergeCell ref="AM402:AP403"/>
    <mergeCell ref="AT402:AW403"/>
    <mergeCell ref="AX402:AZ403"/>
    <mergeCell ref="W402:X404"/>
    <mergeCell ref="Y402:Z404"/>
    <mergeCell ref="AA402:AB404"/>
    <mergeCell ref="AC402:AD404"/>
    <mergeCell ref="AE402:AF404"/>
    <mergeCell ref="AG402:AH404"/>
    <mergeCell ref="L400:N401"/>
    <mergeCell ref="O400:P401"/>
    <mergeCell ref="Q400:T401"/>
    <mergeCell ref="U400:BC401"/>
    <mergeCell ref="X397:AA399"/>
    <mergeCell ref="AB397:AD399"/>
    <mergeCell ref="AE397:AH399"/>
    <mergeCell ref="AI397:AK399"/>
    <mergeCell ref="AM398:AP399"/>
    <mergeCell ref="AT398:AW399"/>
    <mergeCell ref="L394:M399"/>
    <mergeCell ref="N394:O399"/>
    <mergeCell ref="P394:P399"/>
    <mergeCell ref="Q394:T396"/>
    <mergeCell ref="U394:V396"/>
    <mergeCell ref="Q397:T399"/>
    <mergeCell ref="AX398:AZ399"/>
    <mergeCell ref="BA398:BC399"/>
    <mergeCell ref="BA394:BC395"/>
    <mergeCell ref="AM396:AP397"/>
    <mergeCell ref="AT396:AW397"/>
    <mergeCell ref="AX396:AZ397"/>
    <mergeCell ref="BA396:BC397"/>
    <mergeCell ref="AI394:AJ396"/>
    <mergeCell ref="AK394:AL396"/>
    <mergeCell ref="AM394:AP395"/>
    <mergeCell ref="AT394:AW395"/>
    <mergeCell ref="AX394:AZ395"/>
    <mergeCell ref="W394:X396"/>
    <mergeCell ref="Y394:Z396"/>
    <mergeCell ref="AA394:AB396"/>
    <mergeCell ref="AC394:AD396"/>
    <mergeCell ref="AE394:AF396"/>
    <mergeCell ref="AG394:AH396"/>
    <mergeCell ref="AX390:AZ391"/>
    <mergeCell ref="BA390:BC391"/>
    <mergeCell ref="L392:N393"/>
    <mergeCell ref="O392:P393"/>
    <mergeCell ref="Q392:T393"/>
    <mergeCell ref="U392:BC393"/>
    <mergeCell ref="X389:AA391"/>
    <mergeCell ref="AB389:AD391"/>
    <mergeCell ref="AE389:AH391"/>
    <mergeCell ref="AI389:AK391"/>
    <mergeCell ref="AM390:AP391"/>
    <mergeCell ref="AT390:AW391"/>
    <mergeCell ref="L386:M391"/>
    <mergeCell ref="N386:O391"/>
    <mergeCell ref="P386:P391"/>
    <mergeCell ref="Q386:T388"/>
    <mergeCell ref="U386:V388"/>
    <mergeCell ref="Q389:T391"/>
    <mergeCell ref="BA386:BC387"/>
    <mergeCell ref="AM388:AP389"/>
    <mergeCell ref="AT388:AW389"/>
    <mergeCell ref="AX388:AZ389"/>
    <mergeCell ref="BA388:BC389"/>
    <mergeCell ref="AI386:AJ388"/>
    <mergeCell ref="AK386:AL388"/>
    <mergeCell ref="AM386:AP387"/>
    <mergeCell ref="AT386:AW387"/>
    <mergeCell ref="AX386:AZ387"/>
    <mergeCell ref="W386:X388"/>
    <mergeCell ref="Y386:Z388"/>
    <mergeCell ref="AA386:AB388"/>
    <mergeCell ref="AC386:AD388"/>
    <mergeCell ref="AE386:AF388"/>
    <mergeCell ref="AG386:AH388"/>
    <mergeCell ref="L384:N385"/>
    <mergeCell ref="O384:P385"/>
    <mergeCell ref="Q384:T385"/>
    <mergeCell ref="U384:BC385"/>
    <mergeCell ref="X381:AA383"/>
    <mergeCell ref="AB381:AD383"/>
    <mergeCell ref="AE381:AH383"/>
    <mergeCell ref="AI381:AK383"/>
    <mergeCell ref="AM382:AP383"/>
    <mergeCell ref="AT382:AW383"/>
    <mergeCell ref="L378:M383"/>
    <mergeCell ref="N378:O383"/>
    <mergeCell ref="P378:P383"/>
    <mergeCell ref="Q378:T380"/>
    <mergeCell ref="U378:V380"/>
    <mergeCell ref="Q381:T383"/>
    <mergeCell ref="L376:N377"/>
    <mergeCell ref="O376:P377"/>
    <mergeCell ref="Q376:T377"/>
    <mergeCell ref="U376:BC377"/>
    <mergeCell ref="Q373:T375"/>
    <mergeCell ref="X373:AA375"/>
    <mergeCell ref="AB373:AD375"/>
    <mergeCell ref="AE373:AH375"/>
    <mergeCell ref="AI373:AK375"/>
    <mergeCell ref="AM374:AP375"/>
    <mergeCell ref="AX382:AZ383"/>
    <mergeCell ref="BA382:BC383"/>
    <mergeCell ref="BA378:BC379"/>
    <mergeCell ref="AM380:AP381"/>
    <mergeCell ref="AT380:AW381"/>
    <mergeCell ref="AX380:AZ381"/>
    <mergeCell ref="BA380:BC381"/>
    <mergeCell ref="AI378:AJ380"/>
    <mergeCell ref="AK378:AL380"/>
    <mergeCell ref="AM378:AP379"/>
    <mergeCell ref="AT378:AW379"/>
    <mergeCell ref="AX378:AZ379"/>
    <mergeCell ref="W378:X380"/>
    <mergeCell ref="Y378:Z380"/>
    <mergeCell ref="AA378:AB380"/>
    <mergeCell ref="AC378:AD380"/>
    <mergeCell ref="AE378:AF380"/>
    <mergeCell ref="AG378:AH380"/>
    <mergeCell ref="AM370:AP371"/>
    <mergeCell ref="AT370:AW371"/>
    <mergeCell ref="AX370:AZ371"/>
    <mergeCell ref="BA370:BC371"/>
    <mergeCell ref="AM372:AP373"/>
    <mergeCell ref="AT372:AW373"/>
    <mergeCell ref="AX372:AZ373"/>
    <mergeCell ref="BA372:BC373"/>
    <mergeCell ref="AA370:AB372"/>
    <mergeCell ref="AC370:AD372"/>
    <mergeCell ref="AE370:AF372"/>
    <mergeCell ref="AG370:AH372"/>
    <mergeCell ref="AI370:AJ372"/>
    <mergeCell ref="AK370:AL372"/>
    <mergeCell ref="M368:P369"/>
    <mergeCell ref="R368:BC369"/>
    <mergeCell ref="L370:M375"/>
    <mergeCell ref="N370:O375"/>
    <mergeCell ref="P370:P375"/>
    <mergeCell ref="Q370:T372"/>
    <mergeCell ref="U370:V372"/>
    <mergeCell ref="W370:X372"/>
    <mergeCell ref="Y370:Z372"/>
    <mergeCell ref="AT374:AW375"/>
    <mergeCell ref="AX374:AZ375"/>
    <mergeCell ref="BA374:BC375"/>
    <mergeCell ref="L365:AD365"/>
    <mergeCell ref="M366:P367"/>
    <mergeCell ref="Q366:AI367"/>
    <mergeCell ref="AK366:AP367"/>
    <mergeCell ref="AQ366:BC367"/>
    <mergeCell ref="AX359:AZ360"/>
    <mergeCell ref="BA359:BC360"/>
    <mergeCell ref="L361:N361"/>
    <mergeCell ref="O361:P361"/>
    <mergeCell ref="Q361:T362"/>
    <mergeCell ref="U361:BC362"/>
    <mergeCell ref="L362:M362"/>
    <mergeCell ref="O362:P362"/>
    <mergeCell ref="X358:AA360"/>
    <mergeCell ref="AB358:AD360"/>
    <mergeCell ref="AE358:AH360"/>
    <mergeCell ref="AI358:AK360"/>
    <mergeCell ref="AM359:AP360"/>
    <mergeCell ref="AT359:AW360"/>
    <mergeCell ref="L355:M360"/>
    <mergeCell ref="N355:O360"/>
    <mergeCell ref="P355:P360"/>
    <mergeCell ref="Q355:T357"/>
    <mergeCell ref="U355:V357"/>
    <mergeCell ref="Q358:T360"/>
    <mergeCell ref="BA355:BC356"/>
    <mergeCell ref="AM357:AP358"/>
    <mergeCell ref="AT357:AW358"/>
    <mergeCell ref="AX357:AZ358"/>
    <mergeCell ref="BA357:BC358"/>
    <mergeCell ref="AI355:AJ357"/>
    <mergeCell ref="AK355:AL357"/>
    <mergeCell ref="AM355:AP356"/>
    <mergeCell ref="AT355:AW356"/>
    <mergeCell ref="AX355:AZ356"/>
    <mergeCell ref="W355:X357"/>
    <mergeCell ref="Y355:Z357"/>
    <mergeCell ref="AA355:AB357"/>
    <mergeCell ref="AC355:AD357"/>
    <mergeCell ref="AE355:AF357"/>
    <mergeCell ref="AG355:AH357"/>
    <mergeCell ref="AX351:AZ352"/>
    <mergeCell ref="BA351:BC352"/>
    <mergeCell ref="L353:N353"/>
    <mergeCell ref="O353:P353"/>
    <mergeCell ref="Q353:T354"/>
    <mergeCell ref="U353:BC354"/>
    <mergeCell ref="L354:M354"/>
    <mergeCell ref="O354:P354"/>
    <mergeCell ref="X350:AA352"/>
    <mergeCell ref="AB350:AD352"/>
    <mergeCell ref="AE350:AH352"/>
    <mergeCell ref="AI350:AK352"/>
    <mergeCell ref="AM351:AP352"/>
    <mergeCell ref="AT351:AW352"/>
    <mergeCell ref="BA347:BC348"/>
    <mergeCell ref="AM349:AP350"/>
    <mergeCell ref="AT349:AW350"/>
    <mergeCell ref="AX349:AZ350"/>
    <mergeCell ref="BA349:BC350"/>
    <mergeCell ref="AI347:AJ349"/>
    <mergeCell ref="AK347:AL349"/>
    <mergeCell ref="AM347:AP348"/>
    <mergeCell ref="AT347:AW348"/>
    <mergeCell ref="AX347:AZ348"/>
    <mergeCell ref="W347:X349"/>
    <mergeCell ref="Y347:Z349"/>
    <mergeCell ref="AA347:AB349"/>
    <mergeCell ref="AC347:AD349"/>
    <mergeCell ref="AE347:AF349"/>
    <mergeCell ref="AG347:AH349"/>
    <mergeCell ref="L347:M352"/>
    <mergeCell ref="N347:O352"/>
    <mergeCell ref="P347:P352"/>
    <mergeCell ref="Q347:T349"/>
    <mergeCell ref="U347:V349"/>
    <mergeCell ref="Q350:T352"/>
    <mergeCell ref="AX343:AZ344"/>
    <mergeCell ref="BA343:BC344"/>
    <mergeCell ref="L345:N345"/>
    <mergeCell ref="O345:P345"/>
    <mergeCell ref="Q345:T346"/>
    <mergeCell ref="U345:BC346"/>
    <mergeCell ref="L346:M346"/>
    <mergeCell ref="O346:P346"/>
    <mergeCell ref="X342:AA344"/>
    <mergeCell ref="AB342:AD344"/>
    <mergeCell ref="AE342:AH344"/>
    <mergeCell ref="AI342:AK344"/>
    <mergeCell ref="AM343:AP344"/>
    <mergeCell ref="AT343:AW344"/>
    <mergeCell ref="L339:M344"/>
    <mergeCell ref="N339:O344"/>
    <mergeCell ref="P339:P344"/>
    <mergeCell ref="Q339:T341"/>
    <mergeCell ref="U339:V341"/>
    <mergeCell ref="Q342:T344"/>
    <mergeCell ref="BA339:BC340"/>
    <mergeCell ref="AM341:AP342"/>
    <mergeCell ref="AT341:AW342"/>
    <mergeCell ref="AX341:AZ342"/>
    <mergeCell ref="BA341:BC342"/>
    <mergeCell ref="AI339:AJ341"/>
    <mergeCell ref="AK339:AL341"/>
    <mergeCell ref="AM339:AP340"/>
    <mergeCell ref="AT339:AW340"/>
    <mergeCell ref="AX339:AZ340"/>
    <mergeCell ref="W339:X341"/>
    <mergeCell ref="Y339:Z341"/>
    <mergeCell ref="AA339:AB341"/>
    <mergeCell ref="AC339:AD341"/>
    <mergeCell ref="AE339:AF341"/>
    <mergeCell ref="AG339:AH341"/>
    <mergeCell ref="AX335:AZ336"/>
    <mergeCell ref="BA335:BC336"/>
    <mergeCell ref="L337:N337"/>
    <mergeCell ref="O337:P337"/>
    <mergeCell ref="Q337:T338"/>
    <mergeCell ref="U337:BC338"/>
    <mergeCell ref="L338:M338"/>
    <mergeCell ref="O338:P338"/>
    <mergeCell ref="X334:AA336"/>
    <mergeCell ref="AB334:AD336"/>
    <mergeCell ref="AE334:AH336"/>
    <mergeCell ref="AI334:AK336"/>
    <mergeCell ref="AM335:AP336"/>
    <mergeCell ref="AT335:AW336"/>
    <mergeCell ref="L331:M336"/>
    <mergeCell ref="N331:O336"/>
    <mergeCell ref="P331:P336"/>
    <mergeCell ref="Q331:T333"/>
    <mergeCell ref="U331:V333"/>
    <mergeCell ref="Q334:T336"/>
    <mergeCell ref="BA331:BC332"/>
    <mergeCell ref="AM333:AP334"/>
    <mergeCell ref="AT333:AW334"/>
    <mergeCell ref="AX333:AZ334"/>
    <mergeCell ref="BA333:BC334"/>
    <mergeCell ref="AI331:AJ333"/>
    <mergeCell ref="AK331:AL333"/>
    <mergeCell ref="AM331:AP332"/>
    <mergeCell ref="AT331:AW332"/>
    <mergeCell ref="AX331:AZ332"/>
    <mergeCell ref="W331:X333"/>
    <mergeCell ref="Y331:Z333"/>
    <mergeCell ref="AA331:AB333"/>
    <mergeCell ref="AC331:AD333"/>
    <mergeCell ref="AE331:AF333"/>
    <mergeCell ref="AG331:AH333"/>
    <mergeCell ref="AX327:AZ328"/>
    <mergeCell ref="BA327:BC328"/>
    <mergeCell ref="L329:N329"/>
    <mergeCell ref="O329:P329"/>
    <mergeCell ref="Q329:T330"/>
    <mergeCell ref="U329:BC330"/>
    <mergeCell ref="L330:M330"/>
    <mergeCell ref="O330:P330"/>
    <mergeCell ref="X326:AA328"/>
    <mergeCell ref="AB326:AD328"/>
    <mergeCell ref="AE326:AH328"/>
    <mergeCell ref="AI326:AK328"/>
    <mergeCell ref="AM327:AP328"/>
    <mergeCell ref="AT327:AW328"/>
    <mergeCell ref="L323:M328"/>
    <mergeCell ref="N323:O328"/>
    <mergeCell ref="P323:P328"/>
    <mergeCell ref="Q323:T325"/>
    <mergeCell ref="U323:V325"/>
    <mergeCell ref="Q326:T328"/>
    <mergeCell ref="BA323:BC324"/>
    <mergeCell ref="AM325:AP326"/>
    <mergeCell ref="AT325:AW326"/>
    <mergeCell ref="AX325:AZ326"/>
    <mergeCell ref="BA325:BC326"/>
    <mergeCell ref="AI323:AJ325"/>
    <mergeCell ref="AK323:AL325"/>
    <mergeCell ref="AM323:AP324"/>
    <mergeCell ref="AT323:AW324"/>
    <mergeCell ref="AX323:AZ324"/>
    <mergeCell ref="W323:X325"/>
    <mergeCell ref="Y323:Z325"/>
    <mergeCell ref="AA323:AB325"/>
    <mergeCell ref="AC323:AD325"/>
    <mergeCell ref="AE323:AF325"/>
    <mergeCell ref="AG323:AH325"/>
    <mergeCell ref="AX319:AZ320"/>
    <mergeCell ref="BA319:BC320"/>
    <mergeCell ref="L321:N321"/>
    <mergeCell ref="O321:P321"/>
    <mergeCell ref="Q321:T322"/>
    <mergeCell ref="U321:BC322"/>
    <mergeCell ref="L322:M322"/>
    <mergeCell ref="O322:P322"/>
    <mergeCell ref="X318:AA320"/>
    <mergeCell ref="AB318:AD320"/>
    <mergeCell ref="AE318:AH320"/>
    <mergeCell ref="AI318:AK320"/>
    <mergeCell ref="AM319:AP320"/>
    <mergeCell ref="AT319:AW320"/>
    <mergeCell ref="L315:M320"/>
    <mergeCell ref="N315:O320"/>
    <mergeCell ref="P315:P320"/>
    <mergeCell ref="Q315:T317"/>
    <mergeCell ref="U315:V317"/>
    <mergeCell ref="Q318:T320"/>
    <mergeCell ref="AX309:AZ310"/>
    <mergeCell ref="BA309:BC310"/>
    <mergeCell ref="AI307:AJ309"/>
    <mergeCell ref="AK307:AL309"/>
    <mergeCell ref="AM307:AP308"/>
    <mergeCell ref="AT307:AW308"/>
    <mergeCell ref="AX307:AZ308"/>
    <mergeCell ref="W307:X309"/>
    <mergeCell ref="Y307:Z309"/>
    <mergeCell ref="AA307:AB309"/>
    <mergeCell ref="AC307:AD309"/>
    <mergeCell ref="BA315:BC316"/>
    <mergeCell ref="AM317:AP318"/>
    <mergeCell ref="AT317:AW318"/>
    <mergeCell ref="AX317:AZ318"/>
    <mergeCell ref="BA317:BC318"/>
    <mergeCell ref="AI315:AJ317"/>
    <mergeCell ref="AK315:AL317"/>
    <mergeCell ref="AM315:AP316"/>
    <mergeCell ref="AT315:AW316"/>
    <mergeCell ref="AX315:AZ316"/>
    <mergeCell ref="W315:X317"/>
    <mergeCell ref="Y315:Z317"/>
    <mergeCell ref="AA315:AB317"/>
    <mergeCell ref="AC315:AD317"/>
    <mergeCell ref="AE315:AF317"/>
    <mergeCell ref="AG315:AH317"/>
    <mergeCell ref="AX311:AZ312"/>
    <mergeCell ref="BA311:BC312"/>
    <mergeCell ref="AT295:AW296"/>
    <mergeCell ref="AX303:AZ304"/>
    <mergeCell ref="BA303:BC304"/>
    <mergeCell ref="X302:AA304"/>
    <mergeCell ref="AB302:AD304"/>
    <mergeCell ref="BA299:BC300"/>
    <mergeCell ref="AM301:AP302"/>
    <mergeCell ref="AT301:AW302"/>
    <mergeCell ref="BA301:BC302"/>
    <mergeCell ref="AI299:AJ301"/>
    <mergeCell ref="AK299:AL301"/>
    <mergeCell ref="L313:N313"/>
    <mergeCell ref="O313:P313"/>
    <mergeCell ref="Q313:T314"/>
    <mergeCell ref="U313:BC314"/>
    <mergeCell ref="L314:M314"/>
    <mergeCell ref="O314:P314"/>
    <mergeCell ref="X310:AA312"/>
    <mergeCell ref="AB310:AD312"/>
    <mergeCell ref="AE310:AH312"/>
    <mergeCell ref="AI310:AK312"/>
    <mergeCell ref="AM311:AP312"/>
    <mergeCell ref="AT311:AW312"/>
    <mergeCell ref="L307:M312"/>
    <mergeCell ref="N307:O312"/>
    <mergeCell ref="P307:P312"/>
    <mergeCell ref="Q307:T309"/>
    <mergeCell ref="U307:V309"/>
    <mergeCell ref="Q310:T312"/>
    <mergeCell ref="BA307:BC308"/>
    <mergeCell ref="AM309:AP310"/>
    <mergeCell ref="AT309:AW310"/>
    <mergeCell ref="P299:P304"/>
    <mergeCell ref="Q299:T301"/>
    <mergeCell ref="U299:V301"/>
    <mergeCell ref="Q302:T304"/>
    <mergeCell ref="AX295:AZ296"/>
    <mergeCell ref="AM299:AP300"/>
    <mergeCell ref="AT299:AW300"/>
    <mergeCell ref="AX299:AZ300"/>
    <mergeCell ref="W299:X301"/>
    <mergeCell ref="Y299:Z301"/>
    <mergeCell ref="AA299:AB301"/>
    <mergeCell ref="AC299:AD301"/>
    <mergeCell ref="AE307:AF309"/>
    <mergeCell ref="AG307:AH309"/>
    <mergeCell ref="L305:N305"/>
    <mergeCell ref="O305:P305"/>
    <mergeCell ref="Q305:T306"/>
    <mergeCell ref="U305:BC306"/>
    <mergeCell ref="L306:M306"/>
    <mergeCell ref="O306:P306"/>
    <mergeCell ref="BA295:BC296"/>
    <mergeCell ref="L297:N297"/>
    <mergeCell ref="O297:P297"/>
    <mergeCell ref="Q297:T298"/>
    <mergeCell ref="U297:BC298"/>
    <mergeCell ref="L298:M298"/>
    <mergeCell ref="O298:P298"/>
    <mergeCell ref="X294:AA296"/>
    <mergeCell ref="AB294:AD296"/>
    <mergeCell ref="AE294:AH296"/>
    <mergeCell ref="AI294:AK296"/>
    <mergeCell ref="AM295:AP296"/>
    <mergeCell ref="O290:P290"/>
    <mergeCell ref="L291:M296"/>
    <mergeCell ref="N291:O296"/>
    <mergeCell ref="P291:P296"/>
    <mergeCell ref="Q291:T293"/>
    <mergeCell ref="Q294:T296"/>
    <mergeCell ref="AM293:AP294"/>
    <mergeCell ref="AT293:AW294"/>
    <mergeCell ref="AX293:AZ294"/>
    <mergeCell ref="AE302:AH304"/>
    <mergeCell ref="AI302:AK304"/>
    <mergeCell ref="AM303:AP304"/>
    <mergeCell ref="AT303:AW304"/>
    <mergeCell ref="AX301:AZ302"/>
    <mergeCell ref="L289:N289"/>
    <mergeCell ref="O289:P289"/>
    <mergeCell ref="Q289:T290"/>
    <mergeCell ref="U289:BC290"/>
    <mergeCell ref="L290:M290"/>
    <mergeCell ref="AT291:AW292"/>
    <mergeCell ref="AX291:AZ292"/>
    <mergeCell ref="U291:V293"/>
    <mergeCell ref="W291:X293"/>
    <mergeCell ref="Y291:Z293"/>
    <mergeCell ref="AA291:AB293"/>
    <mergeCell ref="AC291:AD293"/>
    <mergeCell ref="AE291:AF293"/>
    <mergeCell ref="AE299:AF301"/>
    <mergeCell ref="AG299:AH301"/>
    <mergeCell ref="BA293:BC294"/>
    <mergeCell ref="L299:M304"/>
    <mergeCell ref="N299:O304"/>
    <mergeCell ref="BA291:BC292"/>
    <mergeCell ref="AG291:AH293"/>
    <mergeCell ref="AI291:AJ293"/>
    <mergeCell ref="AK291:AL293"/>
    <mergeCell ref="AM291:AP292"/>
    <mergeCell ref="AM283:AP284"/>
    <mergeCell ref="AT283:AW284"/>
    <mergeCell ref="AX283:AZ284"/>
    <mergeCell ref="BA283:BC284"/>
    <mergeCell ref="AM285:AP286"/>
    <mergeCell ref="AT285:AW286"/>
    <mergeCell ref="AX285:AZ286"/>
    <mergeCell ref="BA285:BC286"/>
    <mergeCell ref="AA283:AB285"/>
    <mergeCell ref="AC283:AD285"/>
    <mergeCell ref="AE283:AF285"/>
    <mergeCell ref="AG283:AH285"/>
    <mergeCell ref="AI283:AJ285"/>
    <mergeCell ref="AK283:AL285"/>
    <mergeCell ref="M281:P282"/>
    <mergeCell ref="R281:BC282"/>
    <mergeCell ref="L283:M288"/>
    <mergeCell ref="N283:O288"/>
    <mergeCell ref="P283:P288"/>
    <mergeCell ref="Q283:T285"/>
    <mergeCell ref="U283:V285"/>
    <mergeCell ref="W283:X285"/>
    <mergeCell ref="Y283:Z285"/>
    <mergeCell ref="AT287:AW288"/>
    <mergeCell ref="AX287:AZ288"/>
    <mergeCell ref="BA287:BC288"/>
    <mergeCell ref="L278:AD278"/>
    <mergeCell ref="M279:P280"/>
    <mergeCell ref="Q279:AI280"/>
    <mergeCell ref="AK279:AP280"/>
    <mergeCell ref="AQ279:BC280"/>
    <mergeCell ref="Q286:T288"/>
    <mergeCell ref="X286:AA288"/>
    <mergeCell ref="AB286:AD288"/>
    <mergeCell ref="AE286:AH288"/>
    <mergeCell ref="AI286:AK288"/>
    <mergeCell ref="AM287:AP288"/>
    <mergeCell ref="AX272:AZ273"/>
    <mergeCell ref="BA272:BC273"/>
    <mergeCell ref="L274:N274"/>
    <mergeCell ref="O274:P274"/>
    <mergeCell ref="Q274:T275"/>
    <mergeCell ref="U274:BC275"/>
    <mergeCell ref="L275:M275"/>
    <mergeCell ref="O275:P275"/>
    <mergeCell ref="X271:AA273"/>
    <mergeCell ref="AB271:AD273"/>
    <mergeCell ref="AE271:AH273"/>
    <mergeCell ref="AI271:AK273"/>
    <mergeCell ref="AM272:AP273"/>
    <mergeCell ref="AT272:AW273"/>
    <mergeCell ref="L268:M273"/>
    <mergeCell ref="N268:O273"/>
    <mergeCell ref="P268:P273"/>
    <mergeCell ref="Q268:T270"/>
    <mergeCell ref="U268:V270"/>
    <mergeCell ref="Q271:T273"/>
    <mergeCell ref="BA268:BC269"/>
    <mergeCell ref="AM270:AP271"/>
    <mergeCell ref="AT270:AW271"/>
    <mergeCell ref="AX270:AZ271"/>
    <mergeCell ref="BA270:BC271"/>
    <mergeCell ref="AI268:AJ270"/>
    <mergeCell ref="AK268:AL270"/>
    <mergeCell ref="AM268:AP269"/>
    <mergeCell ref="AT268:AW269"/>
    <mergeCell ref="AX268:AZ269"/>
    <mergeCell ref="W268:X270"/>
    <mergeCell ref="Y268:Z270"/>
    <mergeCell ref="AA268:AB270"/>
    <mergeCell ref="AC268:AD270"/>
    <mergeCell ref="AE268:AF270"/>
    <mergeCell ref="AG268:AH270"/>
    <mergeCell ref="AX264:AZ265"/>
    <mergeCell ref="BA264:BC265"/>
    <mergeCell ref="L266:N266"/>
    <mergeCell ref="O266:P266"/>
    <mergeCell ref="Q266:T267"/>
    <mergeCell ref="U266:BC267"/>
    <mergeCell ref="L267:M267"/>
    <mergeCell ref="O267:P267"/>
    <mergeCell ref="X263:AA265"/>
    <mergeCell ref="AB263:AD265"/>
    <mergeCell ref="AE263:AH265"/>
    <mergeCell ref="AI263:AK265"/>
    <mergeCell ref="AM264:AP265"/>
    <mergeCell ref="AT264:AW265"/>
    <mergeCell ref="BA260:BC261"/>
    <mergeCell ref="AM262:AP263"/>
    <mergeCell ref="AT262:AW263"/>
    <mergeCell ref="AX262:AZ263"/>
    <mergeCell ref="BA262:BC263"/>
    <mergeCell ref="AI260:AJ262"/>
    <mergeCell ref="AK260:AL262"/>
    <mergeCell ref="AM260:AP261"/>
    <mergeCell ref="AT260:AW261"/>
    <mergeCell ref="AX260:AZ261"/>
    <mergeCell ref="W260:X262"/>
    <mergeCell ref="Y260:Z262"/>
    <mergeCell ref="AA260:AB262"/>
    <mergeCell ref="AC260:AD262"/>
    <mergeCell ref="AE260:AF262"/>
    <mergeCell ref="AG260:AH262"/>
    <mergeCell ref="L260:M265"/>
    <mergeCell ref="N260:O265"/>
    <mergeCell ref="P260:P265"/>
    <mergeCell ref="Q260:T262"/>
    <mergeCell ref="U260:V262"/>
    <mergeCell ref="Q263:T265"/>
    <mergeCell ref="AX256:AZ257"/>
    <mergeCell ref="BA256:BC257"/>
    <mergeCell ref="L258:N258"/>
    <mergeCell ref="O258:P258"/>
    <mergeCell ref="Q258:T259"/>
    <mergeCell ref="U258:BC259"/>
    <mergeCell ref="L259:M259"/>
    <mergeCell ref="O259:P259"/>
    <mergeCell ref="X255:AA257"/>
    <mergeCell ref="AB255:AD257"/>
    <mergeCell ref="AE255:AH257"/>
    <mergeCell ref="AI255:AK257"/>
    <mergeCell ref="AM256:AP257"/>
    <mergeCell ref="AT256:AW257"/>
    <mergeCell ref="L252:M257"/>
    <mergeCell ref="N252:O257"/>
    <mergeCell ref="P252:P257"/>
    <mergeCell ref="Q252:T254"/>
    <mergeCell ref="U252:V254"/>
    <mergeCell ref="Q255:T257"/>
    <mergeCell ref="BA252:BC253"/>
    <mergeCell ref="AM254:AP255"/>
    <mergeCell ref="AT254:AW255"/>
    <mergeCell ref="AX254:AZ255"/>
    <mergeCell ref="BA254:BC255"/>
    <mergeCell ref="AI252:AJ254"/>
    <mergeCell ref="AK252:AL254"/>
    <mergeCell ref="AM252:AP253"/>
    <mergeCell ref="AT252:AW253"/>
    <mergeCell ref="AX252:AZ253"/>
    <mergeCell ref="W252:X254"/>
    <mergeCell ref="Y252:Z254"/>
    <mergeCell ref="AA252:AB254"/>
    <mergeCell ref="AC252:AD254"/>
    <mergeCell ref="AE252:AF254"/>
    <mergeCell ref="AG252:AH254"/>
    <mergeCell ref="AX248:AZ249"/>
    <mergeCell ref="BA248:BC249"/>
    <mergeCell ref="L250:N250"/>
    <mergeCell ref="O250:P250"/>
    <mergeCell ref="Q250:T251"/>
    <mergeCell ref="U250:BC251"/>
    <mergeCell ref="L251:M251"/>
    <mergeCell ref="O251:P251"/>
    <mergeCell ref="X247:AA249"/>
    <mergeCell ref="AB247:AD249"/>
    <mergeCell ref="AE247:AH249"/>
    <mergeCell ref="AI247:AK249"/>
    <mergeCell ref="AM248:AP249"/>
    <mergeCell ref="AT248:AW249"/>
    <mergeCell ref="L244:M249"/>
    <mergeCell ref="N244:O249"/>
    <mergeCell ref="P244:P249"/>
    <mergeCell ref="Q244:T246"/>
    <mergeCell ref="U244:V246"/>
    <mergeCell ref="Q247:T249"/>
    <mergeCell ref="BA244:BC245"/>
    <mergeCell ref="AM246:AP247"/>
    <mergeCell ref="AT246:AW247"/>
    <mergeCell ref="AX246:AZ247"/>
    <mergeCell ref="BA246:BC247"/>
    <mergeCell ref="AI244:AJ246"/>
    <mergeCell ref="AK244:AL246"/>
    <mergeCell ref="AM244:AP245"/>
    <mergeCell ref="AT244:AW245"/>
    <mergeCell ref="AX244:AZ245"/>
    <mergeCell ref="W244:X246"/>
    <mergeCell ref="Y244:Z246"/>
    <mergeCell ref="AA244:AB246"/>
    <mergeCell ref="AC244:AD246"/>
    <mergeCell ref="AE244:AF246"/>
    <mergeCell ref="AG244:AH246"/>
    <mergeCell ref="AX240:AZ241"/>
    <mergeCell ref="BA240:BC241"/>
    <mergeCell ref="L242:N242"/>
    <mergeCell ref="O242:P242"/>
    <mergeCell ref="Q242:T243"/>
    <mergeCell ref="U242:BC243"/>
    <mergeCell ref="L243:M243"/>
    <mergeCell ref="O243:P243"/>
    <mergeCell ref="X239:AA241"/>
    <mergeCell ref="AB239:AD241"/>
    <mergeCell ref="AE239:AH241"/>
    <mergeCell ref="AI239:AK241"/>
    <mergeCell ref="AM240:AP241"/>
    <mergeCell ref="AT240:AW241"/>
    <mergeCell ref="L236:M241"/>
    <mergeCell ref="N236:O241"/>
    <mergeCell ref="P236:P241"/>
    <mergeCell ref="Q236:T238"/>
    <mergeCell ref="U236:V238"/>
    <mergeCell ref="Q239:T241"/>
    <mergeCell ref="BA236:BC237"/>
    <mergeCell ref="AM238:AP239"/>
    <mergeCell ref="AT238:AW239"/>
    <mergeCell ref="AX238:AZ239"/>
    <mergeCell ref="BA238:BC239"/>
    <mergeCell ref="AI236:AJ238"/>
    <mergeCell ref="AK236:AL238"/>
    <mergeCell ref="AM236:AP237"/>
    <mergeCell ref="AT236:AW237"/>
    <mergeCell ref="AX236:AZ237"/>
    <mergeCell ref="W236:X238"/>
    <mergeCell ref="Y236:Z238"/>
    <mergeCell ref="AA236:AB238"/>
    <mergeCell ref="AC236:AD238"/>
    <mergeCell ref="AE236:AF238"/>
    <mergeCell ref="AG236:AH238"/>
    <mergeCell ref="AX232:AZ233"/>
    <mergeCell ref="BA232:BC233"/>
    <mergeCell ref="L234:N234"/>
    <mergeCell ref="O234:P234"/>
    <mergeCell ref="Q234:T235"/>
    <mergeCell ref="U234:BC235"/>
    <mergeCell ref="L235:M235"/>
    <mergeCell ref="O235:P235"/>
    <mergeCell ref="X231:AA233"/>
    <mergeCell ref="AB231:AD233"/>
    <mergeCell ref="AE231:AH233"/>
    <mergeCell ref="AI231:AK233"/>
    <mergeCell ref="AM232:AP233"/>
    <mergeCell ref="AT232:AW233"/>
    <mergeCell ref="L228:M233"/>
    <mergeCell ref="N228:O233"/>
    <mergeCell ref="P228:P233"/>
    <mergeCell ref="Q228:T230"/>
    <mergeCell ref="U228:V230"/>
    <mergeCell ref="Q231:T233"/>
    <mergeCell ref="AX222:AZ223"/>
    <mergeCell ref="BA222:BC223"/>
    <mergeCell ref="AI220:AJ222"/>
    <mergeCell ref="AK220:AL222"/>
    <mergeCell ref="AM220:AP221"/>
    <mergeCell ref="AT220:AW221"/>
    <mergeCell ref="AX220:AZ221"/>
    <mergeCell ref="W220:X222"/>
    <mergeCell ref="Y220:Z222"/>
    <mergeCell ref="AA220:AB222"/>
    <mergeCell ref="AC220:AD222"/>
    <mergeCell ref="BA228:BC229"/>
    <mergeCell ref="AM230:AP231"/>
    <mergeCell ref="AT230:AW231"/>
    <mergeCell ref="AX230:AZ231"/>
    <mergeCell ref="BA230:BC231"/>
    <mergeCell ref="AI228:AJ230"/>
    <mergeCell ref="AK228:AL230"/>
    <mergeCell ref="AM228:AP229"/>
    <mergeCell ref="AT228:AW229"/>
    <mergeCell ref="AX228:AZ229"/>
    <mergeCell ref="W228:X230"/>
    <mergeCell ref="Y228:Z230"/>
    <mergeCell ref="AA228:AB230"/>
    <mergeCell ref="AC228:AD230"/>
    <mergeCell ref="AE228:AF230"/>
    <mergeCell ref="AG228:AH230"/>
    <mergeCell ref="AX224:AZ225"/>
    <mergeCell ref="BA224:BC225"/>
    <mergeCell ref="AT208:AW209"/>
    <mergeCell ref="AX216:AZ217"/>
    <mergeCell ref="BA216:BC217"/>
    <mergeCell ref="X215:AA217"/>
    <mergeCell ref="AB215:AD217"/>
    <mergeCell ref="BA212:BC213"/>
    <mergeCell ref="AM214:AP215"/>
    <mergeCell ref="AT214:AW215"/>
    <mergeCell ref="BA214:BC215"/>
    <mergeCell ref="AI212:AJ214"/>
    <mergeCell ref="AK212:AL214"/>
    <mergeCell ref="L226:N226"/>
    <mergeCell ref="O226:P226"/>
    <mergeCell ref="Q226:T227"/>
    <mergeCell ref="U226:BC227"/>
    <mergeCell ref="L227:M227"/>
    <mergeCell ref="O227:P227"/>
    <mergeCell ref="X223:AA225"/>
    <mergeCell ref="AB223:AD225"/>
    <mergeCell ref="AE223:AH225"/>
    <mergeCell ref="AI223:AK225"/>
    <mergeCell ref="AM224:AP225"/>
    <mergeCell ref="AT224:AW225"/>
    <mergeCell ref="L220:M225"/>
    <mergeCell ref="N220:O225"/>
    <mergeCell ref="P220:P225"/>
    <mergeCell ref="Q220:T222"/>
    <mergeCell ref="U220:V222"/>
    <mergeCell ref="Q223:T225"/>
    <mergeCell ref="BA220:BC221"/>
    <mergeCell ref="AM222:AP223"/>
    <mergeCell ref="AT222:AW223"/>
    <mergeCell ref="P212:P217"/>
    <mergeCell ref="Q212:T214"/>
    <mergeCell ref="U212:V214"/>
    <mergeCell ref="Q215:T217"/>
    <mergeCell ref="AX208:AZ209"/>
    <mergeCell ref="AM212:AP213"/>
    <mergeCell ref="AT212:AW213"/>
    <mergeCell ref="AX212:AZ213"/>
    <mergeCell ref="W212:X214"/>
    <mergeCell ref="Y212:Z214"/>
    <mergeCell ref="AA212:AB214"/>
    <mergeCell ref="AC212:AD214"/>
    <mergeCell ref="AE220:AF222"/>
    <mergeCell ref="AG220:AH222"/>
    <mergeCell ref="L218:N218"/>
    <mergeCell ref="O218:P218"/>
    <mergeCell ref="Q218:T219"/>
    <mergeCell ref="U218:BC219"/>
    <mergeCell ref="L219:M219"/>
    <mergeCell ref="O219:P219"/>
    <mergeCell ref="BA208:BC209"/>
    <mergeCell ref="L210:N210"/>
    <mergeCell ref="O210:P210"/>
    <mergeCell ref="Q210:T211"/>
    <mergeCell ref="U210:BC211"/>
    <mergeCell ref="L211:M211"/>
    <mergeCell ref="O211:P211"/>
    <mergeCell ref="X207:AA209"/>
    <mergeCell ref="AB207:AD209"/>
    <mergeCell ref="AE207:AH209"/>
    <mergeCell ref="AI207:AK209"/>
    <mergeCell ref="AM208:AP209"/>
    <mergeCell ref="O203:P203"/>
    <mergeCell ref="L204:M209"/>
    <mergeCell ref="N204:O209"/>
    <mergeCell ref="P204:P209"/>
    <mergeCell ref="Q204:T206"/>
    <mergeCell ref="Q207:T209"/>
    <mergeCell ref="AM206:AP207"/>
    <mergeCell ref="AT206:AW207"/>
    <mergeCell ref="AX206:AZ207"/>
    <mergeCell ref="AE215:AH217"/>
    <mergeCell ref="AI215:AK217"/>
    <mergeCell ref="AM216:AP217"/>
    <mergeCell ref="AT216:AW217"/>
    <mergeCell ref="AX214:AZ215"/>
    <mergeCell ref="L202:N202"/>
    <mergeCell ref="O202:P202"/>
    <mergeCell ref="Q202:T203"/>
    <mergeCell ref="U202:BC203"/>
    <mergeCell ref="L203:M203"/>
    <mergeCell ref="AT204:AW205"/>
    <mergeCell ref="AX204:AZ205"/>
    <mergeCell ref="U204:V206"/>
    <mergeCell ref="W204:X206"/>
    <mergeCell ref="Y204:Z206"/>
    <mergeCell ref="AA204:AB206"/>
    <mergeCell ref="AC204:AD206"/>
    <mergeCell ref="AE204:AF206"/>
    <mergeCell ref="AE212:AF214"/>
    <mergeCell ref="AG212:AH214"/>
    <mergeCell ref="BA206:BC207"/>
    <mergeCell ref="L212:M217"/>
    <mergeCell ref="N212:O217"/>
    <mergeCell ref="BA204:BC205"/>
    <mergeCell ref="AG204:AH206"/>
    <mergeCell ref="AI204:AJ206"/>
    <mergeCell ref="AK204:AL206"/>
    <mergeCell ref="AM204:AP205"/>
    <mergeCell ref="AM196:AP197"/>
    <mergeCell ref="AT196:AW197"/>
    <mergeCell ref="AX196:AZ197"/>
    <mergeCell ref="BA196:BC197"/>
    <mergeCell ref="AM198:AP199"/>
    <mergeCell ref="AT198:AW199"/>
    <mergeCell ref="AX198:AZ199"/>
    <mergeCell ref="BA198:BC199"/>
    <mergeCell ref="AA196:AB198"/>
    <mergeCell ref="AC196:AD198"/>
    <mergeCell ref="AE196:AF198"/>
    <mergeCell ref="AG196:AH198"/>
    <mergeCell ref="AI196:AJ198"/>
    <mergeCell ref="AK196:AL198"/>
    <mergeCell ref="M194:P195"/>
    <mergeCell ref="R194:BC195"/>
    <mergeCell ref="L196:M201"/>
    <mergeCell ref="N196:O201"/>
    <mergeCell ref="P196:P201"/>
    <mergeCell ref="Q196:T198"/>
    <mergeCell ref="U196:V198"/>
    <mergeCell ref="W196:X198"/>
    <mergeCell ref="Y196:Z198"/>
    <mergeCell ref="AT200:AW201"/>
    <mergeCell ref="AX200:AZ201"/>
    <mergeCell ref="BA200:BC201"/>
    <mergeCell ref="L191:AD191"/>
    <mergeCell ref="M192:P193"/>
    <mergeCell ref="Q192:AI193"/>
    <mergeCell ref="AK192:AP193"/>
    <mergeCell ref="AQ192:BC193"/>
    <mergeCell ref="Q199:T201"/>
    <mergeCell ref="X199:AA201"/>
    <mergeCell ref="AB199:AD201"/>
    <mergeCell ref="AE199:AH201"/>
    <mergeCell ref="AI199:AK201"/>
    <mergeCell ref="AM200:AP201"/>
    <mergeCell ref="AX185:AZ186"/>
    <mergeCell ref="BA185:BC186"/>
    <mergeCell ref="L187:N187"/>
    <mergeCell ref="O187:P187"/>
    <mergeCell ref="Q187:T188"/>
    <mergeCell ref="U187:BC188"/>
    <mergeCell ref="L188:M188"/>
    <mergeCell ref="O188:P188"/>
    <mergeCell ref="X184:AA186"/>
    <mergeCell ref="AB184:AD186"/>
    <mergeCell ref="AE184:AH186"/>
    <mergeCell ref="AI184:AK186"/>
    <mergeCell ref="AM185:AP186"/>
    <mergeCell ref="AT185:AW186"/>
    <mergeCell ref="L181:M186"/>
    <mergeCell ref="N181:O186"/>
    <mergeCell ref="P181:P186"/>
    <mergeCell ref="Q181:T183"/>
    <mergeCell ref="U181:V183"/>
    <mergeCell ref="Q184:T186"/>
    <mergeCell ref="BA181:BC182"/>
    <mergeCell ref="AM183:AP184"/>
    <mergeCell ref="AT183:AW184"/>
    <mergeCell ref="AX183:AZ184"/>
    <mergeCell ref="BA183:BC184"/>
    <mergeCell ref="AI181:AJ183"/>
    <mergeCell ref="AK181:AL183"/>
    <mergeCell ref="AM181:AP182"/>
    <mergeCell ref="AT181:AW182"/>
    <mergeCell ref="AX181:AZ182"/>
    <mergeCell ref="W181:X183"/>
    <mergeCell ref="Y181:Z183"/>
    <mergeCell ref="AA181:AB183"/>
    <mergeCell ref="AC181:AD183"/>
    <mergeCell ref="AE181:AF183"/>
    <mergeCell ref="AG181:AH183"/>
    <mergeCell ref="AX177:AZ178"/>
    <mergeCell ref="BA177:BC178"/>
    <mergeCell ref="L179:N179"/>
    <mergeCell ref="O179:P179"/>
    <mergeCell ref="Q179:T180"/>
    <mergeCell ref="U179:BC180"/>
    <mergeCell ref="L180:M180"/>
    <mergeCell ref="O180:P180"/>
    <mergeCell ref="X176:AA178"/>
    <mergeCell ref="AB176:AD178"/>
    <mergeCell ref="AE176:AH178"/>
    <mergeCell ref="AI176:AK178"/>
    <mergeCell ref="AM177:AP178"/>
    <mergeCell ref="AT177:AW178"/>
    <mergeCell ref="BA173:BC174"/>
    <mergeCell ref="AM175:AP176"/>
    <mergeCell ref="AT175:AW176"/>
    <mergeCell ref="AX175:AZ176"/>
    <mergeCell ref="BA175:BC176"/>
    <mergeCell ref="AI173:AJ175"/>
    <mergeCell ref="AK173:AL175"/>
    <mergeCell ref="AM173:AP174"/>
    <mergeCell ref="AT173:AW174"/>
    <mergeCell ref="AX173:AZ174"/>
    <mergeCell ref="W173:X175"/>
    <mergeCell ref="Y173:Z175"/>
    <mergeCell ref="AA173:AB175"/>
    <mergeCell ref="AC173:AD175"/>
    <mergeCell ref="AE173:AF175"/>
    <mergeCell ref="AG173:AH175"/>
    <mergeCell ref="L173:M178"/>
    <mergeCell ref="N173:O178"/>
    <mergeCell ref="P173:P178"/>
    <mergeCell ref="Q173:T175"/>
    <mergeCell ref="U173:V175"/>
    <mergeCell ref="Q176:T178"/>
    <mergeCell ref="AX169:AZ170"/>
    <mergeCell ref="BA169:BC170"/>
    <mergeCell ref="L171:N171"/>
    <mergeCell ref="O171:P171"/>
    <mergeCell ref="Q171:T172"/>
    <mergeCell ref="U171:BC172"/>
    <mergeCell ref="L172:M172"/>
    <mergeCell ref="O172:P172"/>
    <mergeCell ref="X168:AA170"/>
    <mergeCell ref="AB168:AD170"/>
    <mergeCell ref="AE168:AH170"/>
    <mergeCell ref="AI168:AK170"/>
    <mergeCell ref="AM169:AP170"/>
    <mergeCell ref="AT169:AW170"/>
    <mergeCell ref="L165:M170"/>
    <mergeCell ref="N165:O170"/>
    <mergeCell ref="P165:P170"/>
    <mergeCell ref="Q165:T167"/>
    <mergeCell ref="U165:V167"/>
    <mergeCell ref="Q168:T170"/>
    <mergeCell ref="BA165:BC166"/>
    <mergeCell ref="AM167:AP168"/>
    <mergeCell ref="AT167:AW168"/>
    <mergeCell ref="AX167:AZ168"/>
    <mergeCell ref="BA167:BC168"/>
    <mergeCell ref="AI165:AJ167"/>
    <mergeCell ref="AK165:AL167"/>
    <mergeCell ref="AM165:AP166"/>
    <mergeCell ref="AT165:AW166"/>
    <mergeCell ref="AX165:AZ166"/>
    <mergeCell ref="W165:X167"/>
    <mergeCell ref="Y165:Z167"/>
    <mergeCell ref="AA165:AB167"/>
    <mergeCell ref="AC165:AD167"/>
    <mergeCell ref="AE165:AF167"/>
    <mergeCell ref="AG165:AH167"/>
    <mergeCell ref="AX161:AZ162"/>
    <mergeCell ref="BA161:BC162"/>
    <mergeCell ref="L163:N163"/>
    <mergeCell ref="O163:P163"/>
    <mergeCell ref="Q163:T164"/>
    <mergeCell ref="U163:BC164"/>
    <mergeCell ref="L164:M164"/>
    <mergeCell ref="O164:P164"/>
    <mergeCell ref="X160:AA162"/>
    <mergeCell ref="AB160:AD162"/>
    <mergeCell ref="AE160:AH162"/>
    <mergeCell ref="AI160:AK162"/>
    <mergeCell ref="AM161:AP162"/>
    <mergeCell ref="AT161:AW162"/>
    <mergeCell ref="L157:M162"/>
    <mergeCell ref="N157:O162"/>
    <mergeCell ref="P157:P162"/>
    <mergeCell ref="Q157:T159"/>
    <mergeCell ref="U157:V159"/>
    <mergeCell ref="Q160:T162"/>
    <mergeCell ref="BA157:BC158"/>
    <mergeCell ref="AM159:AP160"/>
    <mergeCell ref="AT159:AW160"/>
    <mergeCell ref="AX159:AZ160"/>
    <mergeCell ref="BA159:BC160"/>
    <mergeCell ref="AI157:AJ159"/>
    <mergeCell ref="AK157:AL159"/>
    <mergeCell ref="AM157:AP158"/>
    <mergeCell ref="AT157:AW158"/>
    <mergeCell ref="AX157:AZ158"/>
    <mergeCell ref="W157:X159"/>
    <mergeCell ref="Y157:Z159"/>
    <mergeCell ref="AA157:AB159"/>
    <mergeCell ref="AC157:AD159"/>
    <mergeCell ref="AE157:AF159"/>
    <mergeCell ref="AG157:AH159"/>
    <mergeCell ref="AX153:AZ154"/>
    <mergeCell ref="BA153:BC154"/>
    <mergeCell ref="L155:N155"/>
    <mergeCell ref="O155:P155"/>
    <mergeCell ref="Q155:T156"/>
    <mergeCell ref="U155:BC156"/>
    <mergeCell ref="L156:M156"/>
    <mergeCell ref="O156:P156"/>
    <mergeCell ref="X152:AA154"/>
    <mergeCell ref="AB152:AD154"/>
    <mergeCell ref="AE152:AH154"/>
    <mergeCell ref="AI152:AK154"/>
    <mergeCell ref="AM153:AP154"/>
    <mergeCell ref="AT153:AW154"/>
    <mergeCell ref="L149:M154"/>
    <mergeCell ref="N149:O154"/>
    <mergeCell ref="P149:P154"/>
    <mergeCell ref="Q149:T151"/>
    <mergeCell ref="U149:V151"/>
    <mergeCell ref="Q152:T154"/>
    <mergeCell ref="BA149:BC150"/>
    <mergeCell ref="AM151:AP152"/>
    <mergeCell ref="AT151:AW152"/>
    <mergeCell ref="AX151:AZ152"/>
    <mergeCell ref="BA151:BC152"/>
    <mergeCell ref="AI149:AJ151"/>
    <mergeCell ref="AK149:AL151"/>
    <mergeCell ref="AM149:AP150"/>
    <mergeCell ref="AT149:AW150"/>
    <mergeCell ref="AX149:AZ150"/>
    <mergeCell ref="W149:X151"/>
    <mergeCell ref="Y149:Z151"/>
    <mergeCell ref="AA149:AB151"/>
    <mergeCell ref="AC149:AD151"/>
    <mergeCell ref="AE149:AF151"/>
    <mergeCell ref="AG149:AH151"/>
    <mergeCell ref="AX145:AZ146"/>
    <mergeCell ref="BA145:BC146"/>
    <mergeCell ref="L147:N147"/>
    <mergeCell ref="O147:P147"/>
    <mergeCell ref="Q147:T148"/>
    <mergeCell ref="U147:BC148"/>
    <mergeCell ref="L148:M148"/>
    <mergeCell ref="O148:P148"/>
    <mergeCell ref="X144:AA146"/>
    <mergeCell ref="AB144:AD146"/>
    <mergeCell ref="AE144:AH146"/>
    <mergeCell ref="AI144:AK146"/>
    <mergeCell ref="AM145:AP146"/>
    <mergeCell ref="AT145:AW146"/>
    <mergeCell ref="L141:M146"/>
    <mergeCell ref="N141:O146"/>
    <mergeCell ref="P141:P146"/>
    <mergeCell ref="Q141:T143"/>
    <mergeCell ref="U141:V143"/>
    <mergeCell ref="Q144:T146"/>
    <mergeCell ref="AX135:AZ136"/>
    <mergeCell ref="BA135:BC136"/>
    <mergeCell ref="AI133:AJ135"/>
    <mergeCell ref="AK133:AL135"/>
    <mergeCell ref="AM133:AP134"/>
    <mergeCell ref="AT133:AW134"/>
    <mergeCell ref="AX133:AZ134"/>
    <mergeCell ref="W133:X135"/>
    <mergeCell ref="Y133:Z135"/>
    <mergeCell ref="AA133:AB135"/>
    <mergeCell ref="AC133:AD135"/>
    <mergeCell ref="BA141:BC142"/>
    <mergeCell ref="AM143:AP144"/>
    <mergeCell ref="AT143:AW144"/>
    <mergeCell ref="AX143:AZ144"/>
    <mergeCell ref="BA143:BC144"/>
    <mergeCell ref="AI141:AJ143"/>
    <mergeCell ref="AK141:AL143"/>
    <mergeCell ref="AM141:AP142"/>
    <mergeCell ref="AT141:AW142"/>
    <mergeCell ref="AX141:AZ142"/>
    <mergeCell ref="W141:X143"/>
    <mergeCell ref="Y141:Z143"/>
    <mergeCell ref="AA141:AB143"/>
    <mergeCell ref="AC141:AD143"/>
    <mergeCell ref="AE141:AF143"/>
    <mergeCell ref="AG141:AH143"/>
    <mergeCell ref="AX137:AZ138"/>
    <mergeCell ref="BA137:BC138"/>
    <mergeCell ref="AT121:AW122"/>
    <mergeCell ref="AX129:AZ130"/>
    <mergeCell ref="BA129:BC130"/>
    <mergeCell ref="X128:AA130"/>
    <mergeCell ref="AB128:AD130"/>
    <mergeCell ref="BA125:BC126"/>
    <mergeCell ref="AM127:AP128"/>
    <mergeCell ref="AT127:AW128"/>
    <mergeCell ref="BA127:BC128"/>
    <mergeCell ref="AI125:AJ127"/>
    <mergeCell ref="AK125:AL127"/>
    <mergeCell ref="L139:N139"/>
    <mergeCell ref="O139:P139"/>
    <mergeCell ref="Q139:T140"/>
    <mergeCell ref="U139:BC140"/>
    <mergeCell ref="L140:M140"/>
    <mergeCell ref="O140:P140"/>
    <mergeCell ref="X136:AA138"/>
    <mergeCell ref="AB136:AD138"/>
    <mergeCell ref="AE136:AH138"/>
    <mergeCell ref="AI136:AK138"/>
    <mergeCell ref="AM137:AP138"/>
    <mergeCell ref="AT137:AW138"/>
    <mergeCell ref="L133:M138"/>
    <mergeCell ref="N133:O138"/>
    <mergeCell ref="P133:P138"/>
    <mergeCell ref="Q133:T135"/>
    <mergeCell ref="U133:V135"/>
    <mergeCell ref="Q136:T138"/>
    <mergeCell ref="BA133:BC134"/>
    <mergeCell ref="AM135:AP136"/>
    <mergeCell ref="AT135:AW136"/>
    <mergeCell ref="P125:P130"/>
    <mergeCell ref="Q125:T127"/>
    <mergeCell ref="U125:V127"/>
    <mergeCell ref="Q128:T130"/>
    <mergeCell ref="AX121:AZ122"/>
    <mergeCell ref="AM125:AP126"/>
    <mergeCell ref="AT125:AW126"/>
    <mergeCell ref="AX125:AZ126"/>
    <mergeCell ref="W125:X127"/>
    <mergeCell ref="Y125:Z127"/>
    <mergeCell ref="AA125:AB127"/>
    <mergeCell ref="AC125:AD127"/>
    <mergeCell ref="AE133:AF135"/>
    <mergeCell ref="AG133:AH135"/>
    <mergeCell ref="L131:N131"/>
    <mergeCell ref="O131:P131"/>
    <mergeCell ref="Q131:T132"/>
    <mergeCell ref="U131:BC132"/>
    <mergeCell ref="L132:M132"/>
    <mergeCell ref="O132:P132"/>
    <mergeCell ref="BA121:BC122"/>
    <mergeCell ref="L123:N123"/>
    <mergeCell ref="O123:P123"/>
    <mergeCell ref="Q123:T124"/>
    <mergeCell ref="U123:BC124"/>
    <mergeCell ref="L124:M124"/>
    <mergeCell ref="O124:P124"/>
    <mergeCell ref="X120:AA122"/>
    <mergeCell ref="AB120:AD122"/>
    <mergeCell ref="AE120:AH122"/>
    <mergeCell ref="AI120:AK122"/>
    <mergeCell ref="AM121:AP122"/>
    <mergeCell ref="O116:P116"/>
    <mergeCell ref="L117:M122"/>
    <mergeCell ref="N117:O122"/>
    <mergeCell ref="P117:P122"/>
    <mergeCell ref="Q117:T119"/>
    <mergeCell ref="Q120:T122"/>
    <mergeCell ref="AM119:AP120"/>
    <mergeCell ref="AT119:AW120"/>
    <mergeCell ref="AX119:AZ120"/>
    <mergeCell ref="AE128:AH130"/>
    <mergeCell ref="AI128:AK130"/>
    <mergeCell ref="AM129:AP130"/>
    <mergeCell ref="AT129:AW130"/>
    <mergeCell ref="AX127:AZ128"/>
    <mergeCell ref="L115:N115"/>
    <mergeCell ref="O115:P115"/>
    <mergeCell ref="Q115:T116"/>
    <mergeCell ref="U115:BC116"/>
    <mergeCell ref="L116:M116"/>
    <mergeCell ref="AT117:AW118"/>
    <mergeCell ref="AX117:AZ118"/>
    <mergeCell ref="U117:V119"/>
    <mergeCell ref="W117:X119"/>
    <mergeCell ref="Y117:Z119"/>
    <mergeCell ref="AA117:AB119"/>
    <mergeCell ref="AC117:AD119"/>
    <mergeCell ref="AE117:AF119"/>
    <mergeCell ref="AE125:AF127"/>
    <mergeCell ref="AG125:AH127"/>
    <mergeCell ref="BA119:BC120"/>
    <mergeCell ref="L125:M130"/>
    <mergeCell ref="N125:O130"/>
    <mergeCell ref="BA117:BC118"/>
    <mergeCell ref="AG117:AH119"/>
    <mergeCell ref="AI117:AJ119"/>
    <mergeCell ref="AK117:AL119"/>
    <mergeCell ref="AM117:AP118"/>
    <mergeCell ref="AM109:AP110"/>
    <mergeCell ref="AT109:AW110"/>
    <mergeCell ref="AX109:AZ110"/>
    <mergeCell ref="BA109:BC110"/>
    <mergeCell ref="AM111:AP112"/>
    <mergeCell ref="AT111:AW112"/>
    <mergeCell ref="AX111:AZ112"/>
    <mergeCell ref="BA111:BC112"/>
    <mergeCell ref="AA109:AB111"/>
    <mergeCell ref="AC109:AD111"/>
    <mergeCell ref="AE109:AF111"/>
    <mergeCell ref="AG109:AH111"/>
    <mergeCell ref="AI109:AJ111"/>
    <mergeCell ref="AK109:AL111"/>
    <mergeCell ref="M107:P108"/>
    <mergeCell ref="R107:BC108"/>
    <mergeCell ref="L109:M114"/>
    <mergeCell ref="N109:O114"/>
    <mergeCell ref="P109:P114"/>
    <mergeCell ref="Q109:T111"/>
    <mergeCell ref="U109:V111"/>
    <mergeCell ref="W109:X111"/>
    <mergeCell ref="Y109:Z111"/>
    <mergeCell ref="AT113:AW114"/>
    <mergeCell ref="AX113:AZ114"/>
    <mergeCell ref="BA113:BC114"/>
    <mergeCell ref="N102:BC102"/>
    <mergeCell ref="L104:AD104"/>
    <mergeCell ref="M105:P106"/>
    <mergeCell ref="Q105:AI106"/>
    <mergeCell ref="AK105:AP106"/>
    <mergeCell ref="AQ105:BC106"/>
    <mergeCell ref="Q112:T114"/>
    <mergeCell ref="X112:AA114"/>
    <mergeCell ref="AB112:AD114"/>
    <mergeCell ref="AE112:AH114"/>
    <mergeCell ref="AI112:AK114"/>
    <mergeCell ref="AM113:AP114"/>
    <mergeCell ref="N96:BC96"/>
    <mergeCell ref="N97:BC97"/>
    <mergeCell ref="N98:AZ98"/>
    <mergeCell ref="N99:AZ99"/>
    <mergeCell ref="N100:BB100"/>
    <mergeCell ref="N101:BC101"/>
    <mergeCell ref="N88:BC88"/>
    <mergeCell ref="N89:BC89"/>
    <mergeCell ref="N90:BC90"/>
    <mergeCell ref="N92:BC92"/>
    <mergeCell ref="N93:BC93"/>
    <mergeCell ref="N95:BC95"/>
    <mergeCell ref="P78:AE79"/>
    <mergeCell ref="AF78:AG79"/>
    <mergeCell ref="N84:BC84"/>
    <mergeCell ref="N85:BC85"/>
    <mergeCell ref="N86:BC86"/>
    <mergeCell ref="N87:BC87"/>
    <mergeCell ref="BA74:BB75"/>
    <mergeCell ref="BC74:BC75"/>
    <mergeCell ref="M76:O77"/>
    <mergeCell ref="P76:AI77"/>
    <mergeCell ref="AK76:AO79"/>
    <mergeCell ref="BB76:BC79"/>
    <mergeCell ref="M78:O79"/>
    <mergeCell ref="AE74:AF75"/>
    <mergeCell ref="AG74:AG75"/>
    <mergeCell ref="AH74:AI75"/>
    <mergeCell ref="AK74:AU75"/>
    <mergeCell ref="M74:U75"/>
    <mergeCell ref="AA74:AA75"/>
    <mergeCell ref="AB74:AC75"/>
    <mergeCell ref="AD74:AD75"/>
    <mergeCell ref="AT59:AW60"/>
    <mergeCell ref="AT57:AW58"/>
    <mergeCell ref="AX57:AZ58"/>
    <mergeCell ref="BA57:BC58"/>
    <mergeCell ref="AI55:AJ57"/>
    <mergeCell ref="AK55:AL57"/>
    <mergeCell ref="AM55:AP56"/>
    <mergeCell ref="AT55:AW56"/>
    <mergeCell ref="AX55:AZ56"/>
    <mergeCell ref="W55:X57"/>
    <mergeCell ref="Y55:Z57"/>
    <mergeCell ref="AA55:AB57"/>
    <mergeCell ref="AC55:AD57"/>
    <mergeCell ref="AE55:AF57"/>
    <mergeCell ref="AG55:AH57"/>
    <mergeCell ref="AE66:AF67"/>
    <mergeCell ref="AG66:AG67"/>
    <mergeCell ref="L55:M60"/>
    <mergeCell ref="N55:O60"/>
    <mergeCell ref="P55:P60"/>
    <mergeCell ref="Q55:T57"/>
    <mergeCell ref="U55:V57"/>
    <mergeCell ref="Q58:T60"/>
    <mergeCell ref="BA55:BC56"/>
    <mergeCell ref="AM57:AP58"/>
    <mergeCell ref="M68:O73"/>
    <mergeCell ref="P68:AG73"/>
    <mergeCell ref="AH71:AI73"/>
    <mergeCell ref="AK73:AX73"/>
    <mergeCell ref="M66:U67"/>
    <mergeCell ref="AA66:AA67"/>
    <mergeCell ref="AB66:AC67"/>
    <mergeCell ref="AD66:AD67"/>
    <mergeCell ref="AX59:AZ60"/>
    <mergeCell ref="BA59:BC60"/>
    <mergeCell ref="L61:N61"/>
    <mergeCell ref="O61:P61"/>
    <mergeCell ref="Q61:T62"/>
    <mergeCell ref="U61:BC62"/>
    <mergeCell ref="L62:M62"/>
    <mergeCell ref="O62:P62"/>
    <mergeCell ref="X58:AA60"/>
    <mergeCell ref="AB58:AD60"/>
    <mergeCell ref="AE58:AH60"/>
    <mergeCell ref="AI58:AK60"/>
    <mergeCell ref="AM59:AP60"/>
    <mergeCell ref="L65:BC65"/>
    <mergeCell ref="W66:Z67"/>
    <mergeCell ref="AJ66:BC67"/>
    <mergeCell ref="AX51:AZ52"/>
    <mergeCell ref="BA51:BC52"/>
    <mergeCell ref="L53:N53"/>
    <mergeCell ref="O53:P53"/>
    <mergeCell ref="Q53:T54"/>
    <mergeCell ref="U53:BC54"/>
    <mergeCell ref="L54:M54"/>
    <mergeCell ref="O54:P54"/>
    <mergeCell ref="X50:AA52"/>
    <mergeCell ref="AB50:AD52"/>
    <mergeCell ref="AE50:AH52"/>
    <mergeCell ref="AI50:AK52"/>
    <mergeCell ref="AM51:AP52"/>
    <mergeCell ref="AT51:AW52"/>
    <mergeCell ref="L47:M52"/>
    <mergeCell ref="N47:O52"/>
    <mergeCell ref="P47:P52"/>
    <mergeCell ref="Q47:T49"/>
    <mergeCell ref="U47:V49"/>
    <mergeCell ref="Q50:T52"/>
    <mergeCell ref="BA47:BC48"/>
    <mergeCell ref="AM49:AP50"/>
    <mergeCell ref="AT49:AW50"/>
    <mergeCell ref="AX49:AZ50"/>
    <mergeCell ref="BA49:BC50"/>
    <mergeCell ref="AI47:AJ49"/>
    <mergeCell ref="AK47:AL49"/>
    <mergeCell ref="AM47:AP48"/>
    <mergeCell ref="AT47:AW48"/>
    <mergeCell ref="AX47:AZ48"/>
    <mergeCell ref="W47:X49"/>
    <mergeCell ref="Y47:Z49"/>
    <mergeCell ref="AA47:AB49"/>
    <mergeCell ref="AC47:AD49"/>
    <mergeCell ref="AE47:AF49"/>
    <mergeCell ref="AG47:AH49"/>
    <mergeCell ref="AX43:AZ44"/>
    <mergeCell ref="BA43:BC44"/>
    <mergeCell ref="L45:N45"/>
    <mergeCell ref="O45:P45"/>
    <mergeCell ref="Q45:T46"/>
    <mergeCell ref="U45:BC46"/>
    <mergeCell ref="L46:M46"/>
    <mergeCell ref="O46:P46"/>
    <mergeCell ref="X42:AA44"/>
    <mergeCell ref="AB42:AD44"/>
    <mergeCell ref="AE42:AH44"/>
    <mergeCell ref="AI42:AK44"/>
    <mergeCell ref="AM43:AP44"/>
    <mergeCell ref="AT43:AW44"/>
    <mergeCell ref="L39:M44"/>
    <mergeCell ref="N39:O44"/>
    <mergeCell ref="P39:P44"/>
    <mergeCell ref="Q39:T41"/>
    <mergeCell ref="U39:V41"/>
    <mergeCell ref="Q42:T44"/>
    <mergeCell ref="BA39:BC40"/>
    <mergeCell ref="AM41:AP42"/>
    <mergeCell ref="AT41:AW42"/>
    <mergeCell ref="AX41:AZ42"/>
    <mergeCell ref="BA41:BC42"/>
    <mergeCell ref="AI39:AJ41"/>
    <mergeCell ref="AK39:AL41"/>
    <mergeCell ref="AM39:AP40"/>
    <mergeCell ref="AT39:AW40"/>
    <mergeCell ref="AX39:AZ40"/>
    <mergeCell ref="W39:X41"/>
    <mergeCell ref="Y39:Z41"/>
    <mergeCell ref="AA39:AB41"/>
    <mergeCell ref="AC39:AD41"/>
    <mergeCell ref="AE39:AF41"/>
    <mergeCell ref="AG39:AH41"/>
    <mergeCell ref="AX35:AZ36"/>
    <mergeCell ref="BA35:BC36"/>
    <mergeCell ref="L37:N37"/>
    <mergeCell ref="O37:P37"/>
    <mergeCell ref="Q37:T38"/>
    <mergeCell ref="U37:BC38"/>
    <mergeCell ref="L38:M38"/>
    <mergeCell ref="O38:P38"/>
    <mergeCell ref="X34:AA36"/>
    <mergeCell ref="AB34:AD36"/>
    <mergeCell ref="AE34:AH36"/>
    <mergeCell ref="AI34:AK36"/>
    <mergeCell ref="AM35:AP36"/>
    <mergeCell ref="AT35:AW36"/>
    <mergeCell ref="L31:M36"/>
    <mergeCell ref="N31:O36"/>
    <mergeCell ref="P31:P36"/>
    <mergeCell ref="Q31:T33"/>
    <mergeCell ref="U31:V33"/>
    <mergeCell ref="Q34:T36"/>
    <mergeCell ref="BA31:BC32"/>
    <mergeCell ref="AM33:AP34"/>
    <mergeCell ref="AT33:AW34"/>
    <mergeCell ref="AX33:AZ34"/>
    <mergeCell ref="W31:X33"/>
    <mergeCell ref="Y31:Z33"/>
    <mergeCell ref="AA31:AB33"/>
    <mergeCell ref="AC31:AD33"/>
    <mergeCell ref="AE31:AF33"/>
    <mergeCell ref="AG31:AH33"/>
    <mergeCell ref="L29:N29"/>
    <mergeCell ref="O29:P29"/>
    <mergeCell ref="Q29:T30"/>
    <mergeCell ref="U29:BC30"/>
    <mergeCell ref="L30:M30"/>
    <mergeCell ref="O30:P30"/>
    <mergeCell ref="BA25:BC26"/>
    <mergeCell ref="Q26:T28"/>
    <mergeCell ref="X26:AA28"/>
    <mergeCell ref="AB26:AD28"/>
    <mergeCell ref="AE26:AH28"/>
    <mergeCell ref="AI26:AK28"/>
    <mergeCell ref="AM27:AP28"/>
    <mergeCell ref="AT27:AW28"/>
    <mergeCell ref="AX27:AZ28"/>
    <mergeCell ref="AK23:AL25"/>
    <mergeCell ref="AM23:AP24"/>
    <mergeCell ref="AT23:AW24"/>
    <mergeCell ref="AX23:AZ24"/>
    <mergeCell ref="BA23:BC24"/>
    <mergeCell ref="BN10:BO10"/>
    <mergeCell ref="M11:Q12"/>
    <mergeCell ref="R11:Z12"/>
    <mergeCell ref="AA11:AB12"/>
    <mergeCell ref="AC11:AG12"/>
    <mergeCell ref="AH11:AI12"/>
    <mergeCell ref="AK11:AQ12"/>
    <mergeCell ref="AR11:AY12"/>
    <mergeCell ref="AJ15:BC15"/>
    <mergeCell ref="R16:S16"/>
    <mergeCell ref="U16:V16"/>
    <mergeCell ref="AB16:AC16"/>
    <mergeCell ref="AE16:AF16"/>
    <mergeCell ref="AK16:BC20"/>
    <mergeCell ref="R17:W17"/>
    <mergeCell ref="R18:S18"/>
    <mergeCell ref="U18:V18"/>
    <mergeCell ref="AE14:AF14"/>
    <mergeCell ref="R15:S15"/>
    <mergeCell ref="U15:V15"/>
    <mergeCell ref="AB15:AC15"/>
    <mergeCell ref="AE15:AF15"/>
    <mergeCell ref="AE18:AF18"/>
    <mergeCell ref="R19:S19"/>
    <mergeCell ref="U19:V19"/>
    <mergeCell ref="AB19:AC19"/>
    <mergeCell ref="AE19:AF19"/>
    <mergeCell ref="R20:S20"/>
    <mergeCell ref="U20:V20"/>
    <mergeCell ref="M4:Q5"/>
    <mergeCell ref="R4:AI5"/>
    <mergeCell ref="AK4:AP5"/>
    <mergeCell ref="AQ4:BC5"/>
    <mergeCell ref="AB20:AC20"/>
    <mergeCell ref="AE20:AF20"/>
    <mergeCell ref="BA27:BC28"/>
    <mergeCell ref="AZ11:AZ12"/>
    <mergeCell ref="BA11:BB12"/>
    <mergeCell ref="BC11:BC12"/>
    <mergeCell ref="M13:Q20"/>
    <mergeCell ref="R13:W13"/>
    <mergeCell ref="AK13:AQ14"/>
    <mergeCell ref="AR13:AY14"/>
    <mergeCell ref="AZ13:AZ14"/>
    <mergeCell ref="BA13:BC14"/>
    <mergeCell ref="R14:S14"/>
    <mergeCell ref="BA9:BB10"/>
    <mergeCell ref="BC9:BC10"/>
    <mergeCell ref="AM25:AP26"/>
    <mergeCell ref="AT25:AW26"/>
    <mergeCell ref="AX25:AZ26"/>
    <mergeCell ref="Y23:Z25"/>
    <mergeCell ref="AA23:AB25"/>
    <mergeCell ref="AC23:AD25"/>
    <mergeCell ref="AE23:AF25"/>
    <mergeCell ref="AG23:AH25"/>
    <mergeCell ref="AI23:AJ25"/>
    <mergeCell ref="AY70:BC70"/>
    <mergeCell ref="AY71:BC71"/>
    <mergeCell ref="AK72:BC72"/>
    <mergeCell ref="W74:Z75"/>
    <mergeCell ref="AW74:AZ75"/>
    <mergeCell ref="AB18:AC18"/>
    <mergeCell ref="U14:V14"/>
    <mergeCell ref="AB14:AC14"/>
    <mergeCell ref="M6:Q8"/>
    <mergeCell ref="R6:BC6"/>
    <mergeCell ref="R7:BC7"/>
    <mergeCell ref="R8:BC8"/>
    <mergeCell ref="M9:Q10"/>
    <mergeCell ref="R9:AI10"/>
    <mergeCell ref="AK9:AQ10"/>
    <mergeCell ref="AR9:AY10"/>
    <mergeCell ref="AZ9:AZ10"/>
    <mergeCell ref="M21:P22"/>
    <mergeCell ref="R21:V22"/>
    <mergeCell ref="W21:BC22"/>
    <mergeCell ref="L23:M28"/>
    <mergeCell ref="N23:O28"/>
    <mergeCell ref="P23:P28"/>
    <mergeCell ref="Q23:T25"/>
    <mergeCell ref="U23:V25"/>
    <mergeCell ref="W23:X25"/>
    <mergeCell ref="AT31:AW32"/>
    <mergeCell ref="AX31:AZ32"/>
    <mergeCell ref="BA33:BC34"/>
    <mergeCell ref="AI31:AJ33"/>
    <mergeCell ref="AK31:AL33"/>
    <mergeCell ref="AM31:AP32"/>
  </mergeCells>
  <phoneticPr fontId="3"/>
  <printOptions horizontalCentered="1"/>
  <pageMargins left="0.39370078740157483" right="0.19685039370078741" top="0.47244094488188981" bottom="0.19685039370078741" header="0.15748031496062992" footer="0.19685039370078741"/>
  <pageSetup paperSize="9" scale="74" fitToHeight="9" orientation="portrait" r:id="rId1"/>
  <headerFooter alignWithMargins="0"/>
  <rowBreaks count="9" manualBreakCount="9">
    <brk id="79" max="16383" man="1"/>
    <brk id="102" max="16383" man="1"/>
    <brk id="189" max="16383" man="1"/>
    <brk id="276" max="16383" man="1"/>
    <brk id="363" max="16383" man="1"/>
    <brk id="450" max="16383" man="1"/>
    <brk id="537" max="16383" man="1"/>
    <brk id="624" max="16383" man="1"/>
    <brk id="71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E15"/>
  <sheetViews>
    <sheetView view="pageBreakPreview" zoomScale="85" zoomScaleSheetLayoutView="85" workbookViewId="0">
      <selection activeCell="E7" sqref="E7"/>
    </sheetView>
  </sheetViews>
  <sheetFormatPr defaultColWidth="9" defaultRowHeight="14.4"/>
  <cols>
    <col min="1" max="1" width="3.109375" style="23" customWidth="1" collapsed="1"/>
    <col min="2" max="2" width="11.88671875" style="23" customWidth="1" collapsed="1"/>
    <col min="3" max="3" width="11.33203125" style="23" customWidth="1" collapsed="1"/>
    <col min="4" max="4" width="59.21875" style="23" customWidth="1" collapsed="1"/>
    <col min="5" max="5" width="9" style="23" collapsed="1"/>
    <col min="6" max="6" width="2" style="23" customWidth="1" collapsed="1"/>
    <col min="7" max="16384" width="9" style="23" collapsed="1"/>
  </cols>
  <sheetData>
    <row r="1" spans="1:5">
      <c r="B1" s="146" t="str">
        <f ca="1">REPLACE(LEFT(CELL("filename",$A$1),FIND("]",CELL("filename",$A$1))-1),1,FIND("[",CELL("filename",$A$1)), )</f>
        <v>【大企業・中小企業】【支給申請】受講状況_テンプレート.xlsm</v>
      </c>
      <c r="C1" s="146"/>
      <c r="D1" s="146"/>
    </row>
    <row r="2" spans="1:5" ht="16.2">
      <c r="D2" s="24" t="s">
        <v>48</v>
      </c>
    </row>
    <row r="3" spans="1:5" ht="15" thickBot="1"/>
    <row r="4" spans="1:5" ht="21" customHeight="1" thickBot="1">
      <c r="B4" s="25" t="s">
        <v>49</v>
      </c>
      <c r="C4" s="26" t="s">
        <v>50</v>
      </c>
      <c r="D4" s="26" t="s">
        <v>51</v>
      </c>
      <c r="E4" s="27" t="s">
        <v>52</v>
      </c>
    </row>
    <row r="5" spans="1:5" ht="21" customHeight="1" thickTop="1">
      <c r="B5" s="28">
        <v>43605</v>
      </c>
      <c r="C5" s="29" t="s">
        <v>53</v>
      </c>
      <c r="D5" s="30" t="s">
        <v>54</v>
      </c>
      <c r="E5" s="31" t="s">
        <v>55</v>
      </c>
    </row>
    <row r="6" spans="1:5" ht="34.65" customHeight="1">
      <c r="B6" s="32">
        <v>43613</v>
      </c>
      <c r="C6" s="33" t="s">
        <v>56</v>
      </c>
      <c r="D6" s="34" t="s">
        <v>57</v>
      </c>
      <c r="E6" s="35" t="s">
        <v>58</v>
      </c>
    </row>
    <row r="7" spans="1:5" ht="34.65" customHeight="1">
      <c r="B7" s="32"/>
      <c r="C7" s="33"/>
      <c r="D7" s="34"/>
      <c r="E7" s="35"/>
    </row>
    <row r="8" spans="1:5" ht="54.75" customHeight="1">
      <c r="A8" s="36"/>
      <c r="B8" s="32"/>
      <c r="C8" s="33"/>
      <c r="D8" s="34"/>
      <c r="E8" s="35"/>
    </row>
    <row r="9" spans="1:5" ht="54.75" customHeight="1">
      <c r="A9" s="36"/>
      <c r="B9" s="32"/>
      <c r="C9" s="33"/>
      <c r="D9" s="34"/>
      <c r="E9" s="35"/>
    </row>
    <row r="10" spans="1:5" ht="48.9" customHeight="1">
      <c r="A10" s="36"/>
      <c r="B10" s="32"/>
      <c r="C10" s="33"/>
      <c r="D10" s="34"/>
      <c r="E10" s="35"/>
    </row>
    <row r="11" spans="1:5" ht="88.65" customHeight="1">
      <c r="B11" s="32"/>
      <c r="C11" s="33"/>
      <c r="D11" s="34"/>
      <c r="E11" s="35"/>
    </row>
    <row r="12" spans="1:5" ht="115.5" customHeight="1">
      <c r="B12" s="32"/>
      <c r="C12" s="33"/>
      <c r="D12" s="34"/>
      <c r="E12" s="35"/>
    </row>
    <row r="13" spans="1:5" ht="51" customHeight="1">
      <c r="B13" s="32"/>
      <c r="C13" s="33"/>
      <c r="D13" s="34"/>
      <c r="E13" s="35"/>
    </row>
    <row r="14" spans="1:5" ht="62.25" customHeight="1">
      <c r="B14" s="32"/>
      <c r="C14" s="33"/>
      <c r="D14" s="34"/>
      <c r="E14" s="35"/>
    </row>
    <row r="15" spans="1:5" ht="56.25" customHeight="1">
      <c r="B15" s="37"/>
      <c r="C15" s="38"/>
      <c r="D15" s="39"/>
      <c r="E15" s="40"/>
    </row>
  </sheetData>
  <mergeCells count="1">
    <mergeCell ref="B1:D1"/>
  </mergeCells>
  <phoneticPr fontId="3"/>
  <pageMargins left="0.70866141732283472" right="0.70866141732283472" top="0.74803149606299213" bottom="0.74803149606299213" header="0.31496062992125984" footer="0.31496062992125984"/>
  <pageSetup paperSize="9" fitToHeight="0" orientation="landscape" r:id="rId1"/>
  <headerFooter>
    <oddFooter>&amp;C&amp;12&amp;P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3</vt:i4>
      </vt:variant>
    </vt:vector>
  </HeadingPairs>
  <TitlesOfParts>
    <vt:vector size="4" baseType="lpstr">
      <vt:lpstr>受講状況</vt:lpstr>
      <vt:lpstr>改版履歴!Print_Area</vt:lpstr>
      <vt:lpstr>受講状況!Print_Area</vt:lpstr>
      <vt:lpstr>改版履歴!Print_Titles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User</cp:lastModifiedBy>
  <cp:lastPrinted>2016-06-08T05:21:23Z</cp:lastPrinted>
  <dcterms:created xsi:type="dcterms:W3CDTF">2016-04-06T04:38:07Z</dcterms:created>
  <dcterms:modified xsi:type="dcterms:W3CDTF">2021-02-16T04:38:39Z</dcterms:modified>
</cp:coreProperties>
</file>