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4470D2CD-2249-CD33-4A35-6F278624656F}"/>
  <workbookPr codeName="ThisWorkbook" defaultThemeVersion="124226"/>
  <mc:AlternateContent xmlns:mc="http://schemas.openxmlformats.org/markup-compatibility/2006">
    <mc:Choice Requires="x15">
      <x15ac:absPath xmlns:x15ac="http://schemas.microsoft.com/office/spreadsheetml/2010/11/ac" url="C:\Users\m-ueki\Downloads\"/>
    </mc:Choice>
  </mc:AlternateContent>
  <bookViews>
    <workbookView xWindow="0" yWindow="0" windowWidth="23040" windowHeight="9024" tabRatio="764"/>
  </bookViews>
  <sheets>
    <sheet name="dataSheet" sheetId="16" r:id="rId1"/>
    <sheet name="改版履歴" sheetId="38" state="veryHidden" r:id="rId2"/>
    <sheet name="必要書類" sheetId="48" r:id="rId3"/>
    <sheet name="様式新特第4号" sheetId="47" r:id="rId4"/>
    <sheet name="様式新特第6号" sheetId="26" r:id="rId5"/>
    <sheet name="様式特第９号休業一覧表（新型コロナウイルス感染症関係）" sheetId="45" r:id="rId6"/>
    <sheet name="様式特第９号休業一覧表（新型コロナウイルス感染症関係） (2)" sheetId="46" r:id="rId7"/>
    <sheet name="雇用調整助成金 （休業等） 支給申請書" sheetId="43" r:id="rId8"/>
    <sheet name="雇用調整助成金助成額算定書" sheetId="44" r:id="rId9"/>
    <sheet name="日報表紙" sheetId="40" r:id="rId10"/>
    <sheet name="申込受領書" sheetId="49" r:id="rId11"/>
  </sheets>
  <definedNames>
    <definedName name="book">GET.WORKBOOK(1)</definedName>
    <definedName name="doc">GET.DOCUMENT(88)</definedName>
    <definedName name="Excel_BuiltIn_Print_Area_2" localSheetId="1">#REF!</definedName>
    <definedName name="Excel_BuiltIn_Print_Area_2" localSheetId="10">#REF!</definedName>
    <definedName name="Excel_BuiltIn_Print_Area_2" localSheetId="5">#REF!</definedName>
    <definedName name="Excel_BuiltIn_Print_Area_2" localSheetId="6">#REF!</definedName>
    <definedName name="Excel_BuiltIn_Print_Area_2">#REF!</definedName>
    <definedName name="Excel_BuiltIn_Print_Area_3" localSheetId="1">#REF!</definedName>
    <definedName name="Excel_BuiltIn_Print_Area_3" localSheetId="10">#REF!</definedName>
    <definedName name="Excel_BuiltIn_Print_Area_3" localSheetId="5">#REF!</definedName>
    <definedName name="Excel_BuiltIn_Print_Area_3" localSheetId="6">#REF!</definedName>
    <definedName name="Excel_BuiltIn_Print_Area_3">#REF!</definedName>
    <definedName name="Excel_BuiltIn_Print_Area_4">#REF!</definedName>
    <definedName name="Excel_BuiltIn_Print_Area_6">#REF!</definedName>
    <definedName name="Excel_BuiltIn_Print_Area_7">#REF!</definedName>
    <definedName name="Excel_BuiltIn_Print_Area_8">#REF!</definedName>
    <definedName name="Excel_BuiltIn_Print_Area_9">#REF!</definedName>
    <definedName name="_xlnm.Print_Area" localSheetId="1">改版履歴!$A$1:$F$15</definedName>
    <definedName name="_xlnm.Print_Area" localSheetId="8">雇用調整助成金助成額算定書!$A$1:$AL$100</definedName>
    <definedName name="_xlnm.Print_Area" localSheetId="10">申込受領書!$A$1:$K$44</definedName>
    <definedName name="_xlnm.Print_Area" localSheetId="9">日報表紙!$A$1:$E$10</definedName>
    <definedName name="_xlnm.Print_Area" localSheetId="3">様式新特第4号!$E$1:$N$93</definedName>
    <definedName name="_xlnm.Print_Area" localSheetId="4">様式新特第6号!$A$2:$O$201</definedName>
    <definedName name="_xlnm.Print_Area" localSheetId="5">'様式特第９号休業一覧表（新型コロナウイルス感染症関係）'!$A$1:$U$83</definedName>
    <definedName name="_xlnm.Print_Area" localSheetId="6">'様式特第９号休業一覧表（新型コロナウイルス感染症関係） (2)'!$A$1:$U$83</definedName>
    <definedName name="_xlnm.Print_Titles" localSheetId="1">改版履歴!$1:$4</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 i="49" l="1"/>
  <c r="O13" i="44" l="1"/>
  <c r="AO46" i="43"/>
  <c r="X46" i="43"/>
  <c r="L50" i="46" l="1"/>
  <c r="I50" i="46"/>
  <c r="F50" i="46"/>
  <c r="C51" i="46"/>
  <c r="C51" i="45"/>
  <c r="C49" i="46"/>
  <c r="C49" i="45"/>
  <c r="L50" i="45"/>
  <c r="I50" i="45"/>
  <c r="F50" i="45"/>
  <c r="G24" i="49" l="1"/>
  <c r="J23" i="49"/>
  <c r="H23" i="49"/>
  <c r="F24" i="49"/>
  <c r="D24" i="49"/>
  <c r="C23" i="49" l="1"/>
  <c r="C18" i="49"/>
  <c r="C5" i="49"/>
  <c r="J26" i="49"/>
  <c r="I23" i="49"/>
  <c r="J27" i="49" l="1"/>
  <c r="J28" i="49" s="1"/>
  <c r="U44" i="45" l="1"/>
  <c r="U44" i="46" s="1"/>
  <c r="AA17" i="44" l="1"/>
  <c r="AA18" i="44" s="1"/>
  <c r="AA27" i="44" s="1"/>
  <c r="AB28" i="44" s="1"/>
  <c r="X50" i="43" s="1"/>
  <c r="AA22" i="44"/>
  <c r="U17" i="44"/>
  <c r="U18" i="44" s="1"/>
  <c r="U27" i="44" s="1"/>
  <c r="O17" i="44"/>
  <c r="O18" i="44" s="1"/>
  <c r="O27" i="44" s="1"/>
  <c r="T44" i="45"/>
  <c r="T44" i="46" s="1"/>
  <c r="S44" i="45"/>
  <c r="S44" i="46" s="1"/>
  <c r="O22" i="44" s="1"/>
  <c r="R44" i="45"/>
  <c r="R44" i="46" s="1"/>
  <c r="U51" i="46"/>
  <c r="B38" i="46"/>
  <c r="B35" i="46"/>
  <c r="B32" i="46"/>
  <c r="B29" i="46"/>
  <c r="B26" i="46"/>
  <c r="B23" i="46"/>
  <c r="B20" i="46"/>
  <c r="B17" i="46"/>
  <c r="B14" i="46"/>
  <c r="B11" i="46"/>
  <c r="P28" i="44" l="1"/>
  <c r="H50" i="43" s="1"/>
  <c r="AO50" i="43" s="1"/>
  <c r="AA25" i="44"/>
  <c r="X48" i="43"/>
  <c r="X44" i="43"/>
  <c r="U51" i="45"/>
  <c r="B38" i="45"/>
  <c r="B35" i="45"/>
  <c r="B32" i="45"/>
  <c r="B29" i="45"/>
  <c r="B26" i="45"/>
  <c r="B23" i="45"/>
  <c r="B20" i="45"/>
  <c r="B17" i="45"/>
  <c r="B14" i="45"/>
  <c r="B11" i="45"/>
  <c r="O29" i="44" l="1"/>
  <c r="M8" i="47"/>
  <c r="M7" i="47"/>
  <c r="M6" i="47"/>
  <c r="T46" i="46" l="1"/>
  <c r="U22" i="44" s="1"/>
  <c r="U43" i="46"/>
  <c r="T43" i="46"/>
  <c r="S43" i="46"/>
  <c r="R43" i="46"/>
  <c r="T46" i="45"/>
  <c r="U43" i="45"/>
  <c r="T43" i="45"/>
  <c r="S43" i="45"/>
  <c r="R43" i="45"/>
  <c r="H44" i="43" l="1"/>
  <c r="AO44" i="43" s="1"/>
  <c r="H48" i="43"/>
  <c r="AO48" i="43" s="1"/>
  <c r="AV39" i="43"/>
  <c r="AQ39" i="43"/>
  <c r="AM39" i="43"/>
  <c r="AG36" i="43"/>
  <c r="AP35" i="43"/>
  <c r="AM35" i="43"/>
  <c r="H37" i="43"/>
  <c r="AG22" i="43"/>
  <c r="AG21" i="43"/>
  <c r="AP20" i="43"/>
  <c r="AK20" i="43"/>
  <c r="AH20" i="43"/>
  <c r="G6" i="44"/>
  <c r="C8" i="40" l="1"/>
  <c r="C7" i="40"/>
  <c r="C176" i="26" l="1"/>
  <c r="C178" i="26" l="1"/>
  <c r="D6" i="26"/>
  <c r="C5" i="26" l="1"/>
  <c r="E53" i="26" l="1"/>
  <c r="B1" i="38" l="1"/>
</calcChain>
</file>

<file path=xl/comments1.xml><?xml version="1.0" encoding="utf-8"?>
<comments xmlns="http://schemas.openxmlformats.org/spreadsheetml/2006/main">
  <authors>
    <author>厚生労働省ネットワークシステム</author>
  </authors>
  <commentList>
    <comment ref="L3" authorId="0" shapeId="0">
      <text>
        <r>
          <rPr>
            <b/>
            <sz val="12"/>
            <color indexed="81"/>
            <rFont val="MS P ゴシック"/>
            <family val="3"/>
            <charset val="128"/>
          </rPr>
          <t>空欄になっている赤色に着色されているセルにご入力をお願いします。
（青色のセルは自動計算されます。）</t>
        </r>
      </text>
    </comment>
  </commentList>
</comments>
</file>

<file path=xl/comments2.xml><?xml version="1.0" encoding="utf-8"?>
<comments xmlns="http://schemas.openxmlformats.org/spreadsheetml/2006/main">
  <authors>
    <author>厚生労働省ネットワークシステム</author>
  </authors>
  <commentList>
    <comment ref="L3" authorId="0" shapeId="0">
      <text>
        <r>
          <rPr>
            <b/>
            <sz val="12"/>
            <color indexed="81"/>
            <rFont val="MS P ゴシック"/>
            <family val="3"/>
            <charset val="128"/>
          </rPr>
          <t>空欄になっている赤色に着色されているセルにご入力をお願いします。
（青色のセルは自動計算されます。）</t>
        </r>
      </text>
    </comment>
  </commentList>
</comments>
</file>

<file path=xl/sharedStrings.xml><?xml version="1.0" encoding="utf-8"?>
<sst xmlns="http://schemas.openxmlformats.org/spreadsheetml/2006/main" count="801" uniqueCount="579">
  <si>
    <t>事業主記載事項</t>
  </si>
  <si>
    <t>　年　月 　日確認</t>
  </si>
  <si>
    <t>記載にあたっての留意点</t>
  </si>
  <si>
    <t>　　　　　　　　　（　　　　　　　　公共職業安定所長）</t>
    <phoneticPr fontId="2"/>
  </si>
  <si>
    <t>住所</t>
    <phoneticPr fontId="2"/>
  </si>
  <si>
    <t>名称</t>
    <rPh sb="0" eb="2">
      <t>メイショウ</t>
    </rPh>
    <phoneticPr fontId="2"/>
  </si>
  <si>
    <t>氏名</t>
    <rPh sb="0" eb="2">
      <t>シメイ</t>
    </rPh>
    <phoneticPr fontId="2"/>
  </si>
  <si>
    <t>電話番号</t>
    <rPh sb="0" eb="2">
      <t>デンワ</t>
    </rPh>
    <rPh sb="2" eb="4">
      <t>バンゴウ</t>
    </rPh>
    <phoneticPr fontId="2"/>
  </si>
  <si>
    <t>務代理者の表示)</t>
    <phoneticPr fontId="2"/>
  </si>
  <si>
    <t>社会保険労務士</t>
    <phoneticPr fontId="2"/>
  </si>
  <si>
    <t>(提出代行者・事</t>
    <phoneticPr fontId="2"/>
  </si>
  <si>
    <t>労　働　局　長　　殿</t>
    <phoneticPr fontId="2"/>
  </si>
  <si>
    <t xml:space="preserve">  (記名押印又は署名)</t>
    <rPh sb="3" eb="5">
      <t>キメイ</t>
    </rPh>
    <rPh sb="5" eb="7">
      <t>オウイン</t>
    </rPh>
    <rPh sb="7" eb="8">
      <t>マタ</t>
    </rPh>
    <rPh sb="9" eb="11">
      <t>ショメイ</t>
    </rPh>
    <phoneticPr fontId="2"/>
  </si>
  <si>
    <t>印</t>
    <rPh sb="0" eb="1">
      <t>イン</t>
    </rPh>
    <phoneticPr fontId="2"/>
  </si>
  <si>
    <t>ダウンロード日(年)</t>
    <rPh sb="6" eb="7">
      <t>ビ</t>
    </rPh>
    <rPh sb="8" eb="9">
      <t>ネン</t>
    </rPh>
    <phoneticPr fontId="2"/>
  </si>
  <si>
    <t>ダウンロード日(月)</t>
    <rPh sb="6" eb="7">
      <t>ビ</t>
    </rPh>
    <rPh sb="8" eb="9">
      <t>ツキ</t>
    </rPh>
    <phoneticPr fontId="2"/>
  </si>
  <si>
    <t>ダウンロード日(日)</t>
    <rPh sb="6" eb="7">
      <t>ビ</t>
    </rPh>
    <rPh sb="8" eb="9">
      <t>ヒ</t>
    </rPh>
    <phoneticPr fontId="2"/>
  </si>
  <si>
    <t>労働局都道府県</t>
  </si>
  <si>
    <t>事業主郵便番号1</t>
    <rPh sb="3" eb="7">
      <t>ユウビンバンゴウ</t>
    </rPh>
    <phoneticPr fontId="61"/>
  </si>
  <si>
    <t>事業主郵便番号2</t>
    <rPh sb="3" eb="7">
      <t>ユウビンバンゴウ</t>
    </rPh>
    <phoneticPr fontId="61"/>
  </si>
  <si>
    <t>事業主所在地</t>
    <rPh sb="0" eb="3">
      <t>ジギョウヌシ</t>
    </rPh>
    <phoneticPr fontId="61"/>
  </si>
  <si>
    <t>企業名</t>
  </si>
  <si>
    <t>企業名カナ</t>
    <rPh sb="0" eb="2">
      <t>キギョウ</t>
    </rPh>
    <rPh sb="2" eb="3">
      <t>メイ</t>
    </rPh>
    <phoneticPr fontId="61"/>
  </si>
  <si>
    <t>事業主代表者役職名</t>
    <rPh sb="6" eb="9">
      <t>ヤクショクメイ</t>
    </rPh>
    <phoneticPr fontId="61"/>
  </si>
  <si>
    <t>事業主代表者氏名</t>
  </si>
  <si>
    <t>事業主電話番号1</t>
    <rPh sb="0" eb="3">
      <t>ジギョウヌシ</t>
    </rPh>
    <rPh sb="3" eb="5">
      <t>デンワ</t>
    </rPh>
    <rPh sb="5" eb="7">
      <t>バンゴウ</t>
    </rPh>
    <phoneticPr fontId="61"/>
  </si>
  <si>
    <t>事業主電話番号2</t>
    <rPh sb="0" eb="3">
      <t>ジギョウヌシ</t>
    </rPh>
    <rPh sb="3" eb="5">
      <t>デンワ</t>
    </rPh>
    <rPh sb="5" eb="7">
      <t>バンゴウ</t>
    </rPh>
    <phoneticPr fontId="61"/>
  </si>
  <si>
    <t>事業主電話番号3</t>
    <rPh sb="0" eb="3">
      <t>ジギョウヌシ</t>
    </rPh>
    <rPh sb="3" eb="5">
      <t>デンワ</t>
    </rPh>
    <rPh sb="5" eb="7">
      <t>バンゴウ</t>
    </rPh>
    <phoneticPr fontId="61"/>
  </si>
  <si>
    <t>申請担当者電話番号1</t>
    <rPh sb="0" eb="2">
      <t>シンセイ</t>
    </rPh>
    <rPh sb="2" eb="5">
      <t>タントウシャ</t>
    </rPh>
    <rPh sb="5" eb="7">
      <t>デンワ</t>
    </rPh>
    <rPh sb="7" eb="9">
      <t>バンゴウ</t>
    </rPh>
    <phoneticPr fontId="61"/>
  </si>
  <si>
    <t>申請担当者電話番号2</t>
    <rPh sb="0" eb="2">
      <t>シンセイ</t>
    </rPh>
    <rPh sb="2" eb="5">
      <t>タントウシャ</t>
    </rPh>
    <rPh sb="5" eb="7">
      <t>デンワ</t>
    </rPh>
    <rPh sb="7" eb="9">
      <t>バンゴウ</t>
    </rPh>
    <phoneticPr fontId="61"/>
  </si>
  <si>
    <t>申請担当者電話番号3</t>
    <rPh sb="0" eb="2">
      <t>シンセイ</t>
    </rPh>
    <rPh sb="2" eb="5">
      <t>タントウシャ</t>
    </rPh>
    <rPh sb="5" eb="7">
      <t>デンワ</t>
    </rPh>
    <rPh sb="7" eb="9">
      <t>バンゴウ</t>
    </rPh>
    <phoneticPr fontId="61"/>
  </si>
  <si>
    <t>資本額</t>
    <rPh sb="0" eb="2">
      <t>シホン</t>
    </rPh>
    <rPh sb="2" eb="3">
      <t>ガク</t>
    </rPh>
    <phoneticPr fontId="2"/>
  </si>
  <si>
    <t>労働者数</t>
    <rPh sb="0" eb="3">
      <t>ロウドウシャ</t>
    </rPh>
    <rPh sb="3" eb="4">
      <t>スウ</t>
    </rPh>
    <phoneticPr fontId="2"/>
  </si>
  <si>
    <t>休憩開始時間(分)</t>
    <rPh sb="7" eb="8">
      <t>フン</t>
    </rPh>
    <phoneticPr fontId="2"/>
  </si>
  <si>
    <t>休憩終了時間(時)</t>
    <rPh sb="7" eb="8">
      <t>トキ</t>
    </rPh>
    <phoneticPr fontId="2"/>
  </si>
  <si>
    <t>休憩終了時間(分)</t>
    <rPh sb="7" eb="8">
      <t>フン</t>
    </rPh>
    <phoneticPr fontId="2"/>
  </si>
  <si>
    <t>コース名</t>
  </si>
  <si>
    <t>コース詳細</t>
    <rPh sb="3" eb="5">
      <t>ショウサイ</t>
    </rPh>
    <phoneticPr fontId="2"/>
  </si>
  <si>
    <t>開講日</t>
  </si>
  <si>
    <t>閉講日</t>
  </si>
  <si>
    <t>実訓練時間数</t>
    <rPh sb="0" eb="1">
      <t>ジツ</t>
    </rPh>
    <rPh sb="1" eb="3">
      <t>クンレン</t>
    </rPh>
    <rPh sb="3" eb="6">
      <t>ジカンスウ</t>
    </rPh>
    <phoneticPr fontId="2"/>
  </si>
  <si>
    <t>訓練日数</t>
    <rPh sb="0" eb="2">
      <t>クンレン</t>
    </rPh>
    <rPh sb="2" eb="4">
      <t>ニッスウ</t>
    </rPh>
    <phoneticPr fontId="2"/>
  </si>
  <si>
    <t>会場名</t>
    <rPh sb="0" eb="2">
      <t>カイジョウ</t>
    </rPh>
    <rPh sb="2" eb="3">
      <t>メイ</t>
    </rPh>
    <phoneticPr fontId="2"/>
  </si>
  <si>
    <t>会場住所</t>
    <rPh sb="0" eb="2">
      <t>カイジョウ</t>
    </rPh>
    <rPh sb="2" eb="4">
      <t>ジュウショ</t>
    </rPh>
    <phoneticPr fontId="2"/>
  </si>
  <si>
    <t>収容可能人数</t>
    <rPh sb="0" eb="2">
      <t>シュウヨウ</t>
    </rPh>
    <rPh sb="2" eb="4">
      <t>カノウ</t>
    </rPh>
    <rPh sb="4" eb="6">
      <t>ニンズウ</t>
    </rPh>
    <phoneticPr fontId="2"/>
  </si>
  <si>
    <t>備考</t>
    <rPh sb="0" eb="2">
      <t>ビコウ</t>
    </rPh>
    <phoneticPr fontId="2"/>
  </si>
  <si>
    <t>見積金額合計</t>
    <rPh sb="0" eb="2">
      <t>ミツモリ</t>
    </rPh>
    <rPh sb="2" eb="4">
      <t>キンガク</t>
    </rPh>
    <rPh sb="4" eb="6">
      <t>ゴウケイ</t>
    </rPh>
    <phoneticPr fontId="2"/>
  </si>
  <si>
    <t>受講生数</t>
    <rPh sb="0" eb="3">
      <t>ジュコウセイ</t>
    </rPh>
    <rPh sb="3" eb="4">
      <t>スウ</t>
    </rPh>
    <phoneticPr fontId="2"/>
  </si>
  <si>
    <t>受講生名</t>
    <rPh sb="0" eb="3">
      <t>ジュコウセイ</t>
    </rPh>
    <rPh sb="3" eb="4">
      <t>メイ</t>
    </rPh>
    <phoneticPr fontId="2"/>
  </si>
  <si>
    <t>訓練時間(分)</t>
  </si>
  <si>
    <t>受講時間(時)</t>
  </si>
  <si>
    <t>受講時間(分)</t>
  </si>
  <si>
    <t>休憩時間(時)</t>
  </si>
  <si>
    <t>休憩時間(分)</t>
  </si>
  <si>
    <t>総訓練時間(時)</t>
    <rPh sb="0" eb="1">
      <t>ソウ</t>
    </rPh>
    <rPh sb="1" eb="3">
      <t>クンレン</t>
    </rPh>
    <rPh sb="3" eb="5">
      <t>ジカン</t>
    </rPh>
    <rPh sb="6" eb="7">
      <t>トキ</t>
    </rPh>
    <phoneticPr fontId="2"/>
  </si>
  <si>
    <t>総訓練時間(分)</t>
    <rPh sb="0" eb="1">
      <t>ソウ</t>
    </rPh>
    <rPh sb="1" eb="3">
      <t>クンレン</t>
    </rPh>
    <rPh sb="3" eb="5">
      <t>ジカン</t>
    </rPh>
    <rPh sb="6" eb="7">
      <t>フン</t>
    </rPh>
    <phoneticPr fontId="2"/>
  </si>
  <si>
    <t>賃金助成時間(時)</t>
  </si>
  <si>
    <t>賃金助成時間(分)</t>
  </si>
  <si>
    <t>休日</t>
    <phoneticPr fontId="2"/>
  </si>
  <si>
    <t>所定労働開始時間(時)</t>
    <phoneticPr fontId="2"/>
  </si>
  <si>
    <t>所定労働開始時間(分)</t>
    <phoneticPr fontId="2"/>
  </si>
  <si>
    <t>所定労働終了時間(時)</t>
    <phoneticPr fontId="2"/>
  </si>
  <si>
    <t>所定労働終了時間(分)</t>
    <phoneticPr fontId="2"/>
  </si>
  <si>
    <t>休憩開始時間(時)</t>
    <phoneticPr fontId="2"/>
  </si>
  <si>
    <t>訓練時間(時)</t>
    <phoneticPr fontId="2"/>
  </si>
  <si>
    <t>改訂履歴</t>
    <phoneticPr fontId="3"/>
  </si>
  <si>
    <t>改訂日</t>
  </si>
  <si>
    <t>版数</t>
  </si>
  <si>
    <t>内容</t>
  </si>
  <si>
    <t>作成</t>
  </si>
  <si>
    <t>1.0版</t>
    <phoneticPr fontId="3"/>
  </si>
  <si>
    <t>制定</t>
    <rPh sb="0" eb="2">
      <t>セイテイ</t>
    </rPh>
    <phoneticPr fontId="3"/>
  </si>
  <si>
    <t>鈴木</t>
    <rPh sb="0" eb="2">
      <t>スズキ</t>
    </rPh>
    <phoneticPr fontId="2"/>
  </si>
  <si>
    <t>法人番号：</t>
    <rPh sb="0" eb="2">
      <t>ホウジン</t>
    </rPh>
    <rPh sb="2" eb="4">
      <t>バンゴウ</t>
    </rPh>
    <phoneticPr fontId="2"/>
  </si>
  <si>
    <t xml:space="preserve"> 裏面にも記載事項があります。</t>
    <phoneticPr fontId="2"/>
  </si>
  <si>
    <t>の審査に必要な事項についての確認を労働局(安定所)が行う場合には協力します。</t>
    <phoneticPr fontId="2"/>
  </si>
  <si>
    <t>　また、本助成金に関し、偽りその他不正の行為等により本来受けることのできない助成金を受けた場合は、請求</t>
    <phoneticPr fontId="2"/>
  </si>
  <si>
    <t>があった場合、直ちに請求金（※）を弁済します。</t>
    <phoneticPr fontId="2"/>
  </si>
  <si>
    <r>
      <t>※１</t>
    </r>
    <r>
      <rPr>
        <sz val="10.5"/>
        <color rgb="FF000000"/>
        <rFont val="ＭＳ ゴシック"/>
        <family val="3"/>
        <charset val="128"/>
      </rPr>
      <t>　</t>
    </r>
    <r>
      <rPr>
        <sz val="10.5"/>
        <color theme="1"/>
        <rFont val="ＭＳ ゴシック"/>
        <family val="3"/>
        <charset val="128"/>
      </rPr>
      <t>確認欄</t>
    </r>
  </si>
  <si>
    <t>事業主</t>
    <phoneticPr fontId="2"/>
  </si>
  <si>
    <t>代理人又は</t>
    <rPh sb="0" eb="3">
      <t>ダイリニン</t>
    </rPh>
    <phoneticPr fontId="2"/>
  </si>
  <si>
    <t>　同規則第１６条の３の規定により記名押印をしてください。また、代理人が事業主の申請を代わって行う場合、上欄に助成金の支給に係る事業主</t>
    <phoneticPr fontId="2"/>
  </si>
  <si>
    <t>　の住所、名称及び氏名の記入（押印不要）を、下欄に代理人の記名押印又は自署による署名をしてください。</t>
    <phoneticPr fontId="2"/>
  </si>
  <si>
    <t>　本助成金に関し、審査に必要な事項についての確認を労働局（安定所）が行う場合には協力します。</t>
    <phoneticPr fontId="2"/>
  </si>
  <si>
    <t>　また、本助成金に関し、偽りその他不正の行為により申請事業主等が、本来受けることのできない助成金を受け</t>
    <phoneticPr fontId="2"/>
  </si>
  <si>
    <t xml:space="preserve"> 代理人又は</t>
    <rPh sb="1" eb="4">
      <t>ダイリニン</t>
    </rPh>
    <phoneticPr fontId="2"/>
  </si>
  <si>
    <t>　　　す。ただし、支給決定取消日から５年を経過していても、不正受給に係る請求金が納付されていない場合（時効</t>
    <phoneticPr fontId="2"/>
  </si>
  <si>
    <r>
      <t>確認者　</t>
    </r>
    <r>
      <rPr>
        <u/>
        <sz val="8"/>
        <color theme="1"/>
        <rFont val="ＭＳ ゴシック"/>
        <family val="3"/>
        <charset val="128"/>
      </rPr>
      <t>　　　　　</t>
    </r>
    <phoneticPr fontId="2"/>
  </si>
  <si>
    <t>役員等一覧</t>
    <rPh sb="0" eb="2">
      <t>ヤクイン</t>
    </rPh>
    <rPh sb="2" eb="3">
      <t>ナド</t>
    </rPh>
    <rPh sb="3" eb="5">
      <t>イチラン</t>
    </rPh>
    <phoneticPr fontId="2"/>
  </si>
  <si>
    <t>法人名</t>
    <rPh sb="0" eb="2">
      <t>ホウジン</t>
    </rPh>
    <rPh sb="2" eb="3">
      <t>メイ</t>
    </rPh>
    <phoneticPr fontId="2"/>
  </si>
  <si>
    <t>法人番号</t>
    <rPh sb="0" eb="2">
      <t>ホウジン</t>
    </rPh>
    <rPh sb="2" eb="4">
      <t>バンゴウ</t>
    </rPh>
    <phoneticPr fontId="2"/>
  </si>
  <si>
    <t>事業所名称</t>
    <rPh sb="0" eb="3">
      <t>ジギョウショ</t>
    </rPh>
    <rPh sb="3" eb="5">
      <t>メイショウ</t>
    </rPh>
    <phoneticPr fontId="2"/>
  </si>
  <si>
    <t>役職</t>
    <rPh sb="0" eb="2">
      <t>ヤクショク</t>
    </rPh>
    <phoneticPr fontId="2"/>
  </si>
  <si>
    <t>性別</t>
    <rPh sb="0" eb="2">
      <t>セイベツ</t>
    </rPh>
    <phoneticPr fontId="2"/>
  </si>
  <si>
    <t>年　　月　　日</t>
    <rPh sb="0" eb="1">
      <t>ネン</t>
    </rPh>
    <rPh sb="3" eb="4">
      <t>ガツ</t>
    </rPh>
    <rPh sb="6" eb="7">
      <t>ニチ</t>
    </rPh>
    <phoneticPr fontId="2"/>
  </si>
  <si>
    <t>　　　理事等をいい、役員名簿等に記載がある者をいいます。</t>
    <phoneticPr fontId="2"/>
  </si>
  <si>
    <t>（別　 紙）</t>
    <rPh sb="1" eb="2">
      <t>ベツ</t>
    </rPh>
    <rPh sb="4" eb="5">
      <t>カミ</t>
    </rPh>
    <phoneticPr fontId="2"/>
  </si>
  <si>
    <t>令和　　年　　月　　日　　　　　　</t>
    <rPh sb="0" eb="2">
      <t>レイワ</t>
    </rPh>
    <phoneticPr fontId="2"/>
  </si>
  <si>
    <t>※代理人等が事業主の申請を代わって行う場合、代理人等の記名押印等をしてください。</t>
    <phoneticPr fontId="2"/>
  </si>
  <si>
    <t>　　　　氏名及び不正の内容、訓練を行う者が不正受給に関与していた場合は、訓練を行う者の名称（法人等の場合</t>
    <phoneticPr fontId="2"/>
  </si>
  <si>
    <t>　　　　なお、平成31年４月１日以降に申請した雇用関係助成金について代理人等が不正受給に関与していた場合は、</t>
    <phoneticPr fontId="2"/>
  </si>
  <si>
    <t>生年月日</t>
    <rPh sb="0" eb="2">
      <t>セイネン</t>
    </rPh>
    <rPh sb="2" eb="4">
      <t>ガッピ</t>
    </rPh>
    <phoneticPr fontId="2"/>
  </si>
  <si>
    <t>1.1版</t>
    <rPh sb="3" eb="4">
      <t>バン</t>
    </rPh>
    <phoneticPr fontId="2"/>
  </si>
  <si>
    <t>山口</t>
    <rPh sb="0" eb="2">
      <t>ヤマグチ</t>
    </rPh>
    <phoneticPr fontId="2"/>
  </si>
  <si>
    <t>チェックリスト更新、支給要件確認申立書の修正
様式6号の助成金額部分を480→100に修正
生産性要件について3年後比較のコメントに差し替え</t>
    <rPh sb="7" eb="9">
      <t>コウシン</t>
    </rPh>
    <rPh sb="10" eb="12">
      <t>シキュウ</t>
    </rPh>
    <rPh sb="12" eb="14">
      <t>ヨウケン</t>
    </rPh>
    <rPh sb="14" eb="16">
      <t>カクニン</t>
    </rPh>
    <rPh sb="16" eb="19">
      <t>モウシタテショ</t>
    </rPh>
    <rPh sb="20" eb="22">
      <t>シュウセイ</t>
    </rPh>
    <rPh sb="23" eb="25">
      <t>ヨウシキ</t>
    </rPh>
    <rPh sb="26" eb="27">
      <t>ゴウ</t>
    </rPh>
    <rPh sb="28" eb="30">
      <t>ジョセイ</t>
    </rPh>
    <rPh sb="30" eb="32">
      <t>キンガク</t>
    </rPh>
    <rPh sb="32" eb="34">
      <t>ブブン</t>
    </rPh>
    <rPh sb="43" eb="45">
      <t>シュウセイ</t>
    </rPh>
    <rPh sb="46" eb="49">
      <t>セイサンセイ</t>
    </rPh>
    <rPh sb="49" eb="51">
      <t>ヨウケン</t>
    </rPh>
    <rPh sb="56" eb="58">
      <t>ネンゴ</t>
    </rPh>
    <rPh sb="58" eb="60">
      <t>ヒカク</t>
    </rPh>
    <rPh sb="66" eb="67">
      <t>サ</t>
    </rPh>
    <rPh sb="68" eb="69">
      <t>カ</t>
    </rPh>
    <phoneticPr fontId="2"/>
  </si>
  <si>
    <t>※社会保険労務士が事業主の申請を代わって行う場合、上欄に事業主の記名押印又は署名を、下欄に社会保険労務士法施行規則第１６条第２項又は</t>
    <phoneticPr fontId="2"/>
  </si>
  <si>
    <t>注２）「役員等」とは、事業主等が個人である場合はその者、法人である場合は役員、団体である場合は代表者、</t>
    <phoneticPr fontId="2"/>
  </si>
  <si>
    <t>注３）個人事業主の場合、事業主本人について記載ください（役職除く）。</t>
    <phoneticPr fontId="2"/>
  </si>
  <si>
    <t>注４）役員等の就任中に氏名の変更等があった場合は、変更前の氏名（旧姓）も併記してください。</t>
    <phoneticPr fontId="2"/>
  </si>
  <si>
    <t>注１）法人番号は、平成 27 年 10 月以降国税庁長官から本社等に通知された 13 桁の番号を記載してください。</t>
    <phoneticPr fontId="2"/>
  </si>
  <si>
    <t>1.2版</t>
    <rPh sb="3" eb="4">
      <t>バン</t>
    </rPh>
    <phoneticPr fontId="2"/>
  </si>
  <si>
    <t>支給要件申立書、様式5号、7号の修正</t>
    <rPh sb="0" eb="7">
      <t>シキュウヨウケンモウシタテショ</t>
    </rPh>
    <rPh sb="8" eb="10">
      <t>ヨウシキ</t>
    </rPh>
    <rPh sb="11" eb="12">
      <t>ゴウ</t>
    </rPh>
    <rPh sb="14" eb="15">
      <t>ゴウ</t>
    </rPh>
    <rPh sb="16" eb="18">
      <t>シュウセイ</t>
    </rPh>
    <phoneticPr fontId="2"/>
  </si>
  <si>
    <t>鈴木</t>
    <rPh sb="0" eb="2">
      <t>スズキ</t>
    </rPh>
    <phoneticPr fontId="2"/>
  </si>
  <si>
    <t>支給要件確認申立書に注意書きを追加</t>
    <rPh sb="0" eb="2">
      <t>シキュウ</t>
    </rPh>
    <rPh sb="2" eb="4">
      <t>ヨウケン</t>
    </rPh>
    <rPh sb="4" eb="6">
      <t>カクニン</t>
    </rPh>
    <rPh sb="6" eb="9">
      <t>モウシタテショ</t>
    </rPh>
    <rPh sb="10" eb="13">
      <t>チュウイガ</t>
    </rPh>
    <rPh sb="15" eb="17">
      <t>ツイカ</t>
    </rPh>
    <phoneticPr fontId="2"/>
  </si>
  <si>
    <t>山口</t>
    <rPh sb="0" eb="2">
      <t>ヤマグチ</t>
    </rPh>
    <phoneticPr fontId="2"/>
  </si>
  <si>
    <t>支給要件承諾書、記載例を追加</t>
    <rPh sb="0" eb="2">
      <t>シキュウ</t>
    </rPh>
    <rPh sb="2" eb="4">
      <t>ヨウケン</t>
    </rPh>
    <rPh sb="4" eb="7">
      <t>ショウダクショ</t>
    </rPh>
    <rPh sb="8" eb="10">
      <t>キサイ</t>
    </rPh>
    <rPh sb="10" eb="11">
      <t>レイ</t>
    </rPh>
    <rPh sb="12" eb="14">
      <t>ツイカ</t>
    </rPh>
    <phoneticPr fontId="2"/>
  </si>
  <si>
    <t>峰島</t>
    <rPh sb="0" eb="2">
      <t>ミネシマ</t>
    </rPh>
    <phoneticPr fontId="2"/>
  </si>
  <si>
    <r>
      <t>【代理人又は社会保険労務士(以下「代理人等」という。)記載欄　</t>
    </r>
    <r>
      <rPr>
        <sz val="8"/>
        <color theme="1"/>
        <rFont val="ＭＳ ゴシック"/>
        <family val="3"/>
        <charset val="128"/>
      </rPr>
      <t>※事業主等が直接申請する場合は記載不要です</t>
    </r>
    <r>
      <rPr>
        <b/>
        <sz val="11"/>
        <color theme="1"/>
        <rFont val="ＭＳ ゴシック"/>
        <family val="3"/>
        <charset val="128"/>
      </rPr>
      <t>】</t>
    </r>
    <rPh sb="1" eb="4">
      <t>ダイリニン</t>
    </rPh>
    <rPh sb="4" eb="5">
      <t>マタ</t>
    </rPh>
    <rPh sb="14" eb="16">
      <t>イカ</t>
    </rPh>
    <rPh sb="17" eb="20">
      <t>ダイリニン</t>
    </rPh>
    <rPh sb="20" eb="21">
      <t>ナド</t>
    </rPh>
    <rPh sb="27" eb="29">
      <t>キサイ</t>
    </rPh>
    <rPh sb="29" eb="30">
      <t>ラン</t>
    </rPh>
    <phoneticPr fontId="2"/>
  </si>
  <si>
    <r>
      <t xml:space="preserve">役員等氏名
</t>
    </r>
    <r>
      <rPr>
        <sz val="9"/>
        <color theme="1"/>
        <rFont val="HGｺﾞｼｯｸM"/>
        <family val="3"/>
        <charset val="128"/>
      </rPr>
      <t>（漢字）</t>
    </r>
    <rPh sb="0" eb="2">
      <t>ヤクイン</t>
    </rPh>
    <rPh sb="2" eb="3">
      <t>ナド</t>
    </rPh>
    <rPh sb="3" eb="5">
      <t>シメイ</t>
    </rPh>
    <rPh sb="4" eb="5">
      <t>メイ</t>
    </rPh>
    <rPh sb="7" eb="9">
      <t>カンジ</t>
    </rPh>
    <phoneticPr fontId="2"/>
  </si>
  <si>
    <r>
      <t xml:space="preserve">役員等氏名
</t>
    </r>
    <r>
      <rPr>
        <sz val="9"/>
        <color theme="1"/>
        <rFont val="HGｺﾞｼｯｸM"/>
        <family val="3"/>
        <charset val="128"/>
      </rPr>
      <t>（カナ）</t>
    </r>
    <rPh sb="0" eb="2">
      <t>ヤクイン</t>
    </rPh>
    <rPh sb="2" eb="3">
      <t>ナド</t>
    </rPh>
    <rPh sb="3" eb="5">
      <t>シメイ</t>
    </rPh>
    <phoneticPr fontId="2"/>
  </si>
  <si>
    <t>※請求金は、偽りその他不正の行為による場合は、①不正受給により返還を求められた額、②不正受給の日の翌日から納付の日まで、年３％の割合</t>
    <phoneticPr fontId="2"/>
  </si>
  <si>
    <t xml:space="preserve">
左欄4について
　はい・いいえ</t>
    <rPh sb="1" eb="2">
      <t>ヒダリ</t>
    </rPh>
    <rPh sb="2" eb="3">
      <t>ラン</t>
    </rPh>
    <phoneticPr fontId="2"/>
  </si>
  <si>
    <t xml:space="preserve">
左欄5について
　はい・いいえ</t>
    <rPh sb="1" eb="2">
      <t>ヒダリ</t>
    </rPh>
    <rPh sb="2" eb="3">
      <t>ラン</t>
    </rPh>
    <phoneticPr fontId="2"/>
  </si>
  <si>
    <t>（左欄4がはいの方のみ回答してください）</t>
    <rPh sb="1" eb="2">
      <t>ヒダリ</t>
    </rPh>
    <rPh sb="2" eb="3">
      <t>ラン</t>
    </rPh>
    <rPh sb="8" eb="9">
      <t>カタ</t>
    </rPh>
    <rPh sb="11" eb="13">
      <t>カイトウ</t>
    </rPh>
    <phoneticPr fontId="2"/>
  </si>
  <si>
    <t xml:space="preserve"> １　法人名：</t>
    <rPh sb="3" eb="5">
      <t>ホウジン</t>
    </rPh>
    <rPh sb="5" eb="6">
      <t>メイ</t>
    </rPh>
    <phoneticPr fontId="2"/>
  </si>
  <si>
    <t xml:space="preserve"> ２　事業所名称：</t>
    <phoneticPr fontId="2"/>
  </si>
  <si>
    <t xml:space="preserve"> ３　雇用保険適用事業所番号：</t>
    <phoneticPr fontId="2"/>
  </si>
  <si>
    <t xml:space="preserve"> ○　事業活動等に係る状況（はい・いいえのどちらかを○で囲んでください）（後述の「記載に
   あたっての留意点」の内容を了解した上でご回答下さい。）</t>
    <phoneticPr fontId="2"/>
  </si>
  <si>
    <t xml:space="preserve"> ４　過去に申請した雇用関係助成金について不正受給による不支給決定又は支給決定の取り消しを
 　受けたことがあり、当該不支給決定日又は支給決定取消日から５年（平成31年3月31日以前に
 　申請した雇用関係助成金に関する不正受給の場合は３年）を経過していない、または、平成31年
 　４月１日以降に申請した雇用関係助成金について不正受給に関与した役員等がいる。</t>
    <phoneticPr fontId="2"/>
  </si>
  <si>
    <r>
      <t xml:space="preserve"> ５　</t>
    </r>
    <r>
      <rPr>
        <b/>
        <u/>
        <sz val="10.5"/>
        <color theme="1"/>
        <rFont val="ＭＳ ゴシック"/>
        <family val="3"/>
        <charset val="128"/>
      </rPr>
      <t>（４がはいの方のみ）</t>
    </r>
    <r>
      <rPr>
        <sz val="10.5"/>
        <color theme="1"/>
        <rFont val="ＭＳ ゴシック"/>
        <family val="3"/>
        <charset val="128"/>
      </rPr>
      <t>不支給措置期間中であるが、支払い義務を負った金額</t>
    </r>
    <r>
      <rPr>
        <sz val="9"/>
        <color theme="1"/>
        <rFont val="ＭＳ ゴシック"/>
        <family val="3"/>
        <charset val="128"/>
      </rPr>
      <t>（※）</t>
    </r>
    <r>
      <rPr>
        <sz val="10.5"/>
        <color theme="1"/>
        <rFont val="ＭＳ ゴシック"/>
        <family val="3"/>
        <charset val="128"/>
      </rPr>
      <t xml:space="preserve">の全てを支給
 　申請日までに支払っており、本来の不支給措置期間（再度不正受給を行った場合は、当該不正受
 　給に関して設定される不支給措置期間）に加えて、「緊急対応期間中に雇用調整助成金を受給した
 　期間」が不支給措置期間として令和２年10月１日に設定されることを承諾している。
</t>
    </r>
    <r>
      <rPr>
        <sz val="9.3000000000000007"/>
        <color theme="1"/>
        <rFont val="ＭＳ ゴシック"/>
        <family val="3"/>
        <charset val="128"/>
      </rPr>
      <t xml:space="preserve"> ※ 平成31年４月１日以降に申請した雇用関係助成金について不正受給に関与した役員等がいる場合は、当該
 　役員等が関与した不正受給に関して支払い義務が生じた金額</t>
    </r>
    <phoneticPr fontId="2"/>
  </si>
  <si>
    <t xml:space="preserve"> ６　支給申請日の属する年度の前年度より前のいずれかの保険年度における労働保険料の滞納
 　がある（緊急対応期間において、当該滞納した労働保険料について、緊急対応期間終了後に
 　納付することに承諾している場合を除く。）。　　</t>
    <phoneticPr fontId="2"/>
  </si>
  <si>
    <t xml:space="preserve"> ７　支給申請日の前日から起算して過去１年において、労働関係法令違反により送検処分を受
 　けている（緊急対応期間において、本助成金を受給した場合には、本来の不支給期間に加え
 　て、「緊急対応期間中に雇用調整助成金を受給した期間」が不支給期間として令和２年10月
 　１日に設定されることを承諾している場合を除く。）。</t>
    <phoneticPr fontId="2"/>
  </si>
  <si>
    <t xml:space="preserve"> ８①　事業主若しくは事業主団体（以下「事業主等」という。）又は事業主等の役員等が、暴力
 　団員による不当な行為の防止等に関する法律（平成３年法律第77号。以下「暴力団対策法」
 　という。）第２条第２号に規定する暴力団又は第２条第６号に規定する暴力団員である。</t>
    <phoneticPr fontId="2"/>
  </si>
  <si>
    <t xml:space="preserve"> ②　役員等が、自己、自社若しくは第三者の不正の利益を図る目的又は第三者に損害を加える
 　目的をもって、暴力団又は暴力団員を利用するなどしている。　</t>
    <phoneticPr fontId="2"/>
  </si>
  <si>
    <t xml:space="preserve"> ③　役員等が、暴力団又は暴力団員に対して、資金等を供給し、又は便宜を供与するなど直接
　 的あるいは積極的に暴力団の維持、運営に協力し、若しくは関与している。　</t>
    <phoneticPr fontId="2"/>
  </si>
  <si>
    <t xml:space="preserve"> ④　役員等が、暴力団又は暴力団員であることを知りながらこれを不当に利用するなどしてい
　 る。</t>
    <phoneticPr fontId="2"/>
  </si>
  <si>
    <t xml:space="preserve"> ⑤　役員等が、暴力団又は暴力団員と社会的に非難されるべき関係を有している。</t>
    <phoneticPr fontId="2"/>
  </si>
  <si>
    <t xml:space="preserve"> ９　事業主等又は事業主等の役員等が、破壊活動防止法第４条に規定する暴力主義的破壊活動
 　を行った又は行う恐れがある団体等に属している。　　　</t>
    <phoneticPr fontId="2"/>
  </si>
  <si>
    <t xml:space="preserve"> 10　倒産している。</t>
    <rPh sb="4" eb="6">
      <t>トウサン</t>
    </rPh>
    <phoneticPr fontId="2"/>
  </si>
  <si>
    <t xml:space="preserve"> 11　助成金について不正受給を理由に支給決定を取り消された場合、労働局が事業主名等を公表す
　 ることに承諾する。</t>
    <phoneticPr fontId="2"/>
  </si>
  <si>
    <t xml:space="preserve"> 12　役員等の氏名、役職及び生年月日が記載されている別紙「役員等一覧」又は同内容
　 の記載がある書類を添付している。</t>
    <phoneticPr fontId="2"/>
  </si>
  <si>
    <t xml:space="preserve"> 13　休業手当の算定の基礎となる賃金の額が支給対象期間のみ引き上げられたものでない</t>
    <phoneticPr fontId="2"/>
  </si>
  <si>
    <t xml:space="preserve"> 14　「雇用関係助成金支給要領」に従うことに承諾する。</t>
    <phoneticPr fontId="2"/>
  </si>
  <si>
    <t xml:space="preserve"> 15 （雇用調整助成金等オンライン受付システムにおいて申請した場合）オンラインで提出した書類
 　については、原本と相違ない。</t>
    <phoneticPr fontId="2"/>
  </si>
  <si>
    <t>は　い
いいえ</t>
    <phoneticPr fontId="2"/>
  </si>
  <si>
    <t xml:space="preserve">　
　左欄6～10につ
　いて
</t>
    <phoneticPr fontId="2"/>
  </si>
  <si>
    <t xml:space="preserve">　
　左欄11～15に
　ついて
</t>
    <phoneticPr fontId="2"/>
  </si>
  <si>
    <t xml:space="preserve"> 16　雇用されている労働者（雇用保険未加入者を含む）及び派遣労働者の数が、令和２年１月24日
 　から判定基礎期間の末日までの各月末の事業所労働者数の平均の５分の４以上である。</t>
    <phoneticPr fontId="2"/>
  </si>
  <si>
    <t xml:space="preserve"> 18　令和２年１月24日から判定基礎期間の末日までの間に解雇等を行っていない。</t>
    <phoneticPr fontId="2"/>
  </si>
  <si>
    <t>はい・いいえ</t>
    <phoneticPr fontId="2"/>
  </si>
  <si>
    <t>　１から18までの記載事項については、いずれも相違ありません。また、１から18までの事業活動等又はその他</t>
    <phoneticPr fontId="2"/>
  </si>
  <si>
    <t>で算定した延滞金、③不正受給により返還を求められた額の20％に相当する額の合計額です。５において不支給措置期間中に本助成金を受給する場</t>
    <phoneticPr fontId="2"/>
  </si>
  <si>
    <t>合に、再度不正受給を行った場合には、上記のうち③の「不正受給により返還を求められた額の20％に相当する額」は「不正受給により返還を求め</t>
    <phoneticPr fontId="2"/>
  </si>
  <si>
    <t>られた額の200％に相当する額」となります。なお、偽りその他不正の行為以外の事由により本来受けることのできない助成金を受けた場合は、当該</t>
    <phoneticPr fontId="2"/>
  </si>
  <si>
    <t>受け取った額です。</t>
    <phoneticPr fontId="2"/>
  </si>
  <si>
    <t>た場合であって、代理人等が故意に不正受給に関与していた場合（偽りその他不正の行為の指示やその事実を知り</t>
    <phoneticPr fontId="2"/>
  </si>
  <si>
    <t>ながら黙認していた場合を含む。）は、①申請事業主等が負担すべき一切の債務について、申請事業主等と連帯し、</t>
    <phoneticPr fontId="2"/>
  </si>
  <si>
    <t>請求があった場合、直ちに請求金を弁済すべき義務を負うこと、②代理人等に係る事務所（又は法人等）の名称、</t>
    <phoneticPr fontId="2"/>
  </si>
  <si>
    <t>所在地、氏名及び不正の内容が公表されること、③不支給とした日又は支給を取り消した日から起算して５年間（取</t>
    <phoneticPr fontId="2"/>
  </si>
  <si>
    <t>り消した日から起算して５年を経過した場合であっても、請求金が納付されていない場合は、時効が完成している</t>
    <phoneticPr fontId="2"/>
  </si>
  <si>
    <t>場合を除き、納付日まで）は、助成金に係る代理人等が行う申請又は提出代行、事務代理に基づく申請ができない</t>
    <phoneticPr fontId="2"/>
  </si>
  <si>
    <t>ことについて承諾します。</t>
    <phoneticPr fontId="2"/>
  </si>
  <si>
    <t>　４．「６」は、本助成金の支給に係る事業所において、支給申請日の属する年度の前年度より前のいずれかの保険</t>
    <phoneticPr fontId="2"/>
  </si>
  <si>
    <t>　５．「７」は、本助成金の支給に係る事業所において、支給申請日の前日から起算して過去１年において、労働基</t>
    <phoneticPr fontId="2"/>
  </si>
  <si>
    <t>　６．「８」及び「９」における「役員等」とは、事業主等が個人である場合はその者、法人である場合は役員又は</t>
    <phoneticPr fontId="2"/>
  </si>
  <si>
    <t>　７．「10」における「倒産」とは、破産手続開始、再生手続開始、更生手続開始又は特別精算開始の申し立てがさ</t>
    <phoneticPr fontId="2"/>
  </si>
  <si>
    <t>　８．「11」における「公表」は、事業主等、代理人等、訓練を行う者（訓練の実施が要件となっている助成金に限</t>
    <phoneticPr fontId="2"/>
  </si>
  <si>
    <t>　　　働局のホームページに掲載することにより行います。</t>
    <phoneticPr fontId="2"/>
  </si>
  <si>
    <t>　１．この様式は必要事項を記載するとともに、該当箇所に「○」を付けて、支給申請にあわせて提出してください。</t>
    <phoneticPr fontId="2"/>
  </si>
  <si>
    <t>　２．「１」の法人番号は、平成 27 年 10 月以降国税庁長官から本社等に通知された 13 桁の番号を記入してください。</t>
    <phoneticPr fontId="2"/>
  </si>
  <si>
    <t>　３．「４」は、過去に申請した助成金について、不正受給による不支給決定又は支給決定の取り消しを受けたこと</t>
    <phoneticPr fontId="2"/>
  </si>
  <si>
    <t>　　　（１）不正受給を行った事業主等の名称、代表者及び役員等（不正に関与した役員等に限る）の氏名</t>
    <phoneticPr fontId="2"/>
  </si>
  <si>
    <t>　　　（２）不正受給に係る事業所の名称、所在地及び事業概要</t>
    <phoneticPr fontId="2"/>
  </si>
  <si>
    <t>　　　（３）不正受給に係る助成金の名称、支給を取り消した日及び返還を命じた額及び返還状況</t>
    <phoneticPr fontId="2"/>
  </si>
  <si>
    <t>　　　（４）事業主等が行った不正の内容</t>
    <phoneticPr fontId="2"/>
  </si>
  <si>
    <t>　　　（５）代理人等が不正受給に関与していた場合は、事務所の名称（法人等の場合は法人等名を含む。）、所在地、</t>
    <phoneticPr fontId="2"/>
  </si>
  <si>
    <t>　　　ホームページへの掲載は、不支給決定日又は支給決定取消日から起算して、５年が経過するまでの期間行いま</t>
    <phoneticPr fontId="2"/>
  </si>
  <si>
    <t xml:space="preserve">     不支給決定日又は支給決定取消日から起算して５年間は、雇用関係助成金に係る当該代理人が行う申請又は当該</t>
    <phoneticPr fontId="2"/>
  </si>
  <si>
    <t xml:space="preserve">     社会保険労務士が行う提出代行・事務代理に基づく申請はできません。加えて、支給決定取消日から５年を経過</t>
    <phoneticPr fontId="2"/>
  </si>
  <si>
    <t xml:space="preserve">     しても、不正受給に係る請求金が納付されていない場合（時効が完成している場合を除く）は、同様に申請はで</t>
    <phoneticPr fontId="2"/>
  </si>
  <si>
    <t xml:space="preserve">     れること等の事態をいいます。</t>
    <phoneticPr fontId="2"/>
  </si>
  <si>
    <t xml:space="preserve">     る。以下同じ。）が行った不正受給について、次の（１）から（５）までの事項を、記者発表し、かつ、原則労</t>
    <phoneticPr fontId="2"/>
  </si>
  <si>
    <t xml:space="preserve">     支店若しくは営業所の代表者、団体である場合は代表者、理事等、その他経営に実質的に関与している者をいい</t>
    <phoneticPr fontId="2"/>
  </si>
  <si>
    <t xml:space="preserve">     ます。</t>
    <phoneticPr fontId="2"/>
  </si>
  <si>
    <t xml:space="preserve">     令和２年10月１日に設定されることを承諾している場合を除く。）は申請することができません。</t>
    <phoneticPr fontId="2"/>
  </si>
  <si>
    <t xml:space="preserve">     合には、本来の不支給期間に加えて、「緊急対応期間中に雇用調整助成金を受給した期間」が不支給期間として</t>
    <phoneticPr fontId="2"/>
  </si>
  <si>
    <t xml:space="preserve">     準法等の労働関係法令の違反により送検処分を受けている場合（緊急対応期間において、本助成金を受給した場</t>
    <phoneticPr fontId="2"/>
  </si>
  <si>
    <t xml:space="preserve">     を除く）は、申請することはできません。</t>
    <rPh sb="6" eb="7">
      <t>ノゾ</t>
    </rPh>
    <rPh sb="11" eb="13">
      <t>シンセイ</t>
    </rPh>
    <phoneticPr fontId="2"/>
  </si>
  <si>
    <t xml:space="preserve">     期間終了後に納付することに承諾している場合を除く。）は申請することができません。</t>
    <rPh sb="5" eb="7">
      <t>キカン</t>
    </rPh>
    <rPh sb="7" eb="10">
      <t>シュウリョウゴ</t>
    </rPh>
    <rPh sb="11" eb="13">
      <t>ノウフ</t>
    </rPh>
    <rPh sb="18" eb="20">
      <t>ショウダク</t>
    </rPh>
    <rPh sb="24" eb="26">
      <t>バアイ</t>
    </rPh>
    <rPh sb="27" eb="28">
      <t>ノゾ</t>
    </rPh>
    <rPh sb="32" eb="34">
      <t>シンセイ</t>
    </rPh>
    <phoneticPr fontId="2"/>
  </si>
  <si>
    <t xml:space="preserve">     年度の労働保険料を納付していない場合（緊急対応期間において、当該滞納した労働保険料について、緊急対応</t>
    <phoneticPr fontId="2"/>
  </si>
  <si>
    <t xml:space="preserve">     に設定し、助成を受けた又は受けようとした判定基礎期間の累計日数のことをいいます。</t>
    <phoneticPr fontId="2"/>
  </si>
  <si>
    <t xml:space="preserve">     は、これらの事業所が受給した期間のうち最も長く受給した期間となります。また、この期間は緊急対応期間中</t>
    <phoneticPr fontId="2"/>
  </si>
  <si>
    <t xml:space="preserve">     す。「５」の「緊急対応期間中に雇用調整助成金を受給した期間」について、複数の適用事業所が受給した場合</t>
    <phoneticPr fontId="2"/>
  </si>
  <si>
    <r>
      <t>　 　</t>
    </r>
    <r>
      <rPr>
        <sz val="9"/>
        <color rgb="FF000000"/>
        <rFont val="ＭＳ ゴシック"/>
        <family val="3"/>
        <charset val="128"/>
      </rPr>
      <t>当該役員等が関与した不正受給に関して支払い義務が生じた金額）</t>
    </r>
    <r>
      <rPr>
        <sz val="10.5"/>
        <color rgb="FF000000"/>
        <rFont val="ＭＳ ゴシック"/>
        <family val="3"/>
        <charset val="128"/>
      </rPr>
      <t>の全てを支給申請日までに支払っている場合に限りま</t>
    </r>
    <phoneticPr fontId="2"/>
  </si>
  <si>
    <r>
      <t>　 　払い義務を負った金額</t>
    </r>
    <r>
      <rPr>
        <sz val="9"/>
        <color rgb="FF000000"/>
        <rFont val="ＭＳ ゴシック"/>
        <family val="3"/>
        <charset val="128"/>
      </rPr>
      <t>（平成31年４月１日以降に申請した雇用関係助成金について不正受給に関与した役員等がいる場合は、</t>
    </r>
    <phoneticPr fontId="2"/>
  </si>
  <si>
    <t>　 　（「５」ではいを選択した場合を除く。）。なお、「５」ではいを選択した場合は、不支給措置期間中であるが、支</t>
    <phoneticPr fontId="2"/>
  </si>
  <si>
    <t>　 　る者。）に、他の事業主等の役員等として不正受給に関与した役員等がいる場合は申請することができません</t>
    <phoneticPr fontId="2"/>
  </si>
  <si>
    <t>　 　である場合はその者、法人である場合は役員、団体である場合は代表者、理事等をいい、役員名簿等に記載があ</t>
    <phoneticPr fontId="2"/>
  </si>
  <si>
    <t>　 　　また、平成31年４月１日以降に申請した雇用関係助成金について、申請事業主等の役員等（事業主等が個人</t>
    <phoneticPr fontId="2"/>
  </si>
  <si>
    <t>　 　を受け、又は受けようとすることです。</t>
    <phoneticPr fontId="2"/>
  </si>
  <si>
    <t>　 　書に虚偽の記載を行い又は偽りの証明を行うこと。以下同じ。）により本来受けることのできない助成金の支給</t>
    <phoneticPr fontId="2"/>
  </si>
  <si>
    <t xml:space="preserve"> 　　法律第45号）各本条に触れる行為のほか、刑法上犯罪を構成するに至らない場合であっても、故意に支給申請</t>
    <phoneticPr fontId="2"/>
  </si>
  <si>
    <t>　 　選択した場合を除く。）。なお、「不正受給」とは、偽りその他不正の行為（詐欺、脅迫、贈賄等刑法（明治40年</t>
    <phoneticPr fontId="2"/>
  </si>
  <si>
    <t>　 　の場合は、当該不正受給を行った雇用保険の適用事業所に係る申請）を行うことはできません（「５」ではいを</t>
    <phoneticPr fontId="2"/>
  </si>
  <si>
    <t>　 　に関する不正受給の場合は３年）を経過するまで、申請（平成31年３月以前に申請した助成金に係る不正受給</t>
    <phoneticPr fontId="2"/>
  </si>
  <si>
    <t>　 　がある場合は、不支給決定日又は支給決定取消日から５年（平成31年３月31日以前に申請した雇用関係助成金</t>
    <phoneticPr fontId="2"/>
  </si>
  <si>
    <t>　 　「※１　確認欄」は、労働局（安定所）が確認等の際に使用しますので記入しないでください。</t>
    <phoneticPr fontId="2"/>
  </si>
  <si>
    <t>　　 きません。</t>
    <phoneticPr fontId="2"/>
  </si>
  <si>
    <t>　　 　また、平成31年４月１日以降に計画届が提出される訓練（ただし、計画届がない場合は平成31年４月１日以</t>
    <phoneticPr fontId="2"/>
  </si>
  <si>
    <t>　　 降に開始される訓練）について、訓練を行う者が不正に関与していた場合、不支給決定日又は支給決定取消日か</t>
    <phoneticPr fontId="2"/>
  </si>
  <si>
    <t>　　 ら起算して５年間は、当該訓練を行う者が実施した訓練について雇用関係助成金の支給対象となりません。加え</t>
    <phoneticPr fontId="2"/>
  </si>
  <si>
    <t>　　 て、支給決定取消日から起算して５年を経過しても、不正受給に係る請求金が納付されていない場合（時効が完</t>
    <phoneticPr fontId="2"/>
  </si>
  <si>
    <t>　 　成している場合を除く）は、同様に支給対象となりません。</t>
    <phoneticPr fontId="2"/>
  </si>
  <si>
    <t>　 　　上記（５）に関する不正事案については、厚生労働省ホームページでも掲載しますので、申請等を委任する場</t>
    <phoneticPr fontId="2"/>
  </si>
  <si>
    <t>　　 合には、不正に関与した代理人ではないか、若しくは、不正に関与した訓練実施者ではないかについてご確認く</t>
    <phoneticPr fontId="2"/>
  </si>
  <si>
    <t>　　 ださい。</t>
    <phoneticPr fontId="2"/>
  </si>
  <si>
    <t>　９. 「12」における役員等とは、事業主等が個人である場合はその者、法人である場合は役員、団体である場合は</t>
    <phoneticPr fontId="2"/>
  </si>
  <si>
    <t>　　 代表者、理事等をいい、役員名簿等に記載がある者をいいます。</t>
    <phoneticPr fontId="2"/>
  </si>
  <si>
    <t>　10.「16」及び「18」が「はい」、もしくは、「17」及び「18」が「はい」であれば、上乗せ助成（４分の３（中小</t>
    <phoneticPr fontId="2"/>
  </si>
  <si>
    <t>　　 場合は、「いいえ」に「○」を付けてください。</t>
    <phoneticPr fontId="2"/>
  </si>
  <si>
    <t>　　 企業事業主にあっては、10分の10））となります。</t>
    <phoneticPr fontId="2"/>
  </si>
  <si>
    <t>　11.「17」の特定の季節に繁忙期が到来するなどの理由や、一時的な受注増に対応したなどの理由がある場合には、</t>
    <phoneticPr fontId="2"/>
  </si>
  <si>
    <t>　　 「はい」に○をしてください。</t>
    <phoneticPr fontId="2"/>
  </si>
  <si>
    <t>　12.「18」の解雇等とは、以下を指します。</t>
    <phoneticPr fontId="2"/>
  </si>
  <si>
    <t>　　①　事業主に直接雇用される期間の定めのない労働契約を締結する労働者の場合、事業主都合による解雇により</t>
    <phoneticPr fontId="2"/>
  </si>
  <si>
    <t>　　  離職をさせること</t>
    <phoneticPr fontId="2"/>
  </si>
  <si>
    <t>　　②　事業主に直接雇用される期間の定めのある労働契約を締結する労働者の場合、解雇と見なされる労働者の雇</t>
    <phoneticPr fontId="2"/>
  </si>
  <si>
    <t>　　  止め、事業主都合による中途契約解除となる離職をさせること</t>
    <phoneticPr fontId="2"/>
  </si>
  <si>
    <t>　　③　対象事業主の事業所に役務の提供を行っている派遣労働者の場合、契約期間満了前の事業主都合による契約</t>
    <phoneticPr fontId="2"/>
  </si>
  <si>
    <t>　　　解除を行うこと</t>
    <phoneticPr fontId="2"/>
  </si>
  <si>
    <t>　　なお、以上については、コロナウイルス感染症を理由とする解雇も含みます。</t>
    <phoneticPr fontId="2"/>
  </si>
  <si>
    <r>
      <t>　13．</t>
    </r>
    <r>
      <rPr>
        <u/>
        <sz val="10.5"/>
        <color rgb="FF000000"/>
        <rFont val="ＭＳ ゴシック"/>
        <family val="3"/>
        <charset val="128"/>
      </rPr>
      <t>「４」で「はい」（「５」で「はい」に○を付けた場合を除く。）又は「６」から「10」で「はい」に「○」を付</t>
    </r>
    <phoneticPr fontId="2"/>
  </si>
  <si>
    <r>
      <t>　　　</t>
    </r>
    <r>
      <rPr>
        <u/>
        <sz val="10.5"/>
        <color rgb="FF000000"/>
        <rFont val="ＭＳ ゴシック"/>
        <family val="3"/>
        <charset val="128"/>
      </rPr>
      <t>けた場合は、助成金の支給を受けることはできません。また、「11」から「15」で「いいえ」に「○」を付けた</t>
    </r>
    <phoneticPr fontId="2"/>
  </si>
  <si>
    <r>
      <t>　　　</t>
    </r>
    <r>
      <rPr>
        <u/>
        <sz val="10.5"/>
        <color rgb="FF000000"/>
        <rFont val="ＭＳ ゴシック"/>
        <family val="3"/>
        <charset val="128"/>
      </rPr>
      <t>場合も、助成金の支給を受けることはできません。</t>
    </r>
    <phoneticPr fontId="2"/>
  </si>
  <si>
    <r>
      <t>雇用保険適用事業所番号</t>
    </r>
    <r>
      <rPr>
        <sz val="10"/>
        <color theme="1"/>
        <rFont val="HGｺﾞｼｯｸM"/>
        <family val="3"/>
        <charset val="128"/>
      </rPr>
      <t>（無い場合は労働保険番号）</t>
    </r>
    <rPh sb="0" eb="2">
      <t>コヨウ</t>
    </rPh>
    <rPh sb="2" eb="4">
      <t>ホケン</t>
    </rPh>
    <rPh sb="4" eb="6">
      <t>テキヨウ</t>
    </rPh>
    <rPh sb="6" eb="9">
      <t>ジギョウショ</t>
    </rPh>
    <rPh sb="9" eb="11">
      <t>バンゴウ</t>
    </rPh>
    <phoneticPr fontId="2"/>
  </si>
  <si>
    <r>
      <t>支給要件確認申立書 (</t>
    </r>
    <r>
      <rPr>
        <b/>
        <u/>
        <sz val="13"/>
        <color theme="1"/>
        <rFont val="ＭＳ ゴシック"/>
        <family val="3"/>
        <charset val="128"/>
      </rPr>
      <t>雇用調整助成金</t>
    </r>
    <r>
      <rPr>
        <b/>
        <sz val="13"/>
        <color theme="1"/>
        <rFont val="ＭＳ ゴシック"/>
        <family val="3"/>
        <charset val="128"/>
      </rPr>
      <t xml:space="preserve">）
</t>
    </r>
    <rPh sb="11" eb="13">
      <t>コヨウ</t>
    </rPh>
    <rPh sb="13" eb="15">
      <t>チョウセイ</t>
    </rPh>
    <phoneticPr fontId="2"/>
  </si>
  <si>
    <t xml:space="preserve"> 17　（16がいいえの方のみ）季節要因及び一時的な受注増等に対応したため、労働者の数が減少し
 　　たものである。</t>
    <phoneticPr fontId="2"/>
  </si>
  <si>
    <t xml:space="preserve">              雇用調整実施事業所の事業活動の状況に関する申出書</t>
    <phoneticPr fontId="89"/>
  </si>
  <si>
    <t xml:space="preserve">                      （新型コロナウイルス感染症関係）</t>
    <phoneticPr fontId="89"/>
  </si>
  <si>
    <t>　　　　</t>
  </si>
  <si>
    <t>　　　　事業活動の状況について次のとおり申し出ます。
        下記の記載事項については、いずれも相違ありません。
        なお、雇用調整中あるいは雇用調整後、ハローワーク又は労働局の立入検査に協力します。</t>
    <phoneticPr fontId="89"/>
  </si>
  <si>
    <t xml:space="preserve">                                                       </t>
  </si>
  <si>
    <t>Ａ 判定期間の指標</t>
  </si>
  <si>
    <t>添 付 書 類</t>
  </si>
  <si>
    <t>※　確　認　欄</t>
  </si>
  <si>
    <t xml:space="preserve">  Ａ／Ｂ×100</t>
    <phoneticPr fontId="89"/>
  </si>
  <si>
    <t>（裏面）</t>
  </si>
  <si>
    <t>合計(　)枚</t>
    <rPh sb="0" eb="2">
      <t>ゴウケイ</t>
    </rPh>
    <rPh sb="5" eb="6">
      <t>マイ</t>
    </rPh>
    <phoneticPr fontId="2"/>
  </si>
  <si>
    <t>研修日報</t>
    <rPh sb="0" eb="2">
      <t>ケンシュウ</t>
    </rPh>
    <rPh sb="2" eb="4">
      <t>ニッポウ</t>
    </rPh>
    <phoneticPr fontId="2"/>
  </si>
  <si>
    <t>以下日報につきまして、私が記入いたしましたことを証明いたします。</t>
    <rPh sb="0" eb="2">
      <t>イカ</t>
    </rPh>
    <rPh sb="2" eb="4">
      <t>ニッポウ</t>
    </rPh>
    <rPh sb="11" eb="12">
      <t>ワタシ</t>
    </rPh>
    <rPh sb="13" eb="15">
      <t>キニュウ</t>
    </rPh>
    <rPh sb="24" eb="26">
      <t>ショウメイ</t>
    </rPh>
    <phoneticPr fontId="2"/>
  </si>
  <si>
    <t>コース名</t>
    <rPh sb="3" eb="4">
      <t>メイ</t>
    </rPh>
    <phoneticPr fontId="2"/>
  </si>
  <si>
    <t>社　　名</t>
    <rPh sb="0" eb="1">
      <t>シャ</t>
    </rPh>
    <rPh sb="3" eb="4">
      <t>メイ</t>
    </rPh>
    <phoneticPr fontId="2"/>
  </si>
  <si>
    <t>氏　　名</t>
    <rPh sb="0" eb="1">
      <t>シ</t>
    </rPh>
    <rPh sb="3" eb="4">
      <t>メイ</t>
    </rPh>
    <phoneticPr fontId="2"/>
  </si>
  <si>
    <t>様式新特第７号申請書（新型コロナウイルス感染症関係）</t>
  </si>
  <si>
    <t>雇用調整助成金 （休業等） 支給申請書</t>
  </si>
  <si>
    <t>雇用調整助成金（休業・教育訓練）の支給を受けたいので、裏面記載の注意事項を了解し、次のとおり申請します。
なお、この申請書の記載事項に係る確認を安定所（労働局）が行う場合には協力します。</t>
  </si>
  <si>
    <t>令和</t>
  </si>
  <si>
    <t>年</t>
  </si>
  <si>
    <t>月</t>
  </si>
  <si>
    <t>日</t>
  </si>
  <si>
    <t>事業主 
又は
代理人</t>
  </si>
  <si>
    <t>住所</t>
  </si>
  <si>
    <t>〒</t>
  </si>
  <si>
    <t>－</t>
  </si>
  <si>
    <t>名称</t>
  </si>
  <si>
    <t>氏名</t>
    <phoneticPr fontId="2"/>
  </si>
  <si>
    <t>㊞</t>
  </si>
  <si>
    <t xml:space="preserve">      申請者が代理人の場合、上欄に代理人の記名押印等を、下欄に事業主の住所、名称及び氏名の記入（押印不要）を、申請者が社
      会保険労務士法施行規則第16条第2項に規定する提出代行者又は同令第16条の3に規定する事務代理者の場合、上欄に事業主の記
      名押印等を、下欄に申請者の押印等をして下さい。</t>
    <phoneticPr fontId="2"/>
  </si>
  <si>
    <t>労働局長 殿</t>
  </si>
  <si>
    <t>事業主又は 
(提出代行者・事務代理者)
社会保険労務士</t>
  </si>
  <si>
    <t>（</t>
  </si>
  <si>
    <t>公共職業安定所経由）</t>
  </si>
  <si>
    <t>氏名</t>
  </si>
  <si>
    <t>①休業等実施事業所</t>
  </si>
  <si>
    <t>(1)名　　　称</t>
  </si>
  <si>
    <t>(2)所在地</t>
  </si>
  <si>
    <t>※大・中小</t>
  </si>
  <si>
    <t>事業所番号</t>
  </si>
  <si>
    <t>労働保険番号</t>
  </si>
  <si>
    <t>電話番号</t>
  </si>
  <si>
    <t>(3)事務担当者職氏名</t>
  </si>
  <si>
    <t>(4)事業の種類</t>
  </si>
  <si>
    <t>(5)賃金締切日</t>
  </si>
  <si>
    <t>(6) 対象労働者数 （裏面記入要領２参照）</t>
  </si>
  <si>
    <t>a毎月(</t>
  </si>
  <si>
    <t>)日・ｂその他(</t>
  </si>
  <si>
    <t>)</t>
  </si>
  <si>
    <t>人</t>
  </si>
  <si>
    <t xml:space="preserve">  産業分類 （中分類）</t>
    <phoneticPr fontId="2"/>
  </si>
  <si>
    <t>②休業等の規模</t>
  </si>
  <si>
    <r>
      <t xml:space="preserve">(1) 月間休業延日数
</t>
    </r>
    <r>
      <rPr>
        <sz val="14"/>
        <color theme="1"/>
        <rFont val="ＭＳ ゴシック"/>
        <family val="3"/>
        <charset val="128"/>
      </rPr>
      <t xml:space="preserve">（様式新特第８号の(8)①②の日数計） </t>
    </r>
    <phoneticPr fontId="2"/>
  </si>
  <si>
    <t>(2) 月間教育訓練延日数
（様式新特第８号の(8)③）</t>
  </si>
  <si>
    <t>(3) 月間休業等延日数 [(1)+(2)]</t>
  </si>
  <si>
    <t>人・日</t>
  </si>
  <si>
    <t>(4) 月間所定労働延日数</t>
  </si>
  <si>
    <t>(5) 月間平均所定労働日数 [(4)／①(6)] 
（小数点第2位以下切り捨て）</t>
  </si>
  <si>
    <t>(6) 休業規模 [(3)／(4)×100
（小数点第2位以下切り捨て）</t>
  </si>
  <si>
    <t>③助成額の算定</t>
  </si>
  <si>
    <r>
      <t xml:space="preserve">(1)助成対象となる月間休業延日数
</t>
    </r>
    <r>
      <rPr>
        <sz val="14"/>
        <color theme="1"/>
        <rFont val="ＭＳ ゴシック"/>
        <family val="3"/>
        <charset val="128"/>
      </rPr>
      <t xml:space="preserve">（様式新特第８号の(8)①②の日数計） </t>
    </r>
  </si>
  <si>
    <t>(2) 助成対象となる月間教育訓練延日数 
（様式新特第８号の(8)③）</t>
    <phoneticPr fontId="2"/>
  </si>
  <si>
    <t>(3) 助成対象となる月間休業等延日数
[(1)+(2)]</t>
  </si>
  <si>
    <t>(4) 支給を受けようとする助成金額（休業）
（様式新特第８号の(11)④の額）</t>
  </si>
  <si>
    <t>(5) 支給を受けようとする助成金額（教育訓練）
（様式新特第８号の(11)⑤の額）</t>
  </si>
  <si>
    <t>(6) 合計額　[ (4)+(5) ]</t>
  </si>
  <si>
    <t>円</t>
  </si>
  <si>
    <t xml:space="preserve">
④支払
　方法
</t>
    <phoneticPr fontId="2"/>
  </si>
  <si>
    <t>国庫金振込（取引金融機関店舗名：</t>
    <phoneticPr fontId="2"/>
  </si>
  <si>
    <t>／</t>
  </si>
  <si>
    <t>支店名</t>
  </si>
  <si>
    <t xml:space="preserve">    金融機関コード</t>
    <phoneticPr fontId="2"/>
  </si>
  <si>
    <t>支店コード</t>
  </si>
  <si>
    <t>口座名義（フリガナ）</t>
  </si>
  <si>
    <t>口座の種類</t>
  </si>
  <si>
    <t>口座番号</t>
  </si>
  <si>
    <t>♦判定基礎期間</t>
  </si>
  <si>
    <t>～</t>
  </si>
  <si>
    <t>※労働局処理欄</t>
  </si>
  <si>
    <t>[G]労働保険料の滞納状況</t>
  </si>
  <si>
    <t>[H]過去の不正受給</t>
  </si>
  <si>
    <t>[I]労働関係法令違反の有無</t>
  </si>
  <si>
    <t>（システムから確認）</t>
  </si>
  <si>
    <t>●助成金支給番号</t>
  </si>
  <si>
    <t>●支給決定年月日</t>
  </si>
  <si>
    <t>労働局決裁欄</t>
  </si>
  <si>
    <t>（局長）         （部長・ ）             （課長・ ）                  （補佐・ ）              （係長・ ） （ ）</t>
    <phoneticPr fontId="2"/>
  </si>
  <si>
    <t>旧上限額まで</t>
  </si>
  <si>
    <t>旧上限額超え</t>
  </si>
  <si>
    <t>※ 安定所処理欄</t>
  </si>
  <si>
    <t>区 分</t>
  </si>
  <si>
    <t>[Ａ]判定基礎期間
助成対象休業等延日数</t>
  </si>
  <si>
    <t>[Ｂ]判定基礎期間
暦月末日対象労働者数</t>
  </si>
  <si>
    <t>[Ｃ] [Ａ]／[Ｂ]</t>
  </si>
  <si>
    <t>[Ｄ]前判定基礎
期間後残日数</t>
  </si>
  <si>
    <t>[Ｅ]残日数</t>
  </si>
  <si>
    <t>休業等助成金</t>
  </si>
  <si>
    <t>教育訓練分助成金</t>
  </si>
  <si>
    <t>[F]支給判定金額</t>
  </si>
  <si>
    <t>（休業）</t>
  </si>
  <si>
    <t>（教育訓練）</t>
  </si>
  <si>
    <t>安定所決裁欄</t>
  </si>
  <si>
    <t>（所長） 　          （部長・次長） 　　         （課長・統括） 　　        （上席・係長） 　　             （職業指導官） 　　       （担当）</t>
    <phoneticPr fontId="2"/>
  </si>
  <si>
    <t>注意事項</t>
  </si>
  <si>
    <t xml:space="preserve">【記入要領】
１　本様式は一つの判定基礎期間ごとに別葉にして記入して下さい。二又は三の連続する判定基礎期間について支給申請する場合、２箇月目又は３箇月目の判定基礎期間の分につ
いては、①(6)欄、②欄、③欄及び◆判定基礎期間欄のみの記入で差し支えありません。
２　①(6)欄には、判定基礎期間内の暦月の末日時点の「対象労働者」（※）の数を記入して下さい。なお、判定基礎期間内に暦月の末日がない場合は、当該判定基礎期間の末日時
点の数を記入して下さい。また、２つの判定基礎期間を通算した期間を一の判定基礎期間として申請する事業所において当該一の判定基礎期間内に暦月の末日が２つある場合、い
ずれか遅い方の暦月の末日時点の数を記入して下さい。
（※）「対象労働者」とは、休業・教育訓練実施事業所に雇用される雇用保険被保険者のうち、次を除いた者をいいます。
a　解雇を予告されている被保険者、退職願を提出した被保険者、事業主による退職勧奨に応じた被保険者（当該解雇その他離職の日の翌日において安定した職業に就くことが明ら
かな者を除く）
b　日雇労働被保険者である者
c　判定基礎期間において雇用調整助成金と重複して受給することができない助成金等の支給の対象となる被保険者
３　②(1)欄には、様式新特第８号（８）の①欄と②欄の日数の計を、また②(2)欄には、同様式の（８）③欄の日数を記入して下さい。
４　②(4)欄には、休業・教育訓練実施事業所のすべての対象労働者の判定基礎期間における所定労働日の数の合計を記入して下さい。
５　③(1)欄には、様式新特第８号（８）の①欄と②欄の日数の計を、また③(2)欄には、同様式の（８）③欄の日数を記入して下さい。③(4)欄には、同様式の(11)④欄の額を、ま
た③(5)欄には、同様式の(11)⑤欄の額を記入して下さい。
６　④欄には、振込先を記入してください。なお、変更の無い場合は、２回目以降の申請の際は記入の必要はありません。
</t>
    <phoneticPr fontId="2"/>
  </si>
  <si>
    <t xml:space="preserve">【支給申請にあたっての注意事項】
　　雇用調整助成金の支給申請は、本様式及び「雇用調整助成金ガイドブック」の「支給申請に必要な書類」に示す添付書類を用いて次によって提出して下さい。
１　休業又は教育訓練を実施し、当該休業に係る手当（労働基準法第26条の規定に違反していない場合）又は当該教育訓練に係る賃金を休業等協定どおりに支払った場合に提出し
て下さい。
２　休業又は教育訓練を実施した事業所（以下「休業・教育訓練実施事業所」という。）ごとに提出して下さい。
３　令和２年１月24日から令和２年５月31日までに判定基礎期間の初日がある休業等については、提出不要となった計画届の提出の有無にかかわらず、令和２年８月31日まで申請
ができるものとし、令和２年６月１日以降に、判定基礎期間の初日がある休業等については、判定基礎期間の末日の翌日から、２か月以内に（ただし、天災その他その期間内に申
請しなかったことについてやむを得ない理由があるときは、当該理由のやんだ後１か月が経過する日までにその理由を記入した書面を添えて）提出して下さい。
４　代理人が申請する場合にあっては、委任状（写）を添付して下さい。
</t>
    <phoneticPr fontId="2"/>
  </si>
  <si>
    <t xml:space="preserve">【受給にあたっての注意事項】
１　雇用調整助成金は、併給調整の対象となる助成金等と同時に支給対象となりません。またそれ以外の助成金等についても、本支給申請の対象となる休業等について支給を受け
ている場合は支給対象とならない場合があります。
２　偽りその他不正の行為により本来受けることのできない助成金の支給を受け又は受けようとしたことが判明した場合には、不正行為により本来受けることのできない助成金を
受け又は受けようとした最初の判定基礎期間以降に支給したすべての助成金を返還していただくとともに、当該期間以降に受けようとした助成金については不支給とさせていただ
きます。
３　２によらず、助成金の支給すべき額を超えて助成金の支給を受けた場合には、その支給すべき額を超えて支払われた部分の額を返還していただきます。
４　労働基準法第２６条の規定に違反して支払った手当について助成金の支給を受けた場合には、助成金のうち当該違反して支払った手当に係る部分の額を返還していただきま
す。
５　助成金の受給に当たっては、リーフレット等に記載されているもののほか、各種要件がありますので、本支給申請前に都道府県労働局又は公共職業安定所に確認して下さい。
</t>
    <phoneticPr fontId="2"/>
  </si>
  <si>
    <t>様式新特第８号助成額算定書（新型コロナウイルス感染症関係）</t>
  </si>
  <si>
    <t>雇用調整助成金助成額算定書</t>
  </si>
  <si>
    <t>（事業所名）</t>
  </si>
  <si>
    <t>（事業所番号）</t>
  </si>
  <si>
    <t>（１） 賃金総額
利用した書類を記入してください。</t>
  </si>
  <si>
    <t>,000</t>
  </si>
  <si>
    <t>(</t>
  </si>
  <si>
    <t>a.労働保険料確定保険料申告書</t>
  </si>
  <si>
    <t>（２）</t>
    <phoneticPr fontId="2"/>
  </si>
  <si>
    <t>前年度１年間の１箇月平均の</t>
  </si>
  <si>
    <t>雇用保険被保険者数</t>
  </si>
  <si>
    <t>（３）</t>
    <phoneticPr fontId="2"/>
  </si>
  <si>
    <t>年間の</t>
  </si>
  <si>
    <t>　　　　　　　所定労働日数</t>
    <phoneticPr fontId="2"/>
  </si>
  <si>
    <t>（４） 平均賃金額
　　　［(1)/ （(2)×(3)）］</t>
  </si>
  <si>
    <t>休 業</t>
  </si>
  <si>
    <t>教 育 訓 練</t>
  </si>
  <si>
    <t>全日</t>
  </si>
  <si>
    <t>短時間</t>
  </si>
  <si>
    <r>
      <rPr>
        <sz val="14"/>
        <color theme="1"/>
        <rFont val="MS Gothic"/>
        <family val="3"/>
        <charset val="128"/>
      </rPr>
      <t>（５） 休業手当等の支払い率</t>
    </r>
    <r>
      <rPr>
        <sz val="16"/>
        <color theme="1"/>
        <rFont val="MS Gothic"/>
        <family val="3"/>
      </rPr>
      <t xml:space="preserve">
　　</t>
    </r>
    <r>
      <rPr>
        <sz val="12"/>
        <color theme="1"/>
        <rFont val="ＭＳ Ｐゴシック"/>
        <family val="3"/>
        <charset val="128"/>
      </rPr>
      <t>※</t>
    </r>
    <r>
      <rPr>
        <sz val="12"/>
        <color theme="1"/>
        <rFont val="Arial"/>
        <family val="2"/>
      </rPr>
      <t xml:space="preserve"> </t>
    </r>
    <r>
      <rPr>
        <sz val="12"/>
        <color theme="1"/>
        <rFont val="ＭＳ Ｐゴシック"/>
        <family val="3"/>
        <charset val="128"/>
      </rPr>
      <t>就業規則、</t>
    </r>
    <r>
      <rPr>
        <sz val="12"/>
        <color theme="1"/>
        <rFont val="Arial"/>
        <family val="2"/>
      </rPr>
      <t xml:space="preserve"> </t>
    </r>
    <r>
      <rPr>
        <sz val="12"/>
        <color theme="1"/>
        <rFont val="ＭＳ Ｐゴシック"/>
        <family val="3"/>
        <charset val="128"/>
      </rPr>
      <t>休業等協定によって定められた、
休業手当の支払率又は教育訓練中の賃金の支払い率</t>
    </r>
  </si>
  <si>
    <t>％</t>
  </si>
  <si>
    <t>（６） 基準賃金額
　　　［(4)×(5)］</t>
    <phoneticPr fontId="2"/>
  </si>
  <si>
    <t>（７） １人日当たり助成額単価</t>
  </si>
  <si>
    <t>［(6)×助成率（</t>
    <phoneticPr fontId="2"/>
  </si>
  <si>
    <t xml:space="preserve">)］    </t>
    <phoneticPr fontId="2"/>
  </si>
  <si>
    <t>※15,000円を超える時は15,000円</t>
  </si>
  <si>
    <t>（８） 月間休業等延日数</t>
  </si>
  <si>
    <r>
      <t xml:space="preserve">① </t>
    </r>
    <r>
      <rPr>
        <sz val="10"/>
        <color theme="1"/>
        <rFont val="Arial"/>
        <family val="2"/>
      </rPr>
      <t>（９号⑧から転記）</t>
    </r>
  </si>
  <si>
    <r>
      <t>②</t>
    </r>
    <r>
      <rPr>
        <sz val="10"/>
        <color theme="1"/>
        <rFont val="Arial"/>
        <family val="2"/>
      </rPr>
      <t xml:space="preserve"> （９号⑫から転記）</t>
    </r>
  </si>
  <si>
    <r>
      <t>③</t>
    </r>
    <r>
      <rPr>
        <sz val="10"/>
        <color theme="1"/>
        <rFont val="Arial"/>
        <family val="2"/>
      </rPr>
      <t>（９号⑩から転記）</t>
    </r>
  </si>
  <si>
    <t>※様式新特第９号の⑧、⑫及び⑩欄から転記。</t>
  </si>
  <si>
    <t>（９） 教育訓練に係る加算額</t>
  </si>
  <si>
    <t>［(8)× 加算額（</t>
  </si>
  <si>
    <t>）］</t>
    <phoneticPr fontId="2"/>
  </si>
  <si>
    <r>
      <t>（10） 支給を受けようとする助成額</t>
    </r>
    <r>
      <rPr>
        <sz val="16"/>
        <color theme="1"/>
        <rFont val="MS Gothic"/>
        <family val="3"/>
      </rPr>
      <t xml:space="preserve">
　　 </t>
    </r>
    <r>
      <rPr>
        <sz val="12"/>
        <color theme="1"/>
        <rFont val="ＭＳ Ｐゴシック"/>
        <family val="3"/>
        <charset val="128"/>
      </rPr>
      <t>［休業の場合</t>
    </r>
    <r>
      <rPr>
        <sz val="12"/>
        <color theme="1"/>
        <rFont val="Arial"/>
        <family val="2"/>
      </rPr>
      <t>(7)×(8)</t>
    </r>
    <r>
      <rPr>
        <sz val="12"/>
        <color theme="1"/>
        <rFont val="ＭＳ Ｐゴシック"/>
        <family val="3"/>
        <charset val="128"/>
      </rPr>
      <t>］</t>
    </r>
    <r>
      <rPr>
        <sz val="12"/>
        <color theme="1"/>
        <rFont val="Arial"/>
        <family val="2"/>
      </rPr>
      <t xml:space="preserve"> 
</t>
    </r>
    <r>
      <rPr>
        <sz val="12"/>
        <color theme="1"/>
        <rFont val="ＭＳ Ｐゴシック"/>
        <family val="3"/>
        <charset val="128"/>
      </rPr>
      <t>　　　</t>
    </r>
    <r>
      <rPr>
        <sz val="12"/>
        <color theme="1"/>
        <rFont val="Arial"/>
        <family val="2"/>
      </rPr>
      <t xml:space="preserve"> </t>
    </r>
    <r>
      <rPr>
        <sz val="12"/>
        <color theme="1"/>
        <rFont val="ＭＳ Ｐゴシック"/>
        <family val="3"/>
        <charset val="128"/>
      </rPr>
      <t>　</t>
    </r>
    <r>
      <rPr>
        <sz val="12"/>
        <color theme="1"/>
        <rFont val="Arial"/>
        <family val="2"/>
      </rPr>
      <t xml:space="preserve"> </t>
    </r>
    <r>
      <rPr>
        <sz val="12"/>
        <color theme="1"/>
        <rFont val="ＭＳ Ｐゴシック"/>
        <family val="3"/>
        <charset val="128"/>
      </rPr>
      <t>［教育訓練の場合</t>
    </r>
    <r>
      <rPr>
        <sz val="12"/>
        <color theme="1"/>
        <rFont val="Arial"/>
        <family val="2"/>
      </rPr>
      <t>(7)×(8)</t>
    </r>
    <r>
      <rPr>
        <sz val="12"/>
        <color theme="1"/>
        <rFont val="ＭＳ Ｐゴシック"/>
        <family val="3"/>
        <charset val="128"/>
      </rPr>
      <t>＋</t>
    </r>
    <r>
      <rPr>
        <sz val="12"/>
        <color theme="1"/>
        <rFont val="Arial"/>
        <family val="2"/>
      </rPr>
      <t>(9)</t>
    </r>
    <r>
      <rPr>
        <sz val="12"/>
        <color theme="1"/>
        <rFont val="ＭＳ Ｐゴシック"/>
        <family val="3"/>
        <charset val="128"/>
      </rPr>
      <t>］</t>
    </r>
    <r>
      <rPr>
        <sz val="12"/>
        <color theme="1"/>
        <rFont val="Arial"/>
        <family val="2"/>
      </rPr>
      <t xml:space="preserve"> </t>
    </r>
    <phoneticPr fontId="2"/>
  </si>
  <si>
    <t>（11） (10)の小計</t>
  </si>
  <si>
    <t>④</t>
  </si>
  <si>
    <t>⑤</t>
  </si>
  <si>
    <t>（12） (11)の合計</t>
  </si>
  <si>
    <t>※ （１） 欄は千円未満の端数を切り捨てた値、 （２） 及び （３） 欄は小数点以下の端数を切り捨てた値、
   （４） 及び（６） ～ （８） 欄は小数点以下の端数を切り上げた値を記入して下さい。</t>
    <phoneticPr fontId="2"/>
  </si>
  <si>
    <t>労働局確認欄</t>
  </si>
  <si>
    <t>8,330単価</t>
  </si>
  <si>
    <t xml:space="preserve">            【記入要領】
             １　（１）欄には、労働保険料の申告の際に用いた「労働保険料確定保険料申告書(様式6号)」（以下「申告書」とす
             る。）の⑧保険料・一般拠出金算定基礎額のうちの雇用保険法適用者分の額（千円未満の端数切り捨て）を記入して
             下さい。この場合、（２）欄には、前年度１年間の各月末時点の雇用保険被保険者数の平均（小数点以下切り捨て）
             を記入して下さい。
             ２　また、「給与所得・退職所得等の所得税徴収高計算書」（以下「計算書」とする。）を利用する場合には、
            （１）欄には、計算書に記載された俸給給料等（01）欄の「支給額」を当該賃金総額として、同欄の「人員」を当該
             １か月平均被保険者数として（２）欄に記載して、算定することができる（納期特例（給与の支払を受ける者が常時
             10人未満であって事前に税務署へ源泉所得税の納期の特例の承認に関する申請書を提出している場合）の場合、当該
             計算書は半年に１回提出するものであることから、当該支給額及び人員をそれぞれ６で除した値を１か月分の賃金総
             額又は１か月平均被保険者数とする）。
             ３　申告書を活用して算定する場合、（３）欄には、部署や勤務形態毎に当該所定労働日数が異なる場合、その部署
             等に従事する年度末の労働者数等により加重平均をした全労働者の平均年間所定労働日数（小数点以下切り捨て）を
             記入して下さい。ただし、休業等協定による休業手当等を算定するために、賃金の日割り計算をする際に、所定労働
             日数によらず、所定労働日数より大きな任意の日数や暦日数を用いる場合は、３６５日と記入して下さい。
　             （例）　　　Ａ部署　従業員３０人……所定労働日数２５４日
　　　　　　　             Ｂ部署　従業員６５人……所定労働日数２６３日</t>
  </si>
  <si>
    <t>＝２６０日</t>
  </si>
  <si>
    <t>９５人</t>
    <phoneticPr fontId="2"/>
  </si>
  <si>
    <t xml:space="preserve">            また、年間所定労働日数は、休業等を実施する前の任意の１か月（所定労働日数が明らかに少ない月を除く）の所定
            労働日数に12を乗じた日数により算定することができるほか、次のａ～ｃのいずれかにより算定することができるこ
            ととする。
            なお、週休１日制や週休３日制等の場合については、これに準じて算定することができる。
            ａ　週休２日制（国民の祝日に関する法律（昭和23年法律第178号）第２条に規定する 祝日等（以下、「祝日等」と
            いう。）が労働日である場合）が大多数を占める場合は、年間261日
            ｂ　週休２日制（祝日等が休日である場合）が大多数を占める場合は、年間240日
            ｃ　雇用形態等により所定労働日数が異なる労働者を雇用している場合は、雇用形態ごとの所定労働日数（同じ雇用
            形態で複数の所定労働日数が定められている場合は最も人数が多い所定労働日数を当該雇用形態の所定労働日数とす
            る。）及び雇用形態ごとの人数の加重平均により求めることができる。
　　　　　　              例）正社員：週休２日（祝日勤務）10人
　　　　　　　 　　　　　             → 上記aにより261日が正社員の年間所定労働日数  
　　　　　　　　              パート：年間160日勤務　４人、年間180日勤務　６人
　　　　　　　　 　 　　　            → 最も人数の多い年間180日がパートの年間所定労働日数
　　　　　　　　             〔261日×10人（正社員）＋180日×10人（パート）〕÷20人（全員）
　　　　　　　　              ＝220.5（切り捨て）
                              よって、年間所定労働日数は220日とすることができる。
</t>
    <phoneticPr fontId="2"/>
  </si>
  <si>
    <t xml:space="preserve">            ４　計算書を活用して算定する場合、（３）欄には、月間所定労働日数は、休業前の任意の1か月における対象労働者
            数及び所定労働日数の加重平均により算定することができる。ただし、休業等協定による休業手当等を算定するため
            に、賃金の日割り計算をする際に、所定労働日数によらず、所定労働日数より大きな任意の日数や暦日数を用いる場
            合は、３０日と記入して下さい。
            また、次のａ～ｃのいずれかにより算定できることとする。
            なお、週休１日制や週休３日制等の場合については、これに準じて算定することができる。
            ａ 週休２日制（祝日等が労働日である場合）が大多数を占める場合は、月22日
            ｂ 週休２日制（祝日等が休日である場合）が大多数を占める場合は、月20日
            ｃ 雇用形態等により所定労働日数が異なる労働者を雇用している場合は、雇用形態ごとの所定労働日数（同じ雇用
            形態で複数の所定労働日数が定められている場合は最も人数が多い所定労働日数を当該雇用形態の所定労働日数とす
            る。）及び雇用形態ごとの人数の加重平均により求めることができる。
　　　　　　　            例１）正社員：週休２日（祝日勤務）20人
　　　　　　　 　　　　　　             → 上記aにより22日が正社員の月間所定労働日数
　　　　　　　　 　             パート：月15日勤務　４人、月16日勤務　10人、月17日勤務　６人
　　　　　　　　　 　　　　             → 最も人数の多い月16日がパートの月間所定労働日数
　　　　　　　　 　            〔22日×20人（正社員）＋16日×20人（パート）〕÷40人（全員）
　　　　　　　　　　            ＝19
　                              よって、月間所定労働日数は19日とすることができる。
　　　　　　　            例２）正社員：週休２日（祝日勤務）10人
　　　　　　　 　　　　　　　           → 上記aにより22日が正社員の月間所定労働日数
　　　　　　　　 　             パート：週３日勤務　６人、週４日勤務　４人
　　　　　　　　　 　　　　　           → 最も人数の多い週３日（月13日）がパートの月間所定労働日数
　　　　　　　　　　　　　　　　          （週３日×52週÷12月＝13　（月13日））
　　　　　　　　 　　          〔22日×10人（正社員）＋13日×10人（パート）〕÷20人（全員）
　　　　　　　　　　            ＝17.5（切り捨て） 
　　                            よって、月間所定労働日数は17日とすることができる。</t>
    <phoneticPr fontId="2"/>
  </si>
  <si>
    <t xml:space="preserve">            ５　（４）欄には、（１）／（（２）×（３））の値（小数点以下切り上げ）を記入して下さい。
            ６　（５）欄にはそれぞれ、就業規則又は休業等協定によって定められた、通常の賃金額に対する休業手当又は教育
            訓練中の賃金の額の割合（支払い率）を記入して下さい。なおこれらの定めのない場合、実際の支払い率は100％とす
            る必要があります。
            ７　（６）欄にはそれぞれ、(４）×（５）の値（小数点以下切り上げ）を記入して下さい。</t>
    <phoneticPr fontId="2"/>
  </si>
  <si>
    <t xml:space="preserve">            ８　（７）欄にはそれぞれ、表側タイトル欄中の助成率のうち該当するもの（※）を選んだ上で、（６）×当該助成
            率の値（小数点以下切り上げ）を記入して下さい。ただしその値が15,000円を超える時は、15,000円を記入して下さ
            い。
　　            （※　大企業：２／３、　　　　　　　　　　　　　　中小企業：４／５
                      大企業（雇用維持を行っている場合）：３／４、中小企業（雇用維持を行っている場合）：10／10）
            ９　（８）①～③欄にはそれぞれ、様式新特第９号の⑧、⑫、⑩欄の数値を転記して下さい。</t>
    <phoneticPr fontId="2"/>
  </si>
  <si>
    <t xml:space="preserve">            10　（９）欄には、雇用調整助成金を受給される事業主の方が教育訓練を行った場合において、それぞれ、（８）×
            1,800円（中小企業の場合は2,400円）の値を記入して下さい。
            11　（10）のうち休業に係る左側の２つの欄にはそれぞれ（７）×（８）の値を、また教育訓練に係る右側の欄には
            それぞれ（７）×（８）＋（９）の値を記入して下さい。（11）のうち休業に係る左側の欄には（10）欄のうち休業
            に係るものの小計（全日＋短時間）を、また教育訓練に係る右側の欄には（10）欄の教育訓練に係る額を記入して下
            さい。
            12　（12）欄には（11）欄の休業に係る額と教育訓練に係る額の合計を記入して下さい。この額が支給を受けようと
            する助成金額になります。
            13　支給額は最終的に労働局において雇用保険データを基に算出された額によって決定され、本様式で算出された金
            額と異なる場合がありますのでご了承下さい。
</t>
    <phoneticPr fontId="2"/>
  </si>
  <si>
    <t xml:space="preserve">            14　本様式による申請が２回目以降であり、内容に変更がない場合は、（１）～（４）欄は省略して差し支えありま
            せん。
            15　本様式については、支給審査を妨げないものであって、かつ、所定の事項が記載されていれば、任意の様式を用
            いたり、（２）～（３）欄の算定内容のみを別紙としても差し支えありません。</t>
    <phoneticPr fontId="2"/>
  </si>
  <si>
    <t>10/10</t>
    <phoneticPr fontId="2"/>
  </si>
  <si>
    <t>2/3</t>
    <phoneticPr fontId="2"/>
  </si>
  <si>
    <t>3/4</t>
    <phoneticPr fontId="2"/>
  </si>
  <si>
    <t>4/5</t>
    <phoneticPr fontId="2"/>
  </si>
  <si>
    <t>様式新特第９号 休業・教育訓練実績一覧表（新型コロナウイルス関連）（R2.6）</t>
    <rPh sb="2" eb="3">
      <t>シン</t>
    </rPh>
    <rPh sb="3" eb="5">
      <t>トクダイ</t>
    </rPh>
    <rPh sb="8" eb="10">
      <t>キュウギョウ</t>
    </rPh>
    <rPh sb="11" eb="13">
      <t>キョウイク</t>
    </rPh>
    <rPh sb="13" eb="15">
      <t>クンレン</t>
    </rPh>
    <rPh sb="15" eb="17">
      <t>ジッセキ</t>
    </rPh>
    <rPh sb="17" eb="19">
      <t>イチラン</t>
    </rPh>
    <rPh sb="19" eb="20">
      <t>ピョウ</t>
    </rPh>
    <rPh sb="21" eb="23">
      <t>シンガタ</t>
    </rPh>
    <rPh sb="30" eb="32">
      <t>カンレン</t>
    </rPh>
    <phoneticPr fontId="3"/>
  </si>
  <si>
    <t>[</t>
    <phoneticPr fontId="3"/>
  </si>
  <si>
    <t>休業</t>
    <rPh sb="0" eb="2">
      <t>キュウギョウ</t>
    </rPh>
    <phoneticPr fontId="3"/>
  </si>
  <si>
    <t>］</t>
    <phoneticPr fontId="3"/>
  </si>
  <si>
    <t>実績一覧表</t>
    <rPh sb="0" eb="2">
      <t>ジッセキ</t>
    </rPh>
    <rPh sb="2" eb="4">
      <t>イチラン</t>
    </rPh>
    <rPh sb="4" eb="5">
      <t>ピョウ</t>
    </rPh>
    <phoneticPr fontId="3"/>
  </si>
  <si>
    <t>教育訓練</t>
    <rPh sb="0" eb="2">
      <t>キョウイク</t>
    </rPh>
    <rPh sb="2" eb="4">
      <t>クンレン</t>
    </rPh>
    <phoneticPr fontId="3"/>
  </si>
  <si>
    <t>判定基礎期間（休業等の初日～末日）</t>
    <rPh sb="0" eb="2">
      <t>ハンテイ</t>
    </rPh>
    <rPh sb="2" eb="4">
      <t>キソ</t>
    </rPh>
    <rPh sb="4" eb="6">
      <t>キカン</t>
    </rPh>
    <rPh sb="7" eb="9">
      <t>キュウギョウ</t>
    </rPh>
    <rPh sb="9" eb="10">
      <t>トウ</t>
    </rPh>
    <rPh sb="11" eb="13">
      <t>ショジツ</t>
    </rPh>
    <rPh sb="14" eb="16">
      <t>マツジツ</t>
    </rPh>
    <phoneticPr fontId="3"/>
  </si>
  <si>
    <t>令和</t>
    <rPh sb="0" eb="2">
      <t>レイワ</t>
    </rPh>
    <phoneticPr fontId="3"/>
  </si>
  <si>
    <t>年</t>
    <rPh sb="0" eb="1">
      <t>ネン</t>
    </rPh>
    <phoneticPr fontId="3"/>
  </si>
  <si>
    <t>月</t>
    <rPh sb="0" eb="1">
      <t>ツキ</t>
    </rPh>
    <phoneticPr fontId="3"/>
  </si>
  <si>
    <t>日</t>
    <rPh sb="0" eb="1">
      <t>ヒ</t>
    </rPh>
    <phoneticPr fontId="3"/>
  </si>
  <si>
    <t>～</t>
    <phoneticPr fontId="3"/>
  </si>
  <si>
    <t>休業・教育訓練対象者</t>
    <rPh sb="0" eb="2">
      <t>キュウギョウ</t>
    </rPh>
    <rPh sb="3" eb="5">
      <t>キョウイク</t>
    </rPh>
    <rPh sb="5" eb="7">
      <t>クンレン</t>
    </rPh>
    <rPh sb="7" eb="9">
      <t>タイショウ</t>
    </rPh>
    <rPh sb="9" eb="10">
      <t>シャ</t>
    </rPh>
    <phoneticPr fontId="3"/>
  </si>
  <si>
    <t>③
月間所定労働日数
（日）</t>
    <rPh sb="2" eb="4">
      <t>ゲッカン</t>
    </rPh>
    <rPh sb="4" eb="6">
      <t>ショテイ</t>
    </rPh>
    <rPh sb="6" eb="8">
      <t>ロウドウ</t>
    </rPh>
    <rPh sb="8" eb="10">
      <t>ニッスウ</t>
    </rPh>
    <rPh sb="13" eb="14">
      <t>ヒ</t>
    </rPh>
    <phoneticPr fontId="3"/>
  </si>
  <si>
    <t>④
全日休業
（日）</t>
    <rPh sb="2" eb="3">
      <t>ゼン</t>
    </rPh>
    <rPh sb="3" eb="4">
      <t>ニチ</t>
    </rPh>
    <rPh sb="4" eb="6">
      <t>キュウギョウ</t>
    </rPh>
    <rPh sb="10" eb="11">
      <t>ヒ</t>
    </rPh>
    <phoneticPr fontId="3"/>
  </si>
  <si>
    <t>⑤
短時間休業
(時間)</t>
    <rPh sb="2" eb="5">
      <t>タンジカン</t>
    </rPh>
    <rPh sb="5" eb="7">
      <t>キュウギョウ</t>
    </rPh>
    <rPh sb="11" eb="13">
      <t>ジカン</t>
    </rPh>
    <phoneticPr fontId="3"/>
  </si>
  <si>
    <t>⑥
教育訓練
(日)</t>
    <rPh sb="2" eb="4">
      <t>キョウイク</t>
    </rPh>
    <rPh sb="4" eb="6">
      <t>クンレン</t>
    </rPh>
    <rPh sb="10" eb="11">
      <t>ヒ</t>
    </rPh>
    <phoneticPr fontId="3"/>
  </si>
  <si>
    <t>①氏　名</t>
    <rPh sb="1" eb="2">
      <t>シ</t>
    </rPh>
    <rPh sb="3" eb="4">
      <t>メイ</t>
    </rPh>
    <phoneticPr fontId="3"/>
  </si>
  <si>
    <r>
      <t xml:space="preserve">②雇用保険
　被保険者番号
</t>
    </r>
    <r>
      <rPr>
        <sz val="11"/>
        <rFont val="ＭＳ Ｐ明朝"/>
        <family val="1"/>
        <charset val="128"/>
      </rPr>
      <t>(　　　4桁　　　　　　　-　　　　　　　　6桁　　　　　　　　　-　　　　　1桁)</t>
    </r>
    <rPh sb="1" eb="3">
      <t>コヨウ</t>
    </rPh>
    <rPh sb="3" eb="5">
      <t>ホケン</t>
    </rPh>
    <rPh sb="19" eb="20">
      <t>ケタ</t>
    </rPh>
    <rPh sb="37" eb="38">
      <t>ケタ</t>
    </rPh>
    <rPh sb="54" eb="55">
      <t>ケタ</t>
    </rPh>
    <phoneticPr fontId="3"/>
  </si>
  <si>
    <t>－</t>
    <phoneticPr fontId="3"/>
  </si>
  <si>
    <t>⑯技能実習生に教育訓練を行った場合、下記届出書を提出しているかご確認ください。</t>
    <rPh sb="1" eb="3">
      <t>ギノウ</t>
    </rPh>
    <rPh sb="3" eb="6">
      <t>ジッシュウセイ</t>
    </rPh>
    <rPh sb="7" eb="9">
      <t>キョウイク</t>
    </rPh>
    <rPh sb="9" eb="11">
      <t>クンレン</t>
    </rPh>
    <rPh sb="12" eb="13">
      <t>オコナ</t>
    </rPh>
    <rPh sb="15" eb="17">
      <t>バアイ</t>
    </rPh>
    <rPh sb="18" eb="20">
      <t>カキ</t>
    </rPh>
    <rPh sb="20" eb="23">
      <t>トドケデショ</t>
    </rPh>
    <rPh sb="24" eb="26">
      <t>テイシュツ</t>
    </rPh>
    <rPh sb="32" eb="34">
      <t>カクニン</t>
    </rPh>
    <phoneticPr fontId="3"/>
  </si>
  <si>
    <t>⑦</t>
    <phoneticPr fontId="3"/>
  </si>
  <si>
    <t>⑧</t>
    <phoneticPr fontId="3"/>
  </si>
  <si>
    <t>⑨</t>
    <phoneticPr fontId="3"/>
  </si>
  <si>
    <t>⑩</t>
    <phoneticPr fontId="3"/>
  </si>
  <si>
    <t>・外国人技能実習機構に「技能実習実施困難時届出書」を提出している。</t>
    <rPh sb="1" eb="4">
      <t>ガイコクジン</t>
    </rPh>
    <rPh sb="4" eb="6">
      <t>ギノウ</t>
    </rPh>
    <rPh sb="6" eb="8">
      <t>ジッシュウ</t>
    </rPh>
    <rPh sb="8" eb="10">
      <t>キコウ</t>
    </rPh>
    <rPh sb="12" eb="14">
      <t>ギノウ</t>
    </rPh>
    <rPh sb="14" eb="16">
      <t>ジッシュウ</t>
    </rPh>
    <rPh sb="16" eb="18">
      <t>ジッシ</t>
    </rPh>
    <rPh sb="18" eb="20">
      <t>コンナン</t>
    </rPh>
    <rPh sb="20" eb="21">
      <t>ジ</t>
    </rPh>
    <rPh sb="21" eb="24">
      <t>トドケデショ</t>
    </rPh>
    <rPh sb="26" eb="28">
      <t>テイシュツ</t>
    </rPh>
    <phoneticPr fontId="3"/>
  </si>
  <si>
    <t>③～⑥の小計</t>
    <rPh sb="4" eb="6">
      <t>ショウケイ</t>
    </rPh>
    <phoneticPr fontId="3"/>
  </si>
  <si>
    <t xml:space="preserve">○事業主及び協定をした労働者代表は、本表に記載した内容（③、⑦、⑪、⑫を除く）が労使協定に定めるところによったものであることを確認し、①の休業・教育訓練対象者については、解雇予告をされたこと、退職願を提出したこと、事業主による退職勧奨に応じたこと、併給調整の対象となる助成金を受給していること等により対象とならない者が含まれていないことを誓約します。
○また、事業主は、上記の実施状況の確認を公共職業安定所又は労働局が行う場合には協力し、上記について、偽り・誤り、労働基準法に違反する取り扱いがないことを誓約します。 </t>
    <rPh sb="18" eb="19">
      <t>ホン</t>
    </rPh>
    <rPh sb="19" eb="20">
      <t>ヒョウ</t>
    </rPh>
    <rPh sb="21" eb="23">
      <t>キサイ</t>
    </rPh>
    <rPh sb="25" eb="27">
      <t>ナイヨウ</t>
    </rPh>
    <phoneticPr fontId="3"/>
  </si>
  <si>
    <r>
      <t>合　計</t>
    </r>
    <r>
      <rPr>
        <b/>
        <sz val="9"/>
        <rFont val="ＭＳ Ｐゴシック"/>
        <family val="3"/>
        <charset val="128"/>
      </rPr>
      <t>※</t>
    </r>
    <rPh sb="0" eb="1">
      <t>ゴウ</t>
    </rPh>
    <rPh sb="2" eb="3">
      <t>ケイ</t>
    </rPh>
    <phoneticPr fontId="3"/>
  </si>
  <si>
    <r>
      <t>⑪代表的な１日の所定労働時間
（時間）</t>
    </r>
    <r>
      <rPr>
        <b/>
        <sz val="9"/>
        <rFont val="ＭＳ Ｐゴシック"/>
        <family val="3"/>
        <charset val="128"/>
      </rPr>
      <t>※</t>
    </r>
    <rPh sb="1" eb="4">
      <t>ダイヒョウテキ</t>
    </rPh>
    <rPh sb="6" eb="7">
      <t>ニチ</t>
    </rPh>
    <rPh sb="8" eb="10">
      <t>ショテイ</t>
    </rPh>
    <rPh sb="10" eb="12">
      <t>ロウドウ</t>
    </rPh>
    <rPh sb="12" eb="14">
      <t>ジカン</t>
    </rPh>
    <rPh sb="17" eb="19">
      <t>ジカン</t>
    </rPh>
    <phoneticPr fontId="3"/>
  </si>
  <si>
    <r>
      <t>⑫短時間
休業
（⑨の合計/⑪）
(日)</t>
    </r>
    <r>
      <rPr>
        <b/>
        <sz val="9"/>
        <rFont val="ＭＳ Ｐゴシック"/>
        <family val="3"/>
        <charset val="128"/>
      </rPr>
      <t>※</t>
    </r>
    <rPh sb="1" eb="4">
      <t>タンジカン</t>
    </rPh>
    <rPh sb="5" eb="6">
      <t>キュウ</t>
    </rPh>
    <rPh sb="6" eb="7">
      <t>ギョウ</t>
    </rPh>
    <rPh sb="11" eb="13">
      <t>ゴウケイ</t>
    </rPh>
    <rPh sb="18" eb="19">
      <t>ニチ</t>
    </rPh>
    <phoneticPr fontId="3"/>
  </si>
  <si>
    <t>月</t>
    <rPh sb="0" eb="1">
      <t>ガツ</t>
    </rPh>
    <phoneticPr fontId="3"/>
  </si>
  <si>
    <r>
      <t>日</t>
    </r>
    <r>
      <rPr>
        <b/>
        <sz val="9"/>
        <rFont val="ＭＳ 明朝"/>
        <family val="1"/>
        <charset val="128"/>
      </rPr>
      <t>※</t>
    </r>
    <rPh sb="0" eb="1">
      <t>ニチ</t>
    </rPh>
    <phoneticPr fontId="3"/>
  </si>
  <si>
    <r>
      <t xml:space="preserve">⑬ 休業・教育訓練対象者数（人） </t>
    </r>
    <r>
      <rPr>
        <b/>
        <sz val="10"/>
        <rFont val="ＭＳ Ｐゴシック"/>
        <family val="3"/>
        <charset val="128"/>
      </rPr>
      <t>※</t>
    </r>
    <rPh sb="2" eb="4">
      <t>キュウギョウ</t>
    </rPh>
    <rPh sb="5" eb="7">
      <t>キョウイク</t>
    </rPh>
    <rPh sb="7" eb="9">
      <t>クンレン</t>
    </rPh>
    <rPh sb="9" eb="11">
      <t>タイショウ</t>
    </rPh>
    <rPh sb="11" eb="12">
      <t>シャ</t>
    </rPh>
    <rPh sb="12" eb="13">
      <t>スウ</t>
    </rPh>
    <rPh sb="14" eb="15">
      <t>ニン</t>
    </rPh>
    <phoneticPr fontId="3"/>
  </si>
  <si>
    <t>事業主</t>
    <rPh sb="0" eb="3">
      <t>ジギョウヌシ</t>
    </rPh>
    <phoneticPr fontId="3"/>
  </si>
  <si>
    <t>（事業所番号　　　　　　　　　　　　　　　　　</t>
    <rPh sb="1" eb="4">
      <t>ジギョウショ</t>
    </rPh>
    <rPh sb="4" eb="6">
      <t>バンゴウ</t>
    </rPh>
    <phoneticPr fontId="3"/>
  </si>
  <si>
    <t>-</t>
    <phoneticPr fontId="3"/>
  </si>
  <si>
    <t>)</t>
    <phoneticPr fontId="3"/>
  </si>
  <si>
    <r>
      <t xml:space="preserve">⑭ 休業対象者（人） </t>
    </r>
    <r>
      <rPr>
        <b/>
        <sz val="10"/>
        <rFont val="ＭＳ Ｐゴシック"/>
        <family val="3"/>
        <charset val="128"/>
      </rPr>
      <t>※</t>
    </r>
    <rPh sb="2" eb="4">
      <t>キュウギョウ</t>
    </rPh>
    <rPh sb="4" eb="7">
      <t>タイショウシャ</t>
    </rPh>
    <rPh sb="8" eb="9">
      <t>ニン</t>
    </rPh>
    <phoneticPr fontId="3"/>
  </si>
  <si>
    <t>㊞</t>
    <phoneticPr fontId="3"/>
  </si>
  <si>
    <r>
      <t xml:space="preserve">⑮ 教育訓練対象者数（人） </t>
    </r>
    <r>
      <rPr>
        <b/>
        <sz val="10"/>
        <rFont val="ＭＳ Ｐゴシック"/>
        <family val="3"/>
        <charset val="128"/>
      </rPr>
      <t>※</t>
    </r>
    <rPh sb="2" eb="4">
      <t>キョウイク</t>
    </rPh>
    <rPh sb="4" eb="6">
      <t>クンレン</t>
    </rPh>
    <rPh sb="6" eb="9">
      <t>タイショウシャ</t>
    </rPh>
    <rPh sb="9" eb="10">
      <t>スウ</t>
    </rPh>
    <rPh sb="11" eb="12">
      <t>ニン</t>
    </rPh>
    <phoneticPr fontId="3"/>
  </si>
  <si>
    <r>
      <t xml:space="preserve">協定をした労働者代表 </t>
    </r>
    <r>
      <rPr>
        <b/>
        <sz val="11"/>
        <rFont val="ＭＳ Ｐゴシック"/>
        <family val="3"/>
        <charset val="128"/>
      </rPr>
      <t>※</t>
    </r>
    <rPh sb="0" eb="2">
      <t>キョウテイ</t>
    </rPh>
    <rPh sb="5" eb="8">
      <t>ロウドウシャ</t>
    </rPh>
    <rPh sb="8" eb="10">
      <t>ダイヒョウ</t>
    </rPh>
    <phoneticPr fontId="3"/>
  </si>
  <si>
    <t>（注）複数枚にわたる場合、※欄は最終ページのみに記入。</t>
    <rPh sb="1" eb="2">
      <t>チュウ</t>
    </rPh>
    <rPh sb="3" eb="5">
      <t>フクスウ</t>
    </rPh>
    <rPh sb="5" eb="6">
      <t>マイ</t>
    </rPh>
    <rPh sb="10" eb="12">
      <t>バアイ</t>
    </rPh>
    <rPh sb="14" eb="15">
      <t>ラン</t>
    </rPh>
    <rPh sb="16" eb="18">
      <t>サイシュウ</t>
    </rPh>
    <rPh sb="24" eb="26">
      <t>キニュウ</t>
    </rPh>
    <phoneticPr fontId="3"/>
  </si>
  <si>
    <t>(氏名）</t>
    <rPh sb="1" eb="3">
      <t>シメイ</t>
    </rPh>
    <phoneticPr fontId="3"/>
  </si>
  <si>
    <t>枚目／</t>
    <rPh sb="0" eb="2">
      <t>マイメ</t>
    </rPh>
    <phoneticPr fontId="3"/>
  </si>
  <si>
    <t>枚中</t>
    <rPh sb="0" eb="1">
      <t>マイ</t>
    </rPh>
    <rPh sb="1" eb="2">
      <t>チュウ</t>
    </rPh>
    <phoneticPr fontId="3"/>
  </si>
  <si>
    <t>【記入要領】</t>
    <phoneticPr fontId="3"/>
  </si>
  <si>
    <t>　本様式は、休業、教育訓練を行う場合の支給申請時に用います。
　タイトルの「休業」又は「教育訓練」のうち該当するものの□にチェックして下さい。
　　</t>
    <rPh sb="9" eb="11">
      <t>キョウイク</t>
    </rPh>
    <rPh sb="11" eb="13">
      <t>クンレン</t>
    </rPh>
    <phoneticPr fontId="3"/>
  </si>
  <si>
    <t>　③欄～⑥欄には、次によってカウントした数値を記入して下さい。
③欄には判定基礎期間中の各対象者ごとの所定労働日数（判定基礎期間の日数-判定基礎期間中の所定休日数に相当）の合計
④欄には丸１日休業した日数の合計
⑤欄には日ごとの短時間休業の時間（３０分未満は切り捨て。例：１時間40分→1.5）数の合計
⑥欄には全日を1.0日、半日を0.5日として算定した日数の合計</t>
    <rPh sb="33" eb="34">
      <t>ラン</t>
    </rPh>
    <rPh sb="36" eb="38">
      <t>ハンテイ</t>
    </rPh>
    <rPh sb="38" eb="40">
      <t>キソ</t>
    </rPh>
    <rPh sb="40" eb="43">
      <t>キカンチュウ</t>
    </rPh>
    <rPh sb="44" eb="45">
      <t>カク</t>
    </rPh>
    <rPh sb="45" eb="48">
      <t>タイショウシャ</t>
    </rPh>
    <rPh sb="51" eb="53">
      <t>ショテイ</t>
    </rPh>
    <rPh sb="53" eb="55">
      <t>ロウドウ</t>
    </rPh>
    <rPh sb="55" eb="57">
      <t>ニッスウ</t>
    </rPh>
    <rPh sb="58" eb="60">
      <t>ハンテイ</t>
    </rPh>
    <rPh sb="60" eb="62">
      <t>キソ</t>
    </rPh>
    <rPh sb="62" eb="64">
      <t>キカン</t>
    </rPh>
    <rPh sb="65" eb="67">
      <t>ニッスウ</t>
    </rPh>
    <rPh sb="68" eb="70">
      <t>ハンテイ</t>
    </rPh>
    <rPh sb="70" eb="72">
      <t>キソ</t>
    </rPh>
    <rPh sb="72" eb="74">
      <t>キカン</t>
    </rPh>
    <rPh sb="74" eb="75">
      <t>チュウ</t>
    </rPh>
    <rPh sb="76" eb="78">
      <t>ショテイ</t>
    </rPh>
    <rPh sb="78" eb="81">
      <t>キュウジツスウ</t>
    </rPh>
    <rPh sb="82" eb="84">
      <t>ソウトウ</t>
    </rPh>
    <rPh sb="86" eb="88">
      <t>ゴウケイ</t>
    </rPh>
    <rPh sb="93" eb="94">
      <t>マル</t>
    </rPh>
    <rPh sb="95" eb="96">
      <t>ニチ</t>
    </rPh>
    <rPh sb="96" eb="98">
      <t>キュウギョウ</t>
    </rPh>
    <rPh sb="100" eb="102">
      <t>ニッスウ</t>
    </rPh>
    <rPh sb="103" eb="105">
      <t>ゴウケイ</t>
    </rPh>
    <rPh sb="110" eb="111">
      <t>ヒ</t>
    </rPh>
    <rPh sb="125" eb="126">
      <t>フン</t>
    </rPh>
    <rPh sb="126" eb="128">
      <t>ミマン</t>
    </rPh>
    <rPh sb="129" eb="130">
      <t>キ</t>
    </rPh>
    <rPh sb="131" eb="132">
      <t>ス</t>
    </rPh>
    <rPh sb="134" eb="135">
      <t>レイ</t>
    </rPh>
    <rPh sb="137" eb="139">
      <t>ジカン</t>
    </rPh>
    <rPh sb="141" eb="142">
      <t>フン</t>
    </rPh>
    <rPh sb="162" eb="163">
      <t>ニチ</t>
    </rPh>
    <rPh sb="164" eb="166">
      <t>ハンニチ</t>
    </rPh>
    <rPh sb="170" eb="171">
      <t>ニチ</t>
    </rPh>
    <rPh sb="174" eb="176">
      <t>サンテイ</t>
    </rPh>
    <rPh sb="178" eb="179">
      <t>ヒ</t>
    </rPh>
    <rPh sb="179" eb="180">
      <t>カズ</t>
    </rPh>
    <rPh sb="181" eb="183">
      <t>ゴウケイ</t>
    </rPh>
    <phoneticPr fontId="3"/>
  </si>
  <si>
    <t>　本様式は、判定基礎期間（賃金締切日の翌日から次の賃金締切日までの期間）ごとに記入して下さい。また、タイトル直下の「判定基礎期間」の欄にその初日と末日を記入して下さい。</t>
    <phoneticPr fontId="3"/>
  </si>
  <si>
    <t>　⑦欄～⑩欄の上段には、同じページの③欄～⑥欄の数字の小計を記入し、下段は最終ページにおいて、全ページの上段の数字の合計（小数点以下切り上げ）を記入して下さい。</t>
    <phoneticPr fontId="3"/>
  </si>
  <si>
    <t>　①の対象者は、できれば賃金台帳や出勤簿等の順番で記入して下さい。</t>
    <phoneticPr fontId="3"/>
  </si>
  <si>
    <t>　対象者が多く複数枚にわたる場合は、①欄の左側の通番を適宜11,12・・・と修正するとともに、様式右下の｢　枚目／　枚中｣欄に記入して下さい。また、※を付した欄（事業主及び協定をした労働者代表の記名押印又は署名の欄、⑦欄～⑩欄の下段、及び⑪欄～⑮欄）の記入は最終ページのみで差し支えありません。</t>
    <rPh sb="49" eb="50">
      <t>ミギ</t>
    </rPh>
    <phoneticPr fontId="3"/>
  </si>
  <si>
    <t>　⑪欄には、就業規則等に規定されている１日の所定労働時間を記入して下さい。なお、それが月ごとに異なる場合は判定基礎期間に係る月（暦月と判定基礎期間が異なる場合は、判定基礎期間の初日が属する月）の所定労働時間を、また労働者ごとに異なる場合は最も適用される人数の多い所定労働時間を記入して下さい。</t>
    <phoneticPr fontId="3"/>
  </si>
  <si>
    <t>　⑫欄には、⑨欄の数値を⑪欄の数値で除した数値（小数点以下切り上げ）を記入して下さい。</t>
    <phoneticPr fontId="3"/>
  </si>
  <si>
    <t>　判定基礎期間内に、対象者に転出入、被保険者資格の喪失又は解雇の予告等があったときは、その旨及びその事実の生じた年月日を、①欄に氏名と併せて注記するとともに、当該対象者の③～⑥欄については、その事実の生じた日まで（転入の場合はその日の翌日から）の分についてのみ記入し、それ以降（転入の場合はそれ以前）の日の分は記入しないで下さい。</t>
    <rPh sb="153" eb="154">
      <t>ブン</t>
    </rPh>
    <rPh sb="155" eb="157">
      <t>キニュウ</t>
    </rPh>
    <phoneticPr fontId="3"/>
  </si>
  <si>
    <t>　⑬欄には、①欄に記入された対象者数の全ページ分の合計を記入して下さい。⑭欄はそのうち休業をした者、⑮欄は教育訓練をした者の数を記入して下さい（休業と教育訓練の両方を行った者は両方に計上します）。</t>
    <phoneticPr fontId="3"/>
  </si>
  <si>
    <t>　⑯欄は、教育訓練を実施した場合のみ、ご確認ください。対象者に技能実習生が含まれる場合は、外国人技能実習機構に「技能実習実施困難時届出書」を提出していることが必要です。</t>
    <rPh sb="5" eb="7">
      <t>キョウイク</t>
    </rPh>
    <rPh sb="7" eb="9">
      <t>クンレン</t>
    </rPh>
    <rPh sb="10" eb="12">
      <t>ジッシ</t>
    </rPh>
    <rPh sb="14" eb="16">
      <t>バアイ</t>
    </rPh>
    <rPh sb="20" eb="22">
      <t>カクニン</t>
    </rPh>
    <rPh sb="27" eb="30">
      <t>タイショウシャ</t>
    </rPh>
    <rPh sb="31" eb="33">
      <t>ギノウ</t>
    </rPh>
    <rPh sb="33" eb="36">
      <t>ジッシュウセイ</t>
    </rPh>
    <rPh sb="37" eb="38">
      <t>フク</t>
    </rPh>
    <rPh sb="41" eb="43">
      <t>バアイ</t>
    </rPh>
    <rPh sb="45" eb="54">
      <t>ガイコクジンギノウジッシュウキコウ</t>
    </rPh>
    <rPh sb="56" eb="68">
      <t>ギノウジッシュウジッシコンナンジトドケデショ</t>
    </rPh>
    <rPh sb="70" eb="72">
      <t>テイシュツ</t>
    </rPh>
    <rPh sb="79" eb="81">
      <t>ヒツヨウ</t>
    </rPh>
    <phoneticPr fontId="3"/>
  </si>
  <si>
    <r>
      <t>様式新特第４号（</t>
    </r>
    <r>
      <rPr>
        <sz val="12"/>
        <color rgb="FF000000"/>
        <rFont val="Century"/>
        <family val="1"/>
      </rPr>
      <t>R2.6</t>
    </r>
    <r>
      <rPr>
        <sz val="12"/>
        <color rgb="FF000000"/>
        <rFont val="ＭＳ 明朝"/>
        <family val="1"/>
        <charset val="128"/>
      </rPr>
      <t>）</t>
    </r>
    <rPh sb="6" eb="7">
      <t>ゴウ</t>
    </rPh>
    <phoneticPr fontId="89"/>
  </si>
  <si>
    <t xml:space="preserve">　　　　　　　 年　　月　　 日　　　　　　　                 　　　　　　　　　　                                   　　　　　                                                  </t>
    <rPh sb="8" eb="9">
      <t>ネン</t>
    </rPh>
    <rPh sb="11" eb="12">
      <t>ゲツ</t>
    </rPh>
    <rPh sb="15" eb="16">
      <t>ニチ</t>
    </rPh>
    <phoneticPr fontId="89"/>
  </si>
  <si>
    <t>事業主　  住　所　〒</t>
    <phoneticPr fontId="89"/>
  </si>
  <si>
    <t>　又は　  名　称</t>
    <phoneticPr fontId="89"/>
  </si>
  <si>
    <t>代理人　  氏　名</t>
    <phoneticPr fontId="89"/>
  </si>
  <si>
    <t xml:space="preserve">                 
  　　　　　　　　　　                                                                         </t>
    <phoneticPr fontId="89"/>
  </si>
  <si>
    <t>事業主又は        　　　</t>
    <rPh sb="3" eb="4">
      <t>マタ</t>
    </rPh>
    <phoneticPr fontId="89"/>
  </si>
  <si>
    <t>住　所</t>
    <phoneticPr fontId="89"/>
  </si>
  <si>
    <t>〒</t>
    <phoneticPr fontId="89"/>
  </si>
  <si>
    <t>労働局長　殿</t>
    <phoneticPr fontId="89"/>
  </si>
  <si>
    <t>(提出代行者・事務代理者)</t>
    <phoneticPr fontId="89"/>
  </si>
  <si>
    <t>名　称</t>
    <phoneticPr fontId="89"/>
  </si>
  <si>
    <t xml:space="preserve">(　　　　　 公共職業安定所長経由) </t>
    <phoneticPr fontId="89"/>
  </si>
  <si>
    <t xml:space="preserve">社会保険労務士  </t>
    <phoneticPr fontId="89"/>
  </si>
  <si>
    <t xml:space="preserve">氏　名　                                                       </t>
    <phoneticPr fontId="89"/>
  </si>
  <si>
    <t>ＢＡに対応する期間の指標</t>
    <phoneticPr fontId="89"/>
  </si>
  <si>
    <t xml:space="preserve">Ｃ </t>
    <phoneticPr fontId="89"/>
  </si>
  <si>
    <t>　　年　月　日から
　  年　月　日まで</t>
    <phoneticPr fontId="89"/>
  </si>
  <si>
    <t>　　年　　月　　日から
　  年　　月　　日まで</t>
    <phoneticPr fontId="89"/>
  </si>
  <si>
    <t xml:space="preserve">  月　間　売　上　高
  （　　　　　　　　）</t>
    <phoneticPr fontId="89"/>
  </si>
  <si>
    <t>○　生産量等の減に至った理由として次の事項が該当しますか。</t>
    <phoneticPr fontId="89"/>
  </si>
  <si>
    <r>
      <rPr>
        <sz val="16"/>
        <color rgb="FF000000"/>
        <rFont val="ＭＳ 明朝"/>
        <family val="1"/>
        <charset val="128"/>
      </rPr>
      <t xml:space="preserve"> </t>
    </r>
    <r>
      <rPr>
        <sz val="15"/>
        <color rgb="FF000000"/>
        <rFont val="ＭＳ 明朝"/>
        <family val="1"/>
        <charset val="128"/>
      </rPr>
      <t>１．例年繰り返される季節的変動によるものである。　　　　　　　　　 　　　　　（　はい ・ いいえ　）</t>
    </r>
    <r>
      <rPr>
        <sz val="11"/>
        <color rgb="FF000000"/>
        <rFont val="ＭＳ 明朝"/>
        <family val="1"/>
        <charset val="128"/>
      </rPr>
      <t xml:space="preserve">
      　</t>
    </r>
    <r>
      <rPr>
        <sz val="13"/>
        <color rgb="FF000000"/>
        <rFont val="ＭＳ 明朝"/>
        <family val="1"/>
        <charset val="128"/>
      </rPr>
      <t>（例）・夏物、冬物等季節的な商品を取り扱っている場合
             ・降雪地において冬期間事業活動の停止又は縮小を余儀なくされる場合
             ・例年、決算期末に生産量が増加し、その後減少することを繰り返す場合　など</t>
    </r>
    <phoneticPr fontId="89"/>
  </si>
  <si>
    <r>
      <rPr>
        <sz val="16"/>
        <color rgb="FF000000"/>
        <rFont val="ＭＳ 明朝"/>
        <family val="1"/>
        <charset val="128"/>
      </rPr>
      <t xml:space="preserve"> </t>
    </r>
    <r>
      <rPr>
        <sz val="15"/>
        <color rgb="FF000000"/>
        <rFont val="ＭＳ 明朝"/>
        <family val="1"/>
        <charset val="128"/>
      </rPr>
      <t>２．事故又は災害により施設又は設備が被害を受けたことによるものである。　　　 （　はい ・ いいえ　）</t>
    </r>
    <r>
      <rPr>
        <sz val="11"/>
        <color rgb="FF000000"/>
        <rFont val="ＭＳ 明朝"/>
        <family val="1"/>
        <charset val="128"/>
      </rPr>
      <t xml:space="preserve">
      </t>
    </r>
    <r>
      <rPr>
        <sz val="13"/>
        <color rgb="FF000000"/>
        <rFont val="ＭＳ 明朝"/>
        <family val="1"/>
        <charset val="128"/>
      </rPr>
      <t>（例）・機械、システム等の故障又は交通事故等の事故による場合
           ・火災、地震、洪水等の災害により建物、設備、システム等が被害を受けたことによる場合　など</t>
    </r>
    <r>
      <rPr>
        <sz val="14"/>
        <color rgb="FF000000"/>
        <rFont val="ＭＳ 明朝"/>
        <family val="1"/>
        <charset val="128"/>
      </rPr>
      <t xml:space="preserve">
</t>
    </r>
    <r>
      <rPr>
        <sz val="11"/>
        <color rgb="FF000000"/>
        <rFont val="ＭＳ 明朝"/>
        <family val="1"/>
        <charset val="128"/>
      </rPr>
      <t xml:space="preserve">
</t>
    </r>
    <phoneticPr fontId="89"/>
  </si>
  <si>
    <t xml:space="preserve"> ３．行政処分又は司法処分により事業活動の全部又は一部の停止を命じられたことによるものである。</t>
    <phoneticPr fontId="89"/>
  </si>
  <si>
    <t>　　　　　　　　　　　　　　　　　　　　　　　　                          （　はい ・ いいえ　）</t>
    <phoneticPr fontId="89"/>
  </si>
  <si>
    <r>
      <t xml:space="preserve">   </t>
    </r>
    <r>
      <rPr>
        <sz val="13"/>
        <color rgb="FF000000"/>
        <rFont val="ＭＳ 明朝"/>
        <family val="1"/>
        <charset val="128"/>
      </rPr>
      <t>（例）・営業規制、安全規則、競争規則等の法令違反（その疑いを含む）により行政当局から事業活動の全部又は一部</t>
    </r>
    <r>
      <rPr>
        <sz val="14"/>
        <color rgb="FF000000"/>
        <rFont val="ＭＳ 明朝"/>
        <family val="1"/>
        <charset val="128"/>
      </rPr>
      <t xml:space="preserve">
         </t>
    </r>
    <r>
      <rPr>
        <sz val="13"/>
        <color rgb="FF000000"/>
        <rFont val="ＭＳ 明朝"/>
        <family val="1"/>
        <charset val="128"/>
      </rPr>
      <t>の停止を命じられた場合
         ・不法占拠、特許侵害、名誉毀損等の不法行為（その疑いを含む）により司法当局から事業活動の全部又は一部
          の停止を命じられた場合　など</t>
    </r>
    <r>
      <rPr>
        <sz val="14"/>
        <color rgb="FF000000"/>
        <rFont val="ＭＳ 明朝"/>
        <family val="1"/>
        <charset val="128"/>
      </rPr>
      <t xml:space="preserve">
</t>
    </r>
    <phoneticPr fontId="89"/>
  </si>
  <si>
    <t xml:space="preserve">  ４．新型コロナウイルス感染症の影響による需要（受注量、客数等）の減少等によるものである。
                                                                         　　（　はい ・ いいえ　）</t>
    <phoneticPr fontId="89"/>
  </si>
  <si>
    <t>　　　 （例）・需要の減少又は集客の困難
             ・その他これらに準ずる経済事情の変化　など</t>
    <phoneticPr fontId="89"/>
  </si>
  <si>
    <r>
      <t>○</t>
    </r>
    <r>
      <rPr>
        <b/>
        <sz val="16"/>
        <color rgb="FF000000"/>
        <rFont val="ＭＳ 明朝"/>
        <family val="1"/>
        <charset val="128"/>
      </rPr>
      <t>事業内容の詳細及び新型コロナウイルス感染症の影響との関わりについて具体的に記述すること。</t>
    </r>
    <phoneticPr fontId="89"/>
  </si>
  <si>
    <t>（表面）</t>
    <phoneticPr fontId="89"/>
  </si>
  <si>
    <t>注　意</t>
    <phoneticPr fontId="89"/>
  </si>
  <si>
    <t xml:space="preserve">      １　この申出書は、新型コロナウイルス感染症の影響による需要（受注量、客数等）の減少等  </t>
    <phoneticPr fontId="89"/>
  </si>
  <si>
    <t xml:space="preserve">           により事業活動が縮小した事業所の事業主が、初回の休業等実施計画（変更）届又は出向実</t>
    <phoneticPr fontId="89"/>
  </si>
  <si>
    <t xml:space="preserve">           施計画（変更）届を提出するときに併せて提出してください。            </t>
    <phoneticPr fontId="89"/>
  </si>
  <si>
    <t xml:space="preserve">         ２　A欄及びB欄には、月間売上高又は生産量等を記入してください。ただし、売上高以外のと     </t>
    <phoneticPr fontId="89"/>
  </si>
  <si>
    <t xml:space="preserve">          きは、当該事業所の事業活動を示す指標（生産量・販売額等）を括弧内に記入し、それによ</t>
    <phoneticPr fontId="89"/>
  </si>
  <si>
    <t xml:space="preserve">          り算定した数値を記入してください。           </t>
    <phoneticPr fontId="89"/>
  </si>
  <si>
    <r>
      <t xml:space="preserve">         ３　A欄には、初回の判定基礎期間（複数の判定基礎期間がある場合にはいずれかの判定基礎期     
</t>
    </r>
    <r>
      <rPr>
        <u/>
        <sz val="11"/>
        <color rgb="FF000000"/>
        <rFont val="ＭＳ 明朝"/>
        <family val="1"/>
        <charset val="128"/>
      </rPr>
      <t/>
    </r>
    <phoneticPr fontId="89"/>
  </si>
  <si>
    <r>
      <t xml:space="preserve">            </t>
    </r>
    <r>
      <rPr>
        <u/>
        <sz val="14"/>
        <color rgb="FF000000"/>
        <rFont val="ＭＳ 明朝"/>
        <family val="1"/>
        <charset val="128"/>
      </rPr>
      <t>間）の初日が属する月（以下「判定月」という。）又は判定月の前月若しくは判定月の前々月</t>
    </r>
    <phoneticPr fontId="89"/>
  </si>
  <si>
    <r>
      <t xml:space="preserve">          </t>
    </r>
    <r>
      <rPr>
        <u/>
        <sz val="14"/>
        <color rgb="FF000000"/>
        <rFont val="ＭＳ 明朝"/>
        <family val="1"/>
        <charset val="128"/>
      </rPr>
      <t>のいずれかの月の数値を記入してください。</t>
    </r>
    <r>
      <rPr>
        <sz val="14"/>
        <color rgb="FF000000"/>
        <rFont val="ＭＳ 明朝"/>
        <family val="1"/>
        <charset val="128"/>
      </rPr>
      <t xml:space="preserve">  </t>
    </r>
    <phoneticPr fontId="89"/>
  </si>
  <si>
    <t xml:space="preserve">         ４　B欄はA欄の記入に係る期間の前年同期のものの数値を記入してください（A欄、B欄にお    </t>
    <phoneticPr fontId="89"/>
  </si>
  <si>
    <t xml:space="preserve">      いて、計算の結果に端数が生じる場合、小数点第１位を四捨五入して下さい。)。なお、B欄        </t>
    <phoneticPr fontId="89"/>
  </si>
  <si>
    <t xml:space="preserve">   　　　　については、次の（１）（２）いずれかによることが出来ます。      </t>
    <phoneticPr fontId="89"/>
  </si>
  <si>
    <t xml:space="preserve">   　　　（１）前々年同期１か月分（当該１か月の期間、雇用保険適用事業所であって労働者を雇    </t>
    <phoneticPr fontId="89"/>
  </si>
  <si>
    <t xml:space="preserve"> 　　　　　　用している場合に限る。）         </t>
    <phoneticPr fontId="89"/>
  </si>
  <si>
    <t xml:space="preserve">         （２）提出日の属する月の前々月から最近1年間において、比較月として用いることが適       </t>
    <phoneticPr fontId="89"/>
  </si>
  <si>
    <t xml:space="preserve">             切だと認める１か月（当該１か月の期間、雇用保険適用事業所であって労働者を雇用し         </t>
    <phoneticPr fontId="89"/>
  </si>
  <si>
    <t xml:space="preserve">             ている場合に限る。）        </t>
    <phoneticPr fontId="89"/>
  </si>
  <si>
    <t xml:space="preserve">         ５　C欄は、小数点以下が生じても端数処理を行わないで下さい。     </t>
    <phoneticPr fontId="89"/>
  </si>
  <si>
    <t xml:space="preserve">         ６　この様式の提出に当たっては、A欄からC欄の数値を証する書類（写）を添付し、その書類    </t>
    <phoneticPr fontId="89"/>
  </si>
  <si>
    <t xml:space="preserve">           名を添付書類欄に記載すること。    </t>
    <phoneticPr fontId="89"/>
  </si>
  <si>
    <t xml:space="preserve">         ７　記述欄には、新型コロナウイルス感染症に伴う需要の減少等の状況について、具体的   </t>
    <phoneticPr fontId="89"/>
  </si>
  <si>
    <t xml:space="preserve">           に、いつから影響を受けたのか、事業内容、取引先名、新型コロナウイルス感染症の影   </t>
    <phoneticPr fontId="89"/>
  </si>
  <si>
    <t xml:space="preserve">           響と事業の関係、その他必要な事項等を具体的に記載してください。   </t>
    <phoneticPr fontId="89"/>
  </si>
  <si>
    <t xml:space="preserve">         ８　※欄には、記入しないでください。     </t>
    <phoneticPr fontId="89"/>
  </si>
  <si>
    <t>　　　</t>
    <phoneticPr fontId="89"/>
  </si>
  <si>
    <t>必要書類一覧</t>
    <rPh sb="0" eb="2">
      <t>ヒツヨウ</t>
    </rPh>
    <rPh sb="2" eb="4">
      <t>ショルイ</t>
    </rPh>
    <rPh sb="4" eb="6">
      <t>イチラン</t>
    </rPh>
    <phoneticPr fontId="2"/>
  </si>
  <si>
    <t>様式新特第6号　支給要件確認申立書</t>
    <phoneticPr fontId="2"/>
  </si>
  <si>
    <t>様式新特第4号　雇用調整実施事業所の事業活動の状況に関する申出書</t>
    <rPh sb="0" eb="2">
      <t>ヨウシキ</t>
    </rPh>
    <rPh sb="2" eb="3">
      <t>シン</t>
    </rPh>
    <rPh sb="3" eb="4">
      <t>トク</t>
    </rPh>
    <rPh sb="4" eb="5">
      <t>ダイ</t>
    </rPh>
    <rPh sb="6" eb="7">
      <t>ゴウ</t>
    </rPh>
    <phoneticPr fontId="2"/>
  </si>
  <si>
    <t>様式特第9号　休業一覧表(新型コロナウイルス感染症関係)</t>
    <phoneticPr fontId="2"/>
  </si>
  <si>
    <t>様式新特第7号　雇用調整助成金(休業等)支給申請書</t>
    <phoneticPr fontId="2"/>
  </si>
  <si>
    <t>様式新特第8号　雇用調整助成金助成額算定書</t>
    <phoneticPr fontId="2"/>
  </si>
  <si>
    <t>休業協定書・教育訓練協定書（労働者代表選任書・委任状）</t>
    <rPh sb="0" eb="2">
      <t>キュウギョウ</t>
    </rPh>
    <rPh sb="2" eb="5">
      <t>キョウテイショ</t>
    </rPh>
    <rPh sb="6" eb="8">
      <t>キョウイク</t>
    </rPh>
    <rPh sb="8" eb="10">
      <t>クンレン</t>
    </rPh>
    <rPh sb="10" eb="13">
      <t>キョウテイショ</t>
    </rPh>
    <rPh sb="14" eb="17">
      <t>ロウドウシャ</t>
    </rPh>
    <rPh sb="17" eb="19">
      <t>ダイヒョウ</t>
    </rPh>
    <rPh sb="19" eb="21">
      <t>センニン</t>
    </rPh>
    <rPh sb="21" eb="22">
      <t>ショ</t>
    </rPh>
    <rPh sb="23" eb="26">
      <t>イニンジョウ</t>
    </rPh>
    <phoneticPr fontId="2"/>
  </si>
  <si>
    <t>教育訓練の計画内容が確認できる書類 （実施主体、対象者、科目、カリキュラム、期間など）</t>
    <phoneticPr fontId="2"/>
  </si>
  <si>
    <t>受講料の支払いを証明する書類</t>
    <rPh sb="0" eb="3">
      <t>ジュコウリョウ</t>
    </rPh>
    <rPh sb="4" eb="6">
      <t>シハラ</t>
    </rPh>
    <rPh sb="8" eb="10">
      <t>ショウメイ</t>
    </rPh>
    <rPh sb="12" eb="14">
      <t>ショルイ</t>
    </rPh>
    <phoneticPr fontId="2"/>
  </si>
  <si>
    <t>支給申請合意書（訓練実施者）（様式13号）</t>
    <rPh sb="0" eb="2">
      <t>シキュウ</t>
    </rPh>
    <rPh sb="2" eb="4">
      <t>シンセイ</t>
    </rPh>
    <rPh sb="4" eb="7">
      <t>ゴウイショ</t>
    </rPh>
    <rPh sb="8" eb="10">
      <t>クンレン</t>
    </rPh>
    <rPh sb="10" eb="12">
      <t>ジッシ</t>
    </rPh>
    <rPh sb="12" eb="13">
      <t>シャ</t>
    </rPh>
    <rPh sb="15" eb="17">
      <t>ヨウシキ</t>
    </rPh>
    <rPh sb="19" eb="20">
      <t>ゴウ</t>
    </rPh>
    <phoneticPr fontId="2"/>
  </si>
  <si>
    <t>株式会社システムシェアード</t>
    <phoneticPr fontId="154"/>
  </si>
  <si>
    <t>申 込 受 領 書</t>
    <rPh sb="0" eb="1">
      <t>シン</t>
    </rPh>
    <rPh sb="2" eb="3">
      <t>コ</t>
    </rPh>
    <rPh sb="4" eb="5">
      <t>ジュ</t>
    </rPh>
    <rPh sb="6" eb="7">
      <t>リョウ</t>
    </rPh>
    <rPh sb="8" eb="9">
      <t>ショ</t>
    </rPh>
    <phoneticPr fontId="154"/>
  </si>
  <si>
    <t>拝啓　貴社ますますご清栄のこととお喜び申し上げます。</t>
    <rPh sb="0" eb="2">
      <t>ハイケイ</t>
    </rPh>
    <rPh sb="3" eb="5">
      <t>キシャ</t>
    </rPh>
    <rPh sb="10" eb="12">
      <t>セイエイ</t>
    </rPh>
    <rPh sb="17" eb="18">
      <t>ヨロコ</t>
    </rPh>
    <rPh sb="19" eb="20">
      <t>モウ</t>
    </rPh>
    <rPh sb="21" eb="22">
      <t>ア</t>
    </rPh>
    <phoneticPr fontId="154"/>
  </si>
  <si>
    <t>下記の通り、お申し込みを受領いたしました。敬具</t>
    <rPh sb="0" eb="2">
      <t>カキ</t>
    </rPh>
    <rPh sb="3" eb="4">
      <t>トオ</t>
    </rPh>
    <rPh sb="7" eb="8">
      <t>モウ</t>
    </rPh>
    <rPh sb="9" eb="10">
      <t>コ</t>
    </rPh>
    <rPh sb="12" eb="14">
      <t>ジュリョウ</t>
    </rPh>
    <rPh sb="21" eb="23">
      <t>ケイグ</t>
    </rPh>
    <phoneticPr fontId="154"/>
  </si>
  <si>
    <t>今回ご請求額（消費税込）</t>
    <rPh sb="0" eb="2">
      <t>コンカイ</t>
    </rPh>
    <rPh sb="3" eb="5">
      <t>セイキュウ</t>
    </rPh>
    <rPh sb="5" eb="6">
      <t>ガク</t>
    </rPh>
    <rPh sb="7" eb="9">
      <t>ショウヒ</t>
    </rPh>
    <rPh sb="9" eb="11">
      <t>ゼイコミ</t>
    </rPh>
    <phoneticPr fontId="154"/>
  </si>
  <si>
    <t>請求内容</t>
    <rPh sb="0" eb="2">
      <t>セイキュウ</t>
    </rPh>
    <rPh sb="2" eb="4">
      <t>ナイヨウ</t>
    </rPh>
    <phoneticPr fontId="154"/>
  </si>
  <si>
    <t>単位数</t>
    <rPh sb="0" eb="3">
      <t>タンイスウ</t>
    </rPh>
    <phoneticPr fontId="154"/>
  </si>
  <si>
    <t>単価</t>
    <rPh sb="0" eb="2">
      <t>タンカ</t>
    </rPh>
    <phoneticPr fontId="154"/>
  </si>
  <si>
    <t>金額</t>
    <rPh sb="0" eb="2">
      <t>キンガク</t>
    </rPh>
    <phoneticPr fontId="154"/>
  </si>
  <si>
    <t>~</t>
    <phoneticPr fontId="2"/>
  </si>
  <si>
    <t>小計</t>
    <rPh sb="0" eb="2">
      <t>ショウケイ</t>
    </rPh>
    <phoneticPr fontId="154"/>
  </si>
  <si>
    <t>消費税</t>
    <rPh sb="0" eb="3">
      <t>ショウヒゼイ</t>
    </rPh>
    <phoneticPr fontId="154"/>
  </si>
  <si>
    <t>合計</t>
    <rPh sb="0" eb="2">
      <t>ゴウケイ</t>
    </rPh>
    <phoneticPr fontId="154"/>
  </si>
  <si>
    <t>※テキスト代を含む</t>
    <rPh sb="5" eb="6">
      <t>ダイ</t>
    </rPh>
    <rPh sb="7" eb="8">
      <t>フク</t>
    </rPh>
    <phoneticPr fontId="2"/>
  </si>
  <si>
    <t>お支払いに関する注意事項</t>
    <rPh sb="1" eb="3">
      <t>シハラ</t>
    </rPh>
    <rPh sb="5" eb="6">
      <t>カン</t>
    </rPh>
    <rPh sb="8" eb="10">
      <t>チュウイ</t>
    </rPh>
    <rPh sb="10" eb="12">
      <t>ジコウ</t>
    </rPh>
    <phoneticPr fontId="2"/>
  </si>
  <si>
    <t>▼</t>
    <phoneticPr fontId="2"/>
  </si>
  <si>
    <t>当社より教育訓練に必要な費用の請求書を発行いたします。</t>
    <rPh sb="0" eb="2">
      <t>トウシャ</t>
    </rPh>
    <rPh sb="4" eb="6">
      <t>キョウイク</t>
    </rPh>
    <rPh sb="6" eb="8">
      <t>クンレン</t>
    </rPh>
    <rPh sb="9" eb="11">
      <t>ヒツヨウ</t>
    </rPh>
    <rPh sb="12" eb="14">
      <t>ヒヨウ</t>
    </rPh>
    <rPh sb="15" eb="18">
      <t>セイキュウショ</t>
    </rPh>
    <rPh sb="19" eb="21">
      <t>ハッコウ</t>
    </rPh>
    <phoneticPr fontId="2"/>
  </si>
  <si>
    <t>期日までに、請求書に記載の金額を指定の口座までお支払いください。</t>
    <rPh sb="0" eb="2">
      <t>キジツ</t>
    </rPh>
    <rPh sb="6" eb="9">
      <t>セイキュウショ</t>
    </rPh>
    <rPh sb="10" eb="12">
      <t>キサイ</t>
    </rPh>
    <rPh sb="13" eb="15">
      <t>キンガク</t>
    </rPh>
    <rPh sb="16" eb="18">
      <t>シテイ</t>
    </rPh>
    <rPh sb="19" eb="21">
      <t>コウザ</t>
    </rPh>
    <rPh sb="24" eb="26">
      <t>シハラ</t>
    </rPh>
    <phoneticPr fontId="2"/>
  </si>
  <si>
    <t>なお、その際の支払手数料は、貴社負担にてお願い致します。</t>
    <rPh sb="14" eb="16">
      <t>キシャ</t>
    </rPh>
    <rPh sb="16" eb="18">
      <t>フタン</t>
    </rPh>
    <rPh sb="21" eb="22">
      <t>ネガイ</t>
    </rPh>
    <rPh sb="23" eb="24">
      <t>タ</t>
    </rPh>
    <phoneticPr fontId="2"/>
  </si>
  <si>
    <t>訓練開始日から起算して30日前以降、本教育訓練をキャンセルする場合、キャンセル料が発生いたします。</t>
    <rPh sb="0" eb="2">
      <t>クンレン</t>
    </rPh>
    <rPh sb="2" eb="4">
      <t>カイシ</t>
    </rPh>
    <rPh sb="4" eb="5">
      <t>ビ</t>
    </rPh>
    <rPh sb="7" eb="9">
      <t>キサン</t>
    </rPh>
    <rPh sb="13" eb="14">
      <t>ニチ</t>
    </rPh>
    <rPh sb="14" eb="15">
      <t>マエ</t>
    </rPh>
    <rPh sb="15" eb="17">
      <t>イコウ</t>
    </rPh>
    <rPh sb="18" eb="19">
      <t>ホン</t>
    </rPh>
    <rPh sb="19" eb="21">
      <t>キョウイク</t>
    </rPh>
    <rPh sb="21" eb="23">
      <t>クンレン</t>
    </rPh>
    <rPh sb="31" eb="33">
      <t>バアイ</t>
    </rPh>
    <rPh sb="39" eb="40">
      <t>リョウ</t>
    </rPh>
    <rPh sb="41" eb="43">
      <t>ハッセイ</t>
    </rPh>
    <phoneticPr fontId="2"/>
  </si>
  <si>
    <t>キャンセルポリシーは学習管理システム内、契約内容確認ページよりご確認ください。</t>
    <rPh sb="10" eb="12">
      <t>ガクシュウ</t>
    </rPh>
    <rPh sb="12" eb="14">
      <t>カンリ</t>
    </rPh>
    <rPh sb="18" eb="19">
      <t>ナイ</t>
    </rPh>
    <rPh sb="20" eb="22">
      <t>ケイヤク</t>
    </rPh>
    <rPh sb="22" eb="24">
      <t>ナイヨウ</t>
    </rPh>
    <rPh sb="24" eb="26">
      <t>カクニン</t>
    </rPh>
    <rPh sb="32" eb="34">
      <t>カクニン</t>
    </rPh>
    <phoneticPr fontId="2"/>
  </si>
  <si>
    <t>・教育訓練カリキュラム</t>
    <rPh sb="1" eb="3">
      <t>キョウイク</t>
    </rPh>
    <rPh sb="3" eb="5">
      <t>クンレン</t>
    </rPh>
    <phoneticPr fontId="2"/>
  </si>
  <si>
    <t>・申込受領書</t>
    <phoneticPr fontId="2"/>
  </si>
  <si>
    <t>・請求書</t>
    <rPh sb="1" eb="4">
      <t>セイキュウショ</t>
    </rPh>
    <phoneticPr fontId="2"/>
  </si>
  <si>
    <t>・領収書</t>
    <rPh sb="1" eb="4">
      <t>リョウシュウショ</t>
    </rPh>
    <phoneticPr fontId="2"/>
  </si>
  <si>
    <t>書類名</t>
    <rPh sb="0" eb="2">
      <t>ショルイ</t>
    </rPh>
    <rPh sb="2" eb="3">
      <t>メイ</t>
    </rPh>
    <phoneticPr fontId="2"/>
  </si>
  <si>
    <t>取得先</t>
    <rPh sb="0" eb="2">
      <t>シュトク</t>
    </rPh>
    <rPh sb="2" eb="3">
      <t>サキ</t>
    </rPh>
    <phoneticPr fontId="2"/>
  </si>
  <si>
    <t>LMS</t>
    <phoneticPr fontId="2"/>
  </si>
  <si>
    <t>郵送</t>
    <rPh sb="0" eb="2">
      <t>ユウソウ</t>
    </rPh>
    <phoneticPr fontId="2"/>
  </si>
  <si>
    <t>領収書システム
(メール)</t>
    <rPh sb="0" eb="3">
      <t>リョウシュウショ</t>
    </rPh>
    <phoneticPr fontId="2"/>
  </si>
  <si>
    <t>専用フォームにて
ご依頼</t>
    <rPh sb="0" eb="2">
      <t>センヨウ</t>
    </rPh>
    <rPh sb="10" eb="12">
      <t>イライ</t>
    </rPh>
    <phoneticPr fontId="2"/>
  </si>
  <si>
    <t>備考</t>
    <rPh sb="0" eb="2">
      <t>ビコウ</t>
    </rPh>
    <phoneticPr fontId="2"/>
  </si>
  <si>
    <t>日報</t>
    <rPh sb="0" eb="2">
      <t>ニッポウ</t>
    </rPh>
    <phoneticPr fontId="2"/>
  </si>
  <si>
    <t>・日報（日毎）</t>
    <rPh sb="1" eb="3">
      <t>ニッポウ</t>
    </rPh>
    <rPh sb="4" eb="6">
      <t>ヒゴト</t>
    </rPh>
    <phoneticPr fontId="2"/>
  </si>
  <si>
    <t>・日報（表紙）</t>
    <rPh sb="1" eb="3">
      <t>ニッポウ</t>
    </rPh>
    <rPh sb="4" eb="6">
      <t>ヒョウシ</t>
    </rPh>
    <phoneticPr fontId="2"/>
  </si>
  <si>
    <t>当社がご用意できる書類</t>
    <rPh sb="0" eb="2">
      <t>トウシャ</t>
    </rPh>
    <rPh sb="4" eb="6">
      <t>ヨウイ</t>
    </rPh>
    <rPh sb="9" eb="11">
      <t>ショルイ</t>
    </rPh>
    <phoneticPr fontId="2"/>
  </si>
  <si>
    <t>各社様がご用意する書類</t>
    <rPh sb="0" eb="2">
      <t>カクシャ</t>
    </rPh>
    <rPh sb="2" eb="3">
      <t>サマ</t>
    </rPh>
    <rPh sb="5" eb="7">
      <t>ヨウイ</t>
    </rPh>
    <rPh sb="9" eb="11">
      <t>ショルイ</t>
    </rPh>
    <phoneticPr fontId="2"/>
  </si>
  <si>
    <t>事業所の規模を確認する書類</t>
    <rPh sb="0" eb="3">
      <t>ジギョウショ</t>
    </rPh>
    <rPh sb="4" eb="6">
      <t>キボ</t>
    </rPh>
    <rPh sb="7" eb="9">
      <t>カクニン</t>
    </rPh>
    <rPh sb="11" eb="13">
      <t>ショルイ</t>
    </rPh>
    <phoneticPr fontId="2"/>
  </si>
  <si>
    <t>労働・休日の実績に関する書類</t>
    <rPh sb="0" eb="2">
      <t>ロウドウ</t>
    </rPh>
    <rPh sb="3" eb="5">
      <t>キュウジツ</t>
    </rPh>
    <rPh sb="6" eb="8">
      <t>ジッセキ</t>
    </rPh>
    <rPh sb="9" eb="10">
      <t>カン</t>
    </rPh>
    <rPh sb="12" eb="14">
      <t>ショルイ</t>
    </rPh>
    <phoneticPr fontId="2"/>
  </si>
  <si>
    <t>休業手当・賃金の実績に関する書類</t>
    <rPh sb="0" eb="2">
      <t>キュウギョウ</t>
    </rPh>
    <rPh sb="2" eb="4">
      <t>テアテ</t>
    </rPh>
    <rPh sb="5" eb="7">
      <t>チンギン</t>
    </rPh>
    <rPh sb="8" eb="10">
      <t>ジッセキ</t>
    </rPh>
    <rPh sb="11" eb="12">
      <t>カン</t>
    </rPh>
    <rPh sb="14" eb="16">
      <t>ショルイ</t>
    </rPh>
    <phoneticPr fontId="2"/>
  </si>
  <si>
    <t>・既存の労働者名簿及び役員名簿で可
　　※中小企業の人数要件を見たしている場合、資本額を示す書類は不要</t>
    <rPh sb="1" eb="3">
      <t>キソン</t>
    </rPh>
    <rPh sb="4" eb="6">
      <t>ロウドウ</t>
    </rPh>
    <rPh sb="6" eb="7">
      <t>シャ</t>
    </rPh>
    <rPh sb="7" eb="9">
      <t>メイボ</t>
    </rPh>
    <rPh sb="9" eb="10">
      <t>オヨ</t>
    </rPh>
    <rPh sb="11" eb="13">
      <t>ヤクイン</t>
    </rPh>
    <rPh sb="13" eb="15">
      <t>メイボ</t>
    </rPh>
    <rPh sb="16" eb="17">
      <t>カ</t>
    </rPh>
    <rPh sb="21" eb="23">
      <t>チュウショウ</t>
    </rPh>
    <rPh sb="23" eb="25">
      <t>キギョウ</t>
    </rPh>
    <rPh sb="26" eb="28">
      <t>ニンズウ</t>
    </rPh>
    <rPh sb="28" eb="30">
      <t>ヨウケン</t>
    </rPh>
    <rPh sb="31" eb="32">
      <t>ミ</t>
    </rPh>
    <rPh sb="37" eb="39">
      <t>バアイ</t>
    </rPh>
    <rPh sb="40" eb="42">
      <t>シホン</t>
    </rPh>
    <rPh sb="42" eb="43">
      <t>ガク</t>
    </rPh>
    <rPh sb="44" eb="45">
      <t>シメ</t>
    </rPh>
    <rPh sb="46" eb="48">
      <t>ショルイ</t>
    </rPh>
    <rPh sb="49" eb="51">
      <t>フヨウ</t>
    </rPh>
    <phoneticPr fontId="2"/>
  </si>
  <si>
    <t>・事業所ごとに定められている、所定労働日・所定休日・所定労働時間や、賃金締め切り日などの賃金制度の規定を確認できる「就業規則」「給与規定」「労働条件通知書」などの書類</t>
    <rPh sb="1" eb="4">
      <t>ジギョウショ</t>
    </rPh>
    <rPh sb="7" eb="8">
      <t>サダ</t>
    </rPh>
    <rPh sb="15" eb="17">
      <t>ショテイ</t>
    </rPh>
    <rPh sb="17" eb="19">
      <t>ロウドウ</t>
    </rPh>
    <rPh sb="19" eb="20">
      <t>ビ</t>
    </rPh>
    <rPh sb="21" eb="23">
      <t>ショテイ</t>
    </rPh>
    <rPh sb="23" eb="25">
      <t>キュウジツ</t>
    </rPh>
    <rPh sb="26" eb="28">
      <t>ショテイ</t>
    </rPh>
    <rPh sb="28" eb="30">
      <t>ロウドウ</t>
    </rPh>
    <rPh sb="30" eb="32">
      <t>ジカン</t>
    </rPh>
    <rPh sb="34" eb="36">
      <t>チンギン</t>
    </rPh>
    <rPh sb="36" eb="37">
      <t>シ</t>
    </rPh>
    <rPh sb="38" eb="39">
      <t>キ</t>
    </rPh>
    <rPh sb="40" eb="41">
      <t>ビ</t>
    </rPh>
    <rPh sb="44" eb="46">
      <t>チンギン</t>
    </rPh>
    <rPh sb="46" eb="48">
      <t>セイド</t>
    </rPh>
    <rPh sb="49" eb="51">
      <t>キテイ</t>
    </rPh>
    <rPh sb="52" eb="54">
      <t>カクニン</t>
    </rPh>
    <rPh sb="58" eb="60">
      <t>シュウギョウ</t>
    </rPh>
    <rPh sb="60" eb="62">
      <t>キソク</t>
    </rPh>
    <rPh sb="64" eb="66">
      <t>キュウヨ</t>
    </rPh>
    <rPh sb="66" eb="68">
      <t>キテイ</t>
    </rPh>
    <rPh sb="70" eb="72">
      <t>ロウドウ</t>
    </rPh>
    <rPh sb="72" eb="74">
      <t>ジョウケン</t>
    </rPh>
    <rPh sb="74" eb="77">
      <t>ツウチショ</t>
    </rPh>
    <rPh sb="81" eb="83">
      <t>ショルイ</t>
    </rPh>
    <phoneticPr fontId="2"/>
  </si>
  <si>
    <t>・「出勤簿」「タイムカードの写し」など
　　（手書きのシフト表などでも可）
　　（必要に応じ、就業規則または労働条件通知書の写しなど）</t>
    <rPh sb="2" eb="4">
      <t>シュッキン</t>
    </rPh>
    <rPh sb="4" eb="5">
      <t>ボ</t>
    </rPh>
    <rPh sb="14" eb="15">
      <t>ウツ</t>
    </rPh>
    <rPh sb="23" eb="25">
      <t>テガ</t>
    </rPh>
    <rPh sb="30" eb="31">
      <t>ヒョウ</t>
    </rPh>
    <rPh sb="35" eb="36">
      <t>カ</t>
    </rPh>
    <rPh sb="41" eb="43">
      <t>ヒツヨウ</t>
    </rPh>
    <rPh sb="44" eb="45">
      <t>オウ</t>
    </rPh>
    <rPh sb="47" eb="49">
      <t>シュウギョウ</t>
    </rPh>
    <rPh sb="49" eb="51">
      <t>キソク</t>
    </rPh>
    <rPh sb="54" eb="56">
      <t>ロウドウ</t>
    </rPh>
    <rPh sb="56" eb="58">
      <t>ジョウケン</t>
    </rPh>
    <rPh sb="58" eb="61">
      <t>ツウチショ</t>
    </rPh>
    <rPh sb="62" eb="63">
      <t>ウツ</t>
    </rPh>
    <phoneticPr fontId="2"/>
  </si>
  <si>
    <t>・「賃金台帳」の写しなど（給与明細の写しなどでも可）
　（必要に応じ、給与規定または労働条件通知書の写しなど）</t>
    <rPh sb="2" eb="4">
      <t>チンギン</t>
    </rPh>
    <rPh sb="4" eb="6">
      <t>ダイチョウ</t>
    </rPh>
    <rPh sb="8" eb="9">
      <t>ウツ</t>
    </rPh>
    <rPh sb="13" eb="15">
      <t>キュウヨ</t>
    </rPh>
    <rPh sb="15" eb="17">
      <t>メイサイ</t>
    </rPh>
    <rPh sb="18" eb="19">
      <t>ウツ</t>
    </rPh>
    <rPh sb="24" eb="25">
      <t>カ</t>
    </rPh>
    <rPh sb="29" eb="31">
      <t>ヒツヨウ</t>
    </rPh>
    <rPh sb="32" eb="33">
      <t>オウ</t>
    </rPh>
    <rPh sb="35" eb="37">
      <t>キュウヨ</t>
    </rPh>
    <rPh sb="37" eb="39">
      <t>キテイ</t>
    </rPh>
    <rPh sb="42" eb="44">
      <t>ロウドウ</t>
    </rPh>
    <rPh sb="44" eb="46">
      <t>ジョウケン</t>
    </rPh>
    <rPh sb="46" eb="49">
      <t>ツウチショ</t>
    </rPh>
    <rPh sb="50" eb="51">
      <t>ウツ</t>
    </rPh>
    <phoneticPr fontId="2"/>
  </si>
  <si>
    <t>助成金書類ダウンロード
ファイル名：カリキュラム.zip</t>
    <phoneticPr fontId="2"/>
  </si>
  <si>
    <t>助成金書類ダウンロード
ファイル名：【支給申請】雇調金_様式新特第4・6・7・8・9号.xlsx</t>
    <rPh sb="0" eb="3">
      <t>ジョセイキン</t>
    </rPh>
    <rPh sb="3" eb="5">
      <t>ショルイ</t>
    </rPh>
    <phoneticPr fontId="2"/>
  </si>
  <si>
    <t xml:space="preserve">研修管理→日報確認よりまとめてダウンロード
</t>
    <rPh sb="0" eb="2">
      <t>ケンシュウ</t>
    </rPh>
    <rPh sb="2" eb="4">
      <t>カンリ</t>
    </rPh>
    <rPh sb="5" eb="7">
      <t>ニッポウ</t>
    </rPh>
    <rPh sb="7" eb="9">
      <t>カクニン</t>
    </rPh>
    <phoneticPr fontId="2"/>
  </si>
  <si>
    <t>東京ITスクール
※2020.8時点</t>
    <rPh sb="0" eb="2">
      <t>トウキョウ</t>
    </rPh>
    <phoneticPr fontId="2"/>
  </si>
  <si>
    <t>助成金書類ダウンロード
本ファイル</t>
    <rPh sb="0" eb="3">
      <t>ジョセイキン</t>
    </rPh>
    <rPh sb="3" eb="5">
      <t>ショルイ</t>
    </rPh>
    <rPh sb="12" eb="13">
      <t>ホン</t>
    </rPh>
    <phoneticPr fontId="2"/>
  </si>
  <si>
    <t>（３０人×２５４日）＋（６５人×２６３日）</t>
    <phoneticPr fontId="2"/>
  </si>
  <si>
    <t xml:space="preserve"> 　　　　　　申請者が代理人の場合、上欄に代理人の記名押印等を、下欄に事業主の住所、名称及び
 　　　　　　氏名の記入（押印不要）を、申請者が社会保労務士法施行規則第16条第2項に規定する
 　　　　　　提出代行者又は同令第16条の3に規定する事務代理者の場合、上欄に事業主の記名押印
 　　　　　　等を、下欄に申請者の押印等をして下さい。</t>
    <phoneticPr fontId="89"/>
  </si>
  <si>
    <t>〒101-0021</t>
    <phoneticPr fontId="154"/>
  </si>
  <si>
    <t>東京都千代田区外神田一丁目18番13号</t>
    <phoneticPr fontId="154"/>
  </si>
  <si>
    <t>ダイビル13階</t>
    <phoneticPr fontId="2"/>
  </si>
  <si>
    <t>TEL：03-3526-2490 FAX：03-3526-2992</t>
    <phoneticPr fontId="154"/>
  </si>
</sst>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6" formatCode="&quot;¥&quot;#,##0;[Red]&quot;¥&quot;\-#,##0"/>
    <numFmt numFmtId="176" formatCode="&quot;$&quot;#,##0_);[Red]\(&quot;$&quot;#,##0\)"/>
    <numFmt numFmtId="177" formatCode="&quot;$&quot;#,##0.00_);[Red]\(&quot;$&quot;#,##0.00\)"/>
    <numFmt numFmtId="178" formatCode="yy\.mm\.dd"/>
    <numFmt numFmtId="179" formatCode="0_ "/>
    <numFmt numFmtId="180" formatCode="0_);[Red]\(0\)"/>
    <numFmt numFmtId="181" formatCode="0.0_);[Red]\(0.0\)"/>
    <numFmt numFmtId="182" formatCode="[$-411]ggge&quot;年&quot;m&quot;月&quot;d&quot;日&quot;;@"/>
    <numFmt numFmtId="183" formatCode="&quot;KY-S&quot;yyyymm&quot;N&quot;"/>
    <numFmt numFmtId="184" formatCode="&quot;新入社員Java研修　&quot;0&quot;月分&quot;"/>
    <numFmt numFmtId="185" formatCode="[$-F800]dddd\,\ mmmm\ dd\,\ yyyy"/>
    <numFmt numFmtId="186" formatCode="@&quot;　御中&quot;"/>
  </numFmts>
  <fonts count="171">
    <font>
      <sz val="11"/>
      <color theme="1"/>
      <name val="ＭＳ Ｐゴシック"/>
      <family val="2"/>
      <charset val="128"/>
      <scheme val="minor"/>
    </font>
    <font>
      <sz val="11"/>
      <color theme="1"/>
      <name val="ＭＳ Ｐゴシック"/>
      <family val="2"/>
      <charset val="128"/>
      <scheme val="minor"/>
    </font>
    <font>
      <sz val="6"/>
      <name val="ＭＳ Ｐゴシック"/>
      <family val="2"/>
      <charset val="128"/>
      <scheme val="minor"/>
    </font>
    <font>
      <sz val="6"/>
      <name val="ＭＳ Ｐゴシック"/>
      <family val="3"/>
      <charset val="128"/>
    </font>
    <font>
      <sz val="8"/>
      <color theme="1"/>
      <name val="ＭＳ 明朝"/>
      <family val="1"/>
      <charset val="128"/>
    </font>
    <font>
      <sz val="10"/>
      <color theme="1"/>
      <name val="ＭＳ ゴシック"/>
      <family val="3"/>
      <charset val="128"/>
    </font>
    <font>
      <sz val="11"/>
      <color theme="1"/>
      <name val="ＭＳ Ｐゴシック"/>
      <family val="3"/>
      <charset val="128"/>
      <scheme val="minor"/>
    </font>
    <font>
      <sz val="11"/>
      <name val="ＭＳ Ｐゴシック"/>
      <family val="3"/>
      <charset val="128"/>
    </font>
    <font>
      <sz val="10.5"/>
      <color theme="1"/>
      <name val="ＭＳ ゴシック"/>
      <family val="3"/>
      <charset val="128"/>
    </font>
    <font>
      <sz val="10.5"/>
      <color rgb="FF000000"/>
      <name val="ＭＳ ゴシック"/>
      <family val="3"/>
      <charset val="128"/>
    </font>
    <font>
      <sz val="8"/>
      <color theme="1"/>
      <name val="ＭＳ ゴシック"/>
      <family val="3"/>
      <charset val="128"/>
    </font>
    <font>
      <sz val="9"/>
      <color theme="1"/>
      <name val="ＭＳ ゴシック"/>
      <family val="3"/>
      <charset val="128"/>
    </font>
    <font>
      <u/>
      <sz val="10.5"/>
      <color rgb="FF000000"/>
      <name val="ＭＳ ゴシック"/>
      <family val="3"/>
      <charset val="128"/>
    </font>
    <font>
      <sz val="8"/>
      <color theme="1"/>
      <name val="ＭＳ Ｐゴシック"/>
      <family val="2"/>
      <charset val="128"/>
      <scheme val="minor"/>
    </font>
    <font>
      <sz val="11"/>
      <color theme="1"/>
      <name val="ＭＳ ゴシック"/>
      <family val="3"/>
      <charset val="128"/>
    </font>
    <font>
      <sz val="10.5"/>
      <color theme="1"/>
      <name val="ＭＳ Ｐゴシック"/>
      <family val="2"/>
      <charset val="128"/>
      <scheme val="minor"/>
    </font>
    <font>
      <sz val="8.5"/>
      <color theme="1"/>
      <name val="ＭＳ ゴシック"/>
      <family val="3"/>
      <charset val="128"/>
    </font>
    <font>
      <u/>
      <sz val="11"/>
      <color theme="10"/>
      <name val="ＭＳ Ｐゴシック"/>
      <family val="3"/>
      <charset val="128"/>
    </font>
    <font>
      <sz val="11"/>
      <color theme="1"/>
      <name val="ＭＳ Ｐゴシック"/>
      <family val="2"/>
      <scheme val="minor"/>
    </font>
    <font>
      <u/>
      <sz val="11"/>
      <color indexed="12"/>
      <name val="ＭＳ Ｐゴシック"/>
      <family val="3"/>
      <charset val="128"/>
    </font>
    <font>
      <sz val="10"/>
      <name val="ＭＳ ゴシック"/>
      <family val="3"/>
      <charset val="128"/>
    </font>
    <font>
      <sz val="8"/>
      <name val="ＭＳ ゴシック"/>
      <family val="3"/>
      <charset val="128"/>
    </font>
    <font>
      <b/>
      <sz val="11"/>
      <color indexed="9"/>
      <name val="ＭＳ Ｐゴシック"/>
      <family val="3"/>
      <charset val="128"/>
    </font>
    <font>
      <sz val="11"/>
      <color indexed="9"/>
      <name val="ＭＳ Ｐゴシック"/>
      <family val="3"/>
      <charset val="128"/>
    </font>
    <font>
      <sz val="11"/>
      <color indexed="8"/>
      <name val="ＭＳ Ｐゴシック"/>
      <family val="3"/>
      <charset val="128"/>
    </font>
    <font>
      <b/>
      <sz val="18"/>
      <color indexed="62"/>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62"/>
      <name val="ＭＳ Ｐゴシック"/>
      <family val="3"/>
      <charset val="128"/>
    </font>
    <font>
      <b/>
      <sz val="13"/>
      <color indexed="62"/>
      <name val="ＭＳ Ｐゴシック"/>
      <family val="3"/>
      <charset val="128"/>
    </font>
    <font>
      <b/>
      <sz val="11"/>
      <color indexed="62"/>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17"/>
      <name val="ＭＳ Ｐゴシック"/>
      <family val="3"/>
      <charset val="128"/>
    </font>
    <font>
      <sz val="11"/>
      <color indexed="8"/>
      <name val="Calibri"/>
      <family val="2"/>
    </font>
    <font>
      <sz val="11"/>
      <color indexed="9"/>
      <name val="Calibri"/>
      <family val="2"/>
    </font>
    <font>
      <sz val="9"/>
      <color indexed="27"/>
      <name val="明朝"/>
      <family val="1"/>
      <charset val="128"/>
    </font>
    <font>
      <sz val="11"/>
      <color indexed="20"/>
      <name val="Calibri"/>
      <family val="2"/>
    </font>
    <font>
      <b/>
      <sz val="11"/>
      <color indexed="52"/>
      <name val="Calibri"/>
      <family val="2"/>
    </font>
    <font>
      <b/>
      <sz val="11"/>
      <color indexed="9"/>
      <name val="Calibri"/>
      <family val="2"/>
    </font>
    <font>
      <sz val="10"/>
      <name val="MS Sans Serif"/>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25"/>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sz val="11"/>
      <color indexed="54"/>
      <name val="ＭＳ Ｐゴシック"/>
      <family val="3"/>
      <charset val="128"/>
    </font>
    <font>
      <sz val="12"/>
      <name val="ＭＳ Ｐゴシック"/>
      <family val="3"/>
      <charset val="128"/>
    </font>
    <font>
      <sz val="9"/>
      <color theme="1"/>
      <name val="ＭＳ Ｐゴシック"/>
      <family val="2"/>
      <charset val="128"/>
      <scheme val="minor"/>
    </font>
    <font>
      <sz val="9"/>
      <color theme="1"/>
      <name val="ＭＳ Ｐゴシック"/>
      <family val="3"/>
      <charset val="128"/>
      <scheme val="minor"/>
    </font>
    <font>
      <sz val="11"/>
      <color theme="1"/>
      <name val="メイリオ"/>
      <family val="2"/>
      <charset val="128"/>
    </font>
    <font>
      <sz val="9"/>
      <name val="ＭＳ Ｐゴシック"/>
      <family val="3"/>
      <charset val="128"/>
      <scheme val="minor"/>
    </font>
    <font>
      <sz val="14"/>
      <name val="ＭＳ Ｐゴシック"/>
      <family val="3"/>
      <charset val="128"/>
    </font>
    <font>
      <sz val="12"/>
      <name val="ＭＳ Ｐゴシック"/>
      <family val="3"/>
      <charset val="128"/>
      <scheme val="minor"/>
    </font>
    <font>
      <sz val="12"/>
      <name val="ＭＳ Ｐ明朝"/>
      <family val="1"/>
      <charset val="128"/>
    </font>
    <font>
      <sz val="6"/>
      <name val="ＭＳ Ｐ明朝"/>
      <family val="1"/>
      <charset val="128"/>
    </font>
    <font>
      <sz val="12"/>
      <color rgb="FF0000FF"/>
      <name val="ＭＳ Ｐ明朝"/>
      <family val="1"/>
      <charset val="128"/>
    </font>
    <font>
      <sz val="6"/>
      <color rgb="FF0000FF"/>
      <name val="ＭＳ Ｐ明朝"/>
      <family val="1"/>
      <charset val="128"/>
    </font>
    <font>
      <b/>
      <sz val="10.5"/>
      <color theme="1"/>
      <name val="ＭＳ ゴシック"/>
      <family val="3"/>
      <charset val="128"/>
    </font>
    <font>
      <b/>
      <sz val="11"/>
      <color theme="1"/>
      <name val="ＭＳ ゴシック"/>
      <family val="3"/>
      <charset val="128"/>
    </font>
    <font>
      <u/>
      <sz val="8"/>
      <color theme="1"/>
      <name val="ＭＳ ゴシック"/>
      <family val="3"/>
      <charset val="128"/>
    </font>
    <font>
      <sz val="12"/>
      <color theme="1"/>
      <name val="HGｺﾞｼｯｸM"/>
      <family val="3"/>
      <charset val="128"/>
    </font>
    <font>
      <sz val="11"/>
      <color theme="1"/>
      <name val="HGｺﾞｼｯｸM"/>
      <family val="3"/>
      <charset val="128"/>
    </font>
    <font>
      <sz val="9"/>
      <color theme="1"/>
      <name val="HGｺﾞｼｯｸM"/>
      <family val="3"/>
      <charset val="128"/>
    </font>
    <font>
      <sz val="16"/>
      <color theme="1"/>
      <name val="ＭＳ ゴシック"/>
      <family val="3"/>
      <charset val="128"/>
    </font>
    <font>
      <sz val="14"/>
      <color theme="1"/>
      <name val="ＭＳ Ｐゴシック"/>
      <family val="2"/>
      <charset val="128"/>
      <scheme val="minor"/>
    </font>
    <font>
      <sz val="11"/>
      <color rgb="FF000000"/>
      <name val="ＭＳ Ｐゴシック"/>
      <family val="3"/>
      <charset val="128"/>
      <scheme val="minor"/>
    </font>
    <font>
      <b/>
      <u/>
      <sz val="10.5"/>
      <color theme="1"/>
      <name val="ＭＳ ゴシック"/>
      <family val="3"/>
      <charset val="128"/>
    </font>
    <font>
      <sz val="9.3000000000000007"/>
      <color theme="1"/>
      <name val="ＭＳ ゴシック"/>
      <family val="3"/>
      <charset val="128"/>
    </font>
    <font>
      <sz val="9"/>
      <color rgb="FF000000"/>
      <name val="ＭＳ ゴシック"/>
      <family val="3"/>
      <charset val="128"/>
    </font>
    <font>
      <b/>
      <u/>
      <sz val="12"/>
      <color rgb="FF000000"/>
      <name val="ＭＳ ゴシック"/>
      <family val="3"/>
      <charset val="128"/>
    </font>
    <font>
      <sz val="10"/>
      <color theme="1"/>
      <name val="HGｺﾞｼｯｸM"/>
      <family val="3"/>
      <charset val="128"/>
    </font>
    <font>
      <b/>
      <sz val="13"/>
      <color theme="1"/>
      <name val="ＭＳ ゴシック"/>
      <family val="3"/>
      <charset val="128"/>
    </font>
    <font>
      <b/>
      <u/>
      <sz val="13"/>
      <color theme="1"/>
      <name val="ＭＳ ゴシック"/>
      <family val="3"/>
      <charset val="128"/>
    </font>
    <font>
      <sz val="10.5"/>
      <color theme="1"/>
      <name val="ＭＳ Ｐゴシック"/>
      <family val="3"/>
      <charset val="128"/>
      <scheme val="minor"/>
    </font>
    <font>
      <sz val="9"/>
      <color rgb="FF000000"/>
      <name val="ＭＳ 明朝"/>
      <family val="1"/>
      <charset val="128"/>
    </font>
    <font>
      <sz val="9"/>
      <color rgb="FF000000"/>
      <name val="Century"/>
      <family val="1"/>
    </font>
    <font>
      <b/>
      <sz val="14"/>
      <color rgb="FF000000"/>
      <name val="ＭＳ 明朝"/>
      <family val="1"/>
      <charset val="128"/>
    </font>
    <font>
      <sz val="6"/>
      <name val="游ゴシック"/>
      <family val="3"/>
      <charset val="128"/>
    </font>
    <font>
      <sz val="7"/>
      <color rgb="FF000000"/>
      <name val="ＭＳ 明朝"/>
      <family val="1"/>
      <charset val="128"/>
    </font>
    <font>
      <sz val="10"/>
      <color rgb="FF000000"/>
      <name val="ＭＳ 明朝"/>
      <family val="1"/>
      <charset val="128"/>
    </font>
    <font>
      <sz val="11"/>
      <color rgb="FF000000"/>
      <name val="ＭＳ Ｐ明朝"/>
      <family val="1"/>
      <charset val="128"/>
    </font>
    <font>
      <sz val="8"/>
      <color rgb="FF000000"/>
      <name val="ＭＳ 明朝"/>
      <family val="1"/>
      <charset val="128"/>
    </font>
    <font>
      <sz val="11"/>
      <color rgb="FF000000"/>
      <name val="ＭＳ 明朝"/>
      <family val="1"/>
      <charset val="128"/>
    </font>
    <font>
      <sz val="6"/>
      <color rgb="FF000000"/>
      <name val="ＭＳ 明朝"/>
      <family val="1"/>
      <charset val="128"/>
    </font>
    <font>
      <sz val="12"/>
      <color rgb="FF000000"/>
      <name val="ＭＳ 明朝"/>
      <family val="1"/>
      <charset val="128"/>
    </font>
    <font>
      <sz val="10.5"/>
      <color rgb="FF000000"/>
      <name val="Century"/>
      <family val="1"/>
    </font>
    <font>
      <sz val="10.5"/>
      <color rgb="FF000000"/>
      <name val="ＭＳ 明朝"/>
      <family val="1"/>
      <charset val="128"/>
    </font>
    <font>
      <sz val="14"/>
      <color rgb="FF000000"/>
      <name val="Century"/>
      <family val="1"/>
    </font>
    <font>
      <sz val="24"/>
      <color theme="1"/>
      <name val="ＭＳ Ｐゴシック"/>
      <family val="2"/>
      <charset val="128"/>
      <scheme val="minor"/>
    </font>
    <font>
      <b/>
      <sz val="28"/>
      <color theme="1"/>
      <name val="ＭＳ ゴシック"/>
      <family val="3"/>
      <charset val="128"/>
    </font>
    <font>
      <b/>
      <sz val="26"/>
      <color theme="1"/>
      <name val="ＭＳ ゴシック"/>
      <family val="3"/>
      <charset val="128"/>
    </font>
    <font>
      <sz val="14"/>
      <color theme="1"/>
      <name val="ＭＳ ゴシック"/>
      <family val="3"/>
      <charset val="128"/>
    </font>
    <font>
      <sz val="12"/>
      <color theme="1"/>
      <name val="ＭＳ ゴシック"/>
      <family val="3"/>
      <charset val="128"/>
    </font>
    <font>
      <sz val="17"/>
      <color theme="1"/>
      <name val="ＭＳ ゴシック"/>
      <family val="3"/>
      <charset val="128"/>
    </font>
    <font>
      <sz val="11"/>
      <color theme="1"/>
      <name val="Calibri"/>
      <family val="2"/>
    </font>
    <font>
      <sz val="16"/>
      <color theme="1"/>
      <name val="MS Gothic"/>
      <family val="3"/>
    </font>
    <font>
      <b/>
      <sz val="26"/>
      <color theme="1"/>
      <name val="MS Gothic"/>
      <family val="3"/>
      <charset val="128"/>
    </font>
    <font>
      <sz val="14"/>
      <color theme="1"/>
      <name val="MS Gothic"/>
      <family val="3"/>
    </font>
    <font>
      <sz val="14"/>
      <color theme="1"/>
      <name val="MS Gothic"/>
      <family val="3"/>
      <charset val="128"/>
    </font>
    <font>
      <sz val="14"/>
      <color theme="1"/>
      <name val="Calibri"/>
      <family val="2"/>
    </font>
    <font>
      <sz val="16"/>
      <color theme="1"/>
      <name val="MS Gothic"/>
      <family val="3"/>
      <charset val="128"/>
    </font>
    <font>
      <sz val="12"/>
      <color theme="1"/>
      <name val="ＭＳ Ｐゴシック"/>
      <family val="3"/>
      <charset val="128"/>
    </font>
    <font>
      <sz val="12"/>
      <color theme="1"/>
      <name val="Arial"/>
      <family val="2"/>
    </font>
    <font>
      <sz val="12"/>
      <color theme="1"/>
      <name val="MS Gothic"/>
      <family val="3"/>
    </font>
    <font>
      <sz val="12"/>
      <color theme="1"/>
      <name val="MS Gothic"/>
      <family val="3"/>
      <charset val="128"/>
    </font>
    <font>
      <sz val="10"/>
      <color theme="1"/>
      <name val="Arial"/>
      <family val="2"/>
    </font>
    <font>
      <sz val="11"/>
      <name val="ＭＳ 明朝"/>
      <family val="1"/>
      <charset val="128"/>
    </font>
    <font>
      <sz val="15"/>
      <name val="ＭＳ ゴシック"/>
      <family val="3"/>
      <charset val="128"/>
    </font>
    <font>
      <sz val="20"/>
      <name val="ＭＳ ゴシック"/>
      <family val="3"/>
      <charset val="128"/>
    </font>
    <font>
      <b/>
      <sz val="15"/>
      <name val="ＭＳ ゴシック"/>
      <family val="3"/>
      <charset val="128"/>
    </font>
    <font>
      <sz val="11"/>
      <name val="ＭＳ Ｐゴシック"/>
      <family val="3"/>
      <charset val="128"/>
      <scheme val="minor"/>
    </font>
    <font>
      <sz val="11"/>
      <name val="ＭＳ Ｐ明朝"/>
      <family val="1"/>
      <charset val="128"/>
    </font>
    <font>
      <sz val="10"/>
      <name val="ＭＳ Ｐゴシック"/>
      <family val="3"/>
      <charset val="128"/>
      <scheme val="minor"/>
    </font>
    <font>
      <sz val="10"/>
      <name val="ＭＳ 明朝"/>
      <family val="1"/>
      <charset val="128"/>
    </font>
    <font>
      <sz val="11"/>
      <name val="ＭＳ Ｐゴシック"/>
      <family val="3"/>
      <charset val="128"/>
      <scheme val="major"/>
    </font>
    <font>
      <b/>
      <sz val="9"/>
      <name val="ＭＳ Ｐゴシック"/>
      <family val="3"/>
      <charset val="128"/>
    </font>
    <font>
      <sz val="9"/>
      <name val="ＭＳ 明朝"/>
      <family val="1"/>
      <charset val="128"/>
    </font>
    <font>
      <sz val="9"/>
      <name val="ＭＳ Ｐゴシック"/>
      <family val="3"/>
      <charset val="128"/>
    </font>
    <font>
      <b/>
      <sz val="9"/>
      <name val="ＭＳ 明朝"/>
      <family val="1"/>
      <charset val="128"/>
    </font>
    <font>
      <b/>
      <sz val="10"/>
      <name val="ＭＳ Ｐゴシック"/>
      <family val="3"/>
      <charset val="128"/>
    </font>
    <font>
      <b/>
      <sz val="11"/>
      <name val="ＭＳ Ｐゴシック"/>
      <family val="3"/>
      <charset val="128"/>
    </font>
    <font>
      <b/>
      <u/>
      <sz val="9"/>
      <name val="ＭＳ Ｐゴシック"/>
      <family val="3"/>
      <charset val="128"/>
      <scheme val="minor"/>
    </font>
    <font>
      <sz val="9"/>
      <name val="ＭＳ Ｐ明朝"/>
      <family val="1"/>
      <charset val="128"/>
    </font>
    <font>
      <sz val="12"/>
      <name val="ＭＳ 明朝"/>
      <family val="1"/>
      <charset val="128"/>
    </font>
    <font>
      <b/>
      <sz val="12"/>
      <color indexed="81"/>
      <name val="MS P ゴシック"/>
      <family val="3"/>
      <charset val="128"/>
    </font>
    <font>
      <sz val="12"/>
      <color rgb="FF000000"/>
      <name val="Century"/>
      <family val="1"/>
    </font>
    <font>
      <b/>
      <sz val="20"/>
      <color rgb="FF000000"/>
      <name val="ＭＳ 明朝"/>
      <family val="1"/>
      <charset val="128"/>
    </font>
    <font>
      <sz val="13"/>
      <color rgb="FF000000"/>
      <name val="ＭＳ 明朝"/>
      <family val="1"/>
      <charset val="128"/>
    </font>
    <font>
      <b/>
      <sz val="20"/>
      <name val="ＭＳ 明朝"/>
      <family val="1"/>
      <charset val="128"/>
    </font>
    <font>
      <b/>
      <sz val="14"/>
      <name val="ＭＳ 明朝"/>
      <family val="1"/>
      <charset val="128"/>
    </font>
    <font>
      <sz val="16"/>
      <color rgb="FF000000"/>
      <name val="ＭＳ 明朝"/>
      <family val="1"/>
      <charset val="128"/>
    </font>
    <font>
      <sz val="15"/>
      <color rgb="FF000000"/>
      <name val="ＭＳ 明朝"/>
      <family val="1"/>
      <charset val="128"/>
    </font>
    <font>
      <sz val="14"/>
      <color rgb="FF000000"/>
      <name val="ＭＳ 明朝"/>
      <family val="1"/>
      <charset val="128"/>
    </font>
    <font>
      <b/>
      <sz val="16"/>
      <color rgb="FF000000"/>
      <name val="ＭＳ 明朝"/>
      <family val="1"/>
      <charset val="128"/>
    </font>
    <font>
      <b/>
      <sz val="13"/>
      <color rgb="FF000000"/>
      <name val="ＭＳ 明朝"/>
      <family val="1"/>
      <charset val="128"/>
    </font>
    <font>
      <sz val="14"/>
      <color rgb="FF000000"/>
      <name val="ＭＳ Ｐゴシック"/>
      <family val="3"/>
      <charset val="128"/>
      <scheme val="minor"/>
    </font>
    <font>
      <u/>
      <sz val="11"/>
      <color rgb="FF000000"/>
      <name val="ＭＳ 明朝"/>
      <family val="1"/>
      <charset val="128"/>
    </font>
    <font>
      <u/>
      <sz val="14"/>
      <color rgb="FF000000"/>
      <name val="ＭＳ 明朝"/>
      <family val="1"/>
      <charset val="128"/>
    </font>
    <font>
      <sz val="13"/>
      <color rgb="FF000000"/>
      <name val="Century"/>
      <family val="1"/>
    </font>
    <font>
      <sz val="13"/>
      <color rgb="FF000000"/>
      <name val="ＭＳ Ｐゴシック"/>
      <family val="3"/>
      <charset val="128"/>
      <scheme val="minor"/>
    </font>
    <font>
      <b/>
      <sz val="18"/>
      <color theme="1"/>
      <name val="メイリオ"/>
      <family val="3"/>
      <charset val="128"/>
    </font>
    <font>
      <sz val="16"/>
      <color theme="1"/>
      <name val="メイリオ"/>
      <family val="2"/>
      <charset val="128"/>
    </font>
    <font>
      <sz val="6"/>
      <name val="メイリオ"/>
      <family val="2"/>
      <charset val="128"/>
    </font>
    <font>
      <b/>
      <sz val="20"/>
      <color theme="1"/>
      <name val="メイリオ"/>
      <family val="3"/>
      <charset val="128"/>
    </font>
    <font>
      <sz val="11"/>
      <color theme="1"/>
      <name val="メイリオ"/>
      <family val="3"/>
      <charset val="128"/>
    </font>
    <font>
      <b/>
      <sz val="11"/>
      <color theme="1"/>
      <name val="メイリオ"/>
      <family val="3"/>
      <charset val="128"/>
    </font>
    <font>
      <sz val="18"/>
      <color theme="1"/>
      <name val="メイリオ"/>
      <family val="2"/>
      <charset val="128"/>
    </font>
    <font>
      <sz val="11"/>
      <name val="メイリオ"/>
      <family val="3"/>
      <charset val="128"/>
    </font>
    <font>
      <sz val="8"/>
      <color theme="1"/>
      <name val="メイリオ"/>
      <family val="3"/>
      <charset val="128"/>
    </font>
    <font>
      <sz val="11"/>
      <color theme="0"/>
      <name val="メイリオ"/>
      <family val="2"/>
      <charset val="128"/>
    </font>
    <font>
      <sz val="18"/>
      <color theme="1"/>
      <name val="メイリオ"/>
      <family val="3"/>
      <charset val="128"/>
    </font>
    <font>
      <sz val="14"/>
      <color theme="0"/>
      <name val="メイリオ"/>
      <family val="3"/>
      <charset val="128"/>
    </font>
    <font>
      <sz val="10"/>
      <color theme="1"/>
      <name val="メイリオ"/>
      <family val="3"/>
      <charset val="128"/>
    </font>
    <font>
      <sz val="9"/>
      <color theme="1"/>
      <name val="Yu Gothic Medium"/>
      <family val="2"/>
      <charset val="128"/>
    </font>
    <font>
      <sz val="9"/>
      <color theme="1"/>
      <name val="Yu Gothic Medium"/>
      <family val="3"/>
      <charset val="128"/>
    </font>
    <font>
      <sz val="11"/>
      <color theme="1"/>
      <name val="Yu Gothic Medium"/>
      <family val="2"/>
      <charset val="128"/>
    </font>
    <font>
      <sz val="11"/>
      <color theme="1"/>
      <name val="Yu Gothic Medium"/>
      <family val="3"/>
      <charset val="128"/>
    </font>
    <font>
      <u/>
      <sz val="14"/>
      <color theme="1"/>
      <name val="MS Gothic"/>
      <family val="3"/>
    </font>
    <font>
      <sz val="15"/>
      <color theme="1"/>
      <name val="ＭＳ ゴシック"/>
      <family val="3"/>
      <charset val="128"/>
    </font>
  </fonts>
  <fills count="46">
    <fill>
      <patternFill patternType="none"/>
    </fill>
    <fill>
      <patternFill patternType="gray125"/>
    </fill>
    <fill>
      <patternFill patternType="solid">
        <fgColor indexed="31"/>
        <bgColor indexed="22"/>
      </patternFill>
    </fill>
    <fill>
      <patternFill patternType="solid">
        <fgColor indexed="45"/>
        <bgColor indexed="29"/>
      </patternFill>
    </fill>
    <fill>
      <patternFill patternType="solid">
        <fgColor indexed="13"/>
        <bgColor indexed="34"/>
      </patternFill>
    </fill>
    <fill>
      <patternFill patternType="solid">
        <fgColor indexed="46"/>
        <bgColor indexed="45"/>
      </patternFill>
    </fill>
    <fill>
      <patternFill patternType="solid">
        <fgColor indexed="27"/>
        <bgColor indexed="41"/>
      </patternFill>
    </fill>
    <fill>
      <patternFill patternType="solid">
        <fgColor indexed="47"/>
        <bgColor indexed="22"/>
      </patternFill>
    </fill>
    <fill>
      <patternFill patternType="solid">
        <fgColor indexed="9"/>
        <bgColor indexed="26"/>
      </patternFill>
    </fill>
    <fill>
      <patternFill patternType="solid">
        <fgColor indexed="29"/>
        <bgColor indexed="45"/>
      </patternFill>
    </fill>
    <fill>
      <patternFill patternType="solid">
        <fgColor indexed="26"/>
        <bgColor indexed="9"/>
      </patternFill>
    </fill>
    <fill>
      <patternFill patternType="solid">
        <fgColor indexed="44"/>
        <bgColor indexed="31"/>
      </patternFill>
    </fill>
    <fill>
      <patternFill patternType="solid">
        <fgColor indexed="11"/>
        <bgColor indexed="49"/>
      </patternFill>
    </fill>
    <fill>
      <patternFill patternType="solid">
        <fgColor indexed="50"/>
        <bgColor indexed="51"/>
      </patternFill>
    </fill>
    <fill>
      <patternFill patternType="solid">
        <fgColor indexed="53"/>
        <bgColor indexed="52"/>
      </patternFill>
    </fill>
    <fill>
      <patternFill patternType="solid">
        <fgColor indexed="43"/>
        <bgColor indexed="26"/>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22"/>
        <bgColor indexed="24"/>
      </patternFill>
    </fill>
    <fill>
      <patternFill patternType="solid">
        <fgColor indexed="62"/>
        <bgColor indexed="56"/>
      </patternFill>
    </fill>
    <fill>
      <patternFill patternType="solid">
        <fgColor indexed="10"/>
        <bgColor indexed="16"/>
      </patternFill>
    </fill>
    <fill>
      <patternFill patternType="solid">
        <fgColor indexed="57"/>
        <bgColor indexed="21"/>
      </patternFill>
    </fill>
    <fill>
      <patternFill patternType="mediumGray">
        <fgColor indexed="8"/>
        <bgColor indexed="37"/>
      </patternFill>
    </fill>
    <fill>
      <patternFill patternType="solid">
        <fgColor indexed="55"/>
        <bgColor indexed="23"/>
      </patternFill>
    </fill>
    <fill>
      <patternFill patternType="solid">
        <fgColor indexed="54"/>
        <bgColor indexed="23"/>
      </patternFill>
    </fill>
    <fill>
      <patternFill patternType="solid">
        <fgColor indexed="42"/>
        <bgColor indexed="27"/>
      </patternFill>
    </fill>
    <fill>
      <patternFill patternType="solid">
        <fgColor theme="0"/>
        <bgColor indexed="64"/>
      </patternFill>
    </fill>
    <fill>
      <patternFill patternType="solid">
        <fgColor rgb="FFFBE4D5"/>
        <bgColor indexed="64"/>
      </patternFill>
    </fill>
    <fill>
      <patternFill patternType="solid">
        <fgColor rgb="FFFEF2CB"/>
        <bgColor indexed="64"/>
      </patternFill>
    </fill>
    <fill>
      <patternFill patternType="solid">
        <fgColor rgb="FFDEEAF6"/>
        <bgColor indexed="64"/>
      </patternFill>
    </fill>
    <fill>
      <patternFill patternType="solid">
        <fgColor rgb="FFD8D8D8"/>
        <bgColor indexed="64"/>
      </patternFill>
    </fill>
    <fill>
      <patternFill patternType="solid">
        <fgColor rgb="FFE2EFD9"/>
        <bgColor indexed="64"/>
      </patternFill>
    </fill>
    <fill>
      <patternFill patternType="solid">
        <fgColor rgb="FFECECE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rgb="FFFFFFCC"/>
        <bgColor indexed="64"/>
      </patternFill>
    </fill>
    <fill>
      <patternFill patternType="solid">
        <fgColor theme="0" tint="-0.14996795556505021"/>
        <bgColor indexed="64"/>
      </patternFill>
    </fill>
    <fill>
      <patternFill patternType="solid">
        <fgColor theme="8" tint="0.79998168889431442"/>
        <bgColor indexed="64"/>
      </patternFill>
    </fill>
    <fill>
      <patternFill patternType="solid">
        <fgColor theme="1"/>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rgb="FFF1F5F9"/>
        <bgColor indexed="64"/>
      </patternFill>
    </fill>
    <fill>
      <patternFill patternType="solid">
        <fgColor rgb="FFFEF4EC"/>
        <bgColor indexed="64"/>
      </patternFill>
    </fill>
  </fills>
  <borders count="225">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medium">
        <color indexed="64"/>
      </left>
      <right style="thin">
        <color indexed="64"/>
      </right>
      <top style="thin">
        <color indexed="64"/>
      </top>
      <bottom style="thin">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bottom style="thick">
        <color indexed="49"/>
      </bottom>
      <diagonal/>
    </border>
    <border>
      <left/>
      <right/>
      <top/>
      <bottom style="medium">
        <color indexed="49"/>
      </bottom>
      <diagonal/>
    </border>
    <border>
      <left/>
      <right/>
      <top style="thin">
        <color indexed="49"/>
      </top>
      <bottom style="double">
        <color indexed="49"/>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rgb="FF000000"/>
      </right>
      <top style="medium">
        <color indexed="64"/>
      </top>
      <bottom/>
      <diagonal/>
    </border>
    <border>
      <left/>
      <right style="medium">
        <color indexed="64"/>
      </right>
      <top/>
      <bottom/>
      <diagonal/>
    </border>
    <border>
      <left style="medium">
        <color indexed="64"/>
      </left>
      <right style="medium">
        <color indexed="64"/>
      </right>
      <top/>
      <bottom/>
      <diagonal/>
    </border>
    <border>
      <left style="medium">
        <color indexed="64"/>
      </left>
      <right/>
      <top/>
      <bottom style="medium">
        <color rgb="FF000000"/>
      </bottom>
      <diagonal/>
    </border>
    <border>
      <left/>
      <right/>
      <top/>
      <bottom style="medium">
        <color rgb="FF000000"/>
      </bottom>
      <diagonal/>
    </border>
    <border>
      <left/>
      <right style="medium">
        <color indexed="64"/>
      </right>
      <top/>
      <bottom style="medium">
        <color rgb="FF000000"/>
      </bottom>
      <diagonal/>
    </border>
    <border>
      <left/>
      <right style="medium">
        <color rgb="FF000000"/>
      </right>
      <top/>
      <bottom style="medium">
        <color rgb="FF000000"/>
      </bottom>
      <diagonal/>
    </border>
    <border>
      <left/>
      <right/>
      <top style="medium">
        <color rgb="FF000000"/>
      </top>
      <bottom/>
      <diagonal/>
    </border>
    <border>
      <left/>
      <right/>
      <top style="thin">
        <color indexed="64"/>
      </top>
      <bottom style="thin">
        <color indexed="64"/>
      </bottom>
      <diagonal/>
    </border>
    <border>
      <left style="thin">
        <color rgb="FF000000"/>
      </left>
      <right/>
      <top style="thin">
        <color rgb="FF000000"/>
      </top>
      <bottom/>
      <diagonal/>
    </border>
    <border>
      <left/>
      <right/>
      <top style="thin">
        <color rgb="FF000000"/>
      </top>
      <bottom/>
      <diagonal/>
    </border>
    <border>
      <left style="medium">
        <color rgb="FFFF0000"/>
      </left>
      <right/>
      <top style="medium">
        <color rgb="FFFF0000"/>
      </top>
      <bottom/>
      <diagonal/>
    </border>
    <border>
      <left/>
      <right/>
      <top style="medium">
        <color rgb="FFFF0000"/>
      </top>
      <bottom/>
      <diagonal/>
    </border>
    <border>
      <left/>
      <right style="thin">
        <color auto="1"/>
      </right>
      <top style="medium">
        <color rgb="FFFF0000"/>
      </top>
      <bottom/>
      <diagonal/>
    </border>
    <border>
      <left style="thin">
        <color auto="1"/>
      </left>
      <right/>
      <top style="medium">
        <color rgb="FFFF0000"/>
      </top>
      <bottom/>
      <diagonal/>
    </border>
    <border>
      <left/>
      <right style="medium">
        <color rgb="FFFF0000"/>
      </right>
      <top style="medium">
        <color rgb="FFFF0000"/>
      </top>
      <bottom/>
      <diagonal/>
    </border>
    <border>
      <left style="thin">
        <color rgb="FF000000"/>
      </left>
      <right/>
      <top/>
      <bottom/>
      <diagonal/>
    </border>
    <border>
      <left style="medium">
        <color rgb="FFFF0000"/>
      </left>
      <right/>
      <top/>
      <bottom/>
      <diagonal/>
    </border>
    <border>
      <left/>
      <right style="medium">
        <color rgb="FFFF0000"/>
      </right>
      <top/>
      <bottom/>
      <diagonal/>
    </border>
    <border>
      <left style="medium">
        <color rgb="FFFF0000"/>
      </left>
      <right/>
      <top/>
      <bottom style="thin">
        <color auto="1"/>
      </bottom>
      <diagonal/>
    </border>
    <border>
      <left/>
      <right style="medium">
        <color rgb="FFFF0000"/>
      </right>
      <top/>
      <bottom style="thin">
        <color auto="1"/>
      </bottom>
      <diagonal/>
    </border>
    <border>
      <left style="medium">
        <color rgb="FFFF0000"/>
      </left>
      <right/>
      <top style="thin">
        <color auto="1"/>
      </top>
      <bottom style="thin">
        <color auto="1"/>
      </bottom>
      <diagonal/>
    </border>
    <border>
      <left/>
      <right style="thin">
        <color auto="1"/>
      </right>
      <top style="thin">
        <color auto="1"/>
      </top>
      <bottom style="thin">
        <color auto="1"/>
      </bottom>
      <diagonal/>
    </border>
    <border>
      <left style="thin">
        <color rgb="FF000000"/>
      </left>
      <right/>
      <top/>
      <bottom style="thin">
        <color rgb="FF000000"/>
      </bottom>
      <diagonal/>
    </border>
    <border>
      <left/>
      <right/>
      <top/>
      <bottom style="thin">
        <color rgb="FF000000"/>
      </bottom>
      <diagonal/>
    </border>
    <border>
      <left style="medium">
        <color rgb="FFFF0000"/>
      </left>
      <right/>
      <top/>
      <bottom style="medium">
        <color rgb="FFFF0000"/>
      </bottom>
      <diagonal/>
    </border>
    <border>
      <left/>
      <right/>
      <top/>
      <bottom style="medium">
        <color rgb="FFFF0000"/>
      </bottom>
      <diagonal/>
    </border>
    <border>
      <left/>
      <right style="thin">
        <color auto="1"/>
      </right>
      <top/>
      <bottom style="medium">
        <color rgb="FFFF0000"/>
      </bottom>
      <diagonal/>
    </border>
    <border>
      <left/>
      <right style="medium">
        <color rgb="FFFF0000"/>
      </right>
      <top/>
      <bottom style="medium">
        <color rgb="FFFF0000"/>
      </bottom>
      <diagonal/>
    </border>
    <border>
      <left/>
      <right style="thin">
        <color rgb="FF000000"/>
      </right>
      <top style="thin">
        <color rgb="FF000000"/>
      </top>
      <bottom/>
      <diagonal/>
    </border>
    <border>
      <left style="thin">
        <color rgb="FF000000"/>
      </left>
      <right/>
      <top style="medium">
        <color rgb="FFFF0000"/>
      </top>
      <bottom/>
      <diagonal/>
    </border>
    <border>
      <left/>
      <right style="thin">
        <color rgb="FF000000"/>
      </right>
      <top style="medium">
        <color rgb="FFFF0000"/>
      </top>
      <bottom/>
      <diagonal/>
    </border>
    <border>
      <left/>
      <right style="thin">
        <color rgb="FF000000"/>
      </right>
      <top/>
      <bottom/>
      <diagonal/>
    </border>
    <border>
      <left/>
      <right style="thin">
        <color rgb="FF000000"/>
      </right>
      <top/>
      <bottom style="thin">
        <color rgb="FF000000"/>
      </bottom>
      <diagonal/>
    </border>
    <border>
      <left style="medium">
        <color rgb="FFFF0000"/>
      </left>
      <right/>
      <top style="medium">
        <color rgb="FFFF0000"/>
      </top>
      <bottom style="medium">
        <color rgb="FFFF0000"/>
      </bottom>
      <diagonal/>
    </border>
    <border>
      <left/>
      <right/>
      <top style="medium">
        <color rgb="FFFF0000"/>
      </top>
      <bottom style="medium">
        <color rgb="FFFF0000"/>
      </bottom>
      <diagonal/>
    </border>
    <border>
      <left/>
      <right style="medium">
        <color rgb="FFFF0000"/>
      </right>
      <top style="medium">
        <color rgb="FFFF0000"/>
      </top>
      <bottom style="medium">
        <color rgb="FFFF0000"/>
      </bottom>
      <diagonal/>
    </border>
    <border>
      <left style="medium">
        <color rgb="FFFF0000"/>
      </left>
      <right/>
      <top/>
      <bottom style="thin">
        <color theme="1"/>
      </bottom>
      <diagonal/>
    </border>
    <border>
      <left/>
      <right/>
      <top/>
      <bottom style="thin">
        <color theme="1"/>
      </bottom>
      <diagonal/>
    </border>
    <border>
      <left/>
      <right style="thin">
        <color rgb="FF000000"/>
      </right>
      <top/>
      <bottom style="thin">
        <color theme="1"/>
      </bottom>
      <diagonal/>
    </border>
    <border>
      <left style="thin">
        <color theme="1"/>
      </left>
      <right style="thin">
        <color rgb="FF000000"/>
      </right>
      <top/>
      <bottom style="thin">
        <color theme="1"/>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medium">
        <color rgb="FFFF0000"/>
      </bottom>
      <diagonal/>
    </border>
    <border>
      <left/>
      <right/>
      <top style="thin">
        <color rgb="FF000000"/>
      </top>
      <bottom style="medium">
        <color rgb="FFFF0000"/>
      </bottom>
      <diagonal/>
    </border>
    <border>
      <left/>
      <right style="thin">
        <color rgb="FF000000"/>
      </right>
      <top style="thin">
        <color rgb="FF000000"/>
      </top>
      <bottom style="medium">
        <color rgb="FFFF0000"/>
      </bottom>
      <diagonal/>
    </border>
    <border>
      <left style="thin">
        <color rgb="FF000000"/>
      </left>
      <right/>
      <top/>
      <bottom style="medium">
        <color rgb="FFFF0000"/>
      </bottom>
      <diagonal/>
    </border>
    <border>
      <left/>
      <right style="thin">
        <color theme="1"/>
      </right>
      <top style="medium">
        <color rgb="FFFF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bottom style="medium">
        <color rgb="FF000000"/>
      </bottom>
      <diagonal/>
    </border>
    <border>
      <left/>
      <right style="thin">
        <color rgb="FF000000"/>
      </right>
      <top/>
      <bottom style="medium">
        <color rgb="FF000000"/>
      </bottom>
      <diagonal/>
    </border>
    <border>
      <left style="medium">
        <color rgb="FF000000"/>
      </left>
      <right/>
      <top style="medium">
        <color rgb="FF000000"/>
      </top>
      <bottom/>
      <diagonal/>
    </border>
    <border>
      <left/>
      <right style="thick">
        <color rgb="FF000000"/>
      </right>
      <top style="medium">
        <color rgb="FF000000"/>
      </top>
      <bottom/>
      <diagonal/>
    </border>
    <border>
      <left style="thick">
        <color rgb="FF000000"/>
      </left>
      <right/>
      <top style="thin">
        <color rgb="FF000000"/>
      </top>
      <bottom/>
      <diagonal/>
    </border>
    <border>
      <left style="medium">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style="thick">
        <color rgb="FF000000"/>
      </left>
      <right/>
      <top/>
      <bottom/>
      <diagonal/>
    </border>
    <border>
      <left style="thin">
        <color rgb="FF000000"/>
      </left>
      <right/>
      <top style="thick">
        <color rgb="FF000000"/>
      </top>
      <bottom style="thin">
        <color rgb="FF000000"/>
      </bottom>
      <diagonal/>
    </border>
    <border>
      <left/>
      <right/>
      <top style="thick">
        <color rgb="FF000000"/>
      </top>
      <bottom style="thin">
        <color rgb="FF000000"/>
      </bottom>
      <diagonal/>
    </border>
    <border>
      <left/>
      <right style="thin">
        <color rgb="FF000000"/>
      </right>
      <top style="thick">
        <color rgb="FF000000"/>
      </top>
      <bottom style="thin">
        <color rgb="FF000000"/>
      </bottom>
      <diagonal/>
    </border>
    <border>
      <left style="medium">
        <color auto="1"/>
      </left>
      <right/>
      <top style="medium">
        <color auto="1"/>
      </top>
      <bottom style="medium">
        <color rgb="FF000000"/>
      </bottom>
      <diagonal/>
    </border>
    <border>
      <left/>
      <right/>
      <top style="medium">
        <color auto="1"/>
      </top>
      <bottom style="medium">
        <color rgb="FF000000"/>
      </bottom>
      <diagonal/>
    </border>
    <border>
      <left/>
      <right style="thick">
        <color rgb="FFFF0000"/>
      </right>
      <top style="medium">
        <color rgb="FFFF0000"/>
      </top>
      <bottom style="medium">
        <color rgb="FFFF0000"/>
      </bottom>
      <diagonal/>
    </border>
    <border>
      <left style="thick">
        <color rgb="FFFF0000"/>
      </left>
      <right/>
      <top style="medium">
        <color auto="1"/>
      </top>
      <bottom/>
      <diagonal/>
    </border>
    <border>
      <left style="medium">
        <color auto="1"/>
      </left>
      <right/>
      <top/>
      <bottom/>
      <diagonal/>
    </border>
    <border>
      <left/>
      <right style="medium">
        <color auto="1"/>
      </right>
      <top style="medium">
        <color rgb="FFFF0000"/>
      </top>
      <bottom/>
      <diagonal/>
    </border>
    <border>
      <left style="medium">
        <color rgb="FFFF0000"/>
      </left>
      <right/>
      <top/>
      <bottom style="medium">
        <color theme="1"/>
      </bottom>
      <diagonal/>
    </border>
    <border>
      <left/>
      <right/>
      <top/>
      <bottom style="medium">
        <color theme="1"/>
      </bottom>
      <diagonal/>
    </border>
    <border>
      <left/>
      <right style="medium">
        <color rgb="FFFF0000"/>
      </right>
      <top/>
      <bottom style="medium">
        <color theme="1"/>
      </bottom>
      <diagonal/>
    </border>
    <border>
      <left style="medium">
        <color auto="1"/>
      </left>
      <right/>
      <top style="medium">
        <color rgb="FF000000"/>
      </top>
      <bottom/>
      <diagonal/>
    </border>
    <border>
      <left style="medium">
        <color rgb="FFFF0000"/>
      </left>
      <right/>
      <top style="medium">
        <color theme="1"/>
      </top>
      <bottom/>
      <diagonal/>
    </border>
    <border>
      <left/>
      <right/>
      <top style="medium">
        <color theme="1"/>
      </top>
      <bottom/>
      <diagonal/>
    </border>
    <border>
      <left style="medium">
        <color rgb="FFFF0000"/>
      </left>
      <right style="medium">
        <color auto="1"/>
      </right>
      <top style="medium">
        <color auto="1"/>
      </top>
      <bottom/>
      <diagonal/>
    </border>
    <border>
      <left style="medium">
        <color rgb="FFFF0000"/>
      </left>
      <right/>
      <top/>
      <bottom style="medium">
        <color rgb="FF000000"/>
      </bottom>
      <diagonal/>
    </border>
    <border>
      <left/>
      <right style="medium">
        <color rgb="FFFF0000"/>
      </right>
      <top/>
      <bottom style="medium">
        <color rgb="FF000000"/>
      </bottom>
      <diagonal/>
    </border>
    <border>
      <left style="medium">
        <color rgb="FFFF0000"/>
      </left>
      <right style="medium">
        <color auto="1"/>
      </right>
      <top/>
      <bottom style="medium">
        <color rgb="FF000000"/>
      </bottom>
      <diagonal/>
    </border>
    <border>
      <left style="medium">
        <color rgb="FFFF0000"/>
      </left>
      <right/>
      <top style="medium">
        <color rgb="FF000000"/>
      </top>
      <bottom/>
      <diagonal/>
    </border>
    <border>
      <left/>
      <right style="medium">
        <color rgb="FFFF0000"/>
      </right>
      <top style="medium">
        <color rgb="FF000000"/>
      </top>
      <bottom/>
      <diagonal/>
    </border>
    <border>
      <left/>
      <right style="medium">
        <color auto="1"/>
      </right>
      <top style="medium">
        <color rgb="FF000000"/>
      </top>
      <bottom/>
      <diagonal/>
    </border>
    <border>
      <left style="medium">
        <color auto="1"/>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bottom style="medium">
        <color rgb="FF000000"/>
      </bottom>
      <diagonal/>
    </border>
    <border>
      <left style="medium">
        <color rgb="FFCCCCCC"/>
      </left>
      <right style="medium">
        <color auto="1"/>
      </right>
      <top style="medium">
        <color rgb="FFCCCCCC"/>
      </top>
      <bottom style="medium">
        <color rgb="FF000000"/>
      </bottom>
      <diagonal/>
    </border>
    <border>
      <left/>
      <right style="medium">
        <color rgb="FF000000"/>
      </right>
      <top style="medium">
        <color rgb="FF000000"/>
      </top>
      <bottom/>
      <diagonal/>
    </border>
    <border>
      <left style="medium">
        <color rgb="FF000000"/>
      </left>
      <right/>
      <top style="medium">
        <color rgb="FF000000"/>
      </top>
      <bottom style="medium">
        <color rgb="FF000000"/>
      </bottom>
      <diagonal/>
    </border>
    <border>
      <left style="medium">
        <color rgb="FF000000"/>
      </left>
      <right/>
      <top/>
      <bottom/>
      <diagonal/>
    </border>
    <border>
      <left/>
      <right style="medium">
        <color auto="1"/>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auto="1"/>
      </right>
      <top style="medium">
        <color rgb="FF000000"/>
      </top>
      <bottom/>
      <diagonal/>
    </border>
    <border>
      <left/>
      <right style="medium">
        <color rgb="FF000000"/>
      </right>
      <top/>
      <bottom/>
      <diagonal/>
    </border>
    <border>
      <left style="medium">
        <color rgb="FF000000"/>
      </left>
      <right style="medium">
        <color rgb="FF000000"/>
      </right>
      <top/>
      <bottom/>
      <diagonal/>
    </border>
    <border>
      <left style="medium">
        <color rgb="FF000000"/>
      </left>
      <right style="medium">
        <color auto="1"/>
      </right>
      <top/>
      <bottom/>
      <diagonal/>
    </border>
    <border>
      <left style="medium">
        <color rgb="FF000000"/>
      </left>
      <right style="medium">
        <color rgb="FF000000"/>
      </right>
      <top/>
      <bottom style="medium">
        <color rgb="FF000000"/>
      </bottom>
      <diagonal/>
    </border>
    <border>
      <left style="medium">
        <color rgb="FF000000"/>
      </left>
      <right style="medium">
        <color auto="1"/>
      </right>
      <top/>
      <bottom style="medium">
        <color rgb="FF000000"/>
      </bottom>
      <diagonal/>
    </border>
    <border>
      <left style="medium">
        <color rgb="FFFF0000"/>
      </left>
      <right style="medium">
        <color rgb="FFFF0000"/>
      </right>
      <top style="medium">
        <color rgb="FFFF0000"/>
      </top>
      <bottom/>
      <diagonal/>
    </border>
    <border>
      <left style="medium">
        <color rgb="FFFF0000"/>
      </left>
      <right style="medium">
        <color rgb="FFFF0000"/>
      </right>
      <top/>
      <bottom style="medium">
        <color rgb="FFFF0000"/>
      </bottom>
      <diagonal/>
    </border>
    <border diagonalUp="1">
      <left style="medium">
        <color rgb="FF000000"/>
      </left>
      <right/>
      <top style="medium">
        <color rgb="FF000000"/>
      </top>
      <bottom/>
      <diagonal style="thin">
        <color rgb="FF000000"/>
      </diagonal>
    </border>
    <border diagonalUp="1">
      <left/>
      <right/>
      <top style="medium">
        <color rgb="FF000000"/>
      </top>
      <bottom/>
      <diagonal style="thin">
        <color rgb="FF000000"/>
      </diagonal>
    </border>
    <border diagonalUp="1">
      <left/>
      <right style="medium">
        <color rgb="FF000000"/>
      </right>
      <top style="medium">
        <color rgb="FF000000"/>
      </top>
      <bottom/>
      <diagonal style="thin">
        <color rgb="FF000000"/>
      </diagonal>
    </border>
    <border diagonalUp="1">
      <left style="medium">
        <color rgb="FF000000"/>
      </left>
      <right/>
      <top/>
      <bottom style="medium">
        <color rgb="FF000000"/>
      </bottom>
      <diagonal style="thin">
        <color rgb="FF000000"/>
      </diagonal>
    </border>
    <border diagonalUp="1">
      <left/>
      <right/>
      <top/>
      <bottom style="medium">
        <color rgb="FF000000"/>
      </bottom>
      <diagonal style="thin">
        <color rgb="FF000000"/>
      </diagonal>
    </border>
    <border diagonalUp="1">
      <left/>
      <right style="medium">
        <color rgb="FF000000"/>
      </right>
      <top/>
      <bottom style="medium">
        <color rgb="FF000000"/>
      </bottom>
      <diagonal style="thin">
        <color rgb="FF000000"/>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auto="1"/>
      </right>
      <top style="medium">
        <color rgb="FF000000"/>
      </top>
      <bottom style="medium">
        <color rgb="FF000000"/>
      </bottom>
      <diagonal/>
    </border>
    <border>
      <left style="medium">
        <color rgb="FFCCCCCC"/>
      </left>
      <right/>
      <top/>
      <bottom/>
      <diagonal/>
    </border>
    <border>
      <left/>
      <right style="medium">
        <color rgb="FFCCCCCC"/>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right style="hair">
        <color indexed="64"/>
      </right>
      <top/>
      <bottom/>
      <diagonal/>
    </border>
    <border>
      <left style="hair">
        <color indexed="64"/>
      </left>
      <right/>
      <top/>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style="thin">
        <color indexed="64"/>
      </right>
      <top/>
      <bottom/>
      <diagonal/>
    </border>
    <border>
      <left/>
      <right style="hair">
        <color indexed="64"/>
      </right>
      <top/>
      <bottom style="thin">
        <color indexed="64"/>
      </bottom>
      <diagonal/>
    </border>
    <border>
      <left style="hair">
        <color indexed="64"/>
      </left>
      <right/>
      <top/>
      <bottom style="thin">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top style="thin">
        <color indexed="64"/>
      </top>
      <bottom/>
      <diagonal/>
    </border>
    <border>
      <left/>
      <right style="hair">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diagonalUp="1" diagonalDown="1">
      <left style="thin">
        <color indexed="64"/>
      </left>
      <right style="hair">
        <color indexed="64"/>
      </right>
      <top style="hair">
        <color indexed="64"/>
      </top>
      <bottom/>
      <diagonal style="hair">
        <color indexed="64"/>
      </diagonal>
    </border>
    <border diagonalUp="1" diagonalDown="1">
      <left style="hair">
        <color indexed="64"/>
      </left>
      <right style="hair">
        <color indexed="64"/>
      </right>
      <top style="hair">
        <color indexed="64"/>
      </top>
      <bottom/>
      <diagonal style="hair">
        <color indexed="64"/>
      </diagonal>
    </border>
    <border diagonalUp="1" diagonalDown="1">
      <left style="hair">
        <color indexed="64"/>
      </left>
      <right style="thin">
        <color indexed="64"/>
      </right>
      <top style="hair">
        <color indexed="64"/>
      </top>
      <bottom/>
      <diagonal style="hair">
        <color indexed="64"/>
      </diagonal>
    </border>
    <border diagonalUp="1" diagonalDown="1">
      <left style="thin">
        <color indexed="64"/>
      </left>
      <right style="hair">
        <color indexed="64"/>
      </right>
      <top/>
      <bottom style="thin">
        <color indexed="64"/>
      </bottom>
      <diagonal style="hair">
        <color indexed="64"/>
      </diagonal>
    </border>
    <border diagonalUp="1" diagonalDown="1">
      <left style="hair">
        <color indexed="64"/>
      </left>
      <right style="hair">
        <color indexed="64"/>
      </right>
      <top/>
      <bottom style="thin">
        <color indexed="64"/>
      </bottom>
      <diagonal style="hair">
        <color indexed="64"/>
      </diagonal>
    </border>
    <border diagonalUp="1" diagonalDown="1">
      <left style="hair">
        <color indexed="64"/>
      </left>
      <right style="thin">
        <color indexed="64"/>
      </right>
      <top/>
      <bottom style="thin">
        <color indexed="64"/>
      </bottom>
      <diagonal style="hair">
        <color indexed="64"/>
      </diagonal>
    </border>
    <border>
      <left style="thin">
        <color indexed="64"/>
      </left>
      <right/>
      <top style="thin">
        <color indexed="64"/>
      </top>
      <bottom/>
      <diagonal/>
    </border>
    <border>
      <left/>
      <right style="thick">
        <color indexed="64"/>
      </right>
      <top style="thin">
        <color indexed="64"/>
      </top>
      <bottom style="hair">
        <color indexed="64"/>
      </bottom>
      <diagonal/>
    </border>
    <border>
      <left style="thick">
        <color indexed="64"/>
      </left>
      <right style="thick">
        <color indexed="64"/>
      </right>
      <top style="thick">
        <color indexed="64"/>
      </top>
      <bottom/>
      <diagonal/>
    </border>
    <border>
      <left style="thick">
        <color indexed="64"/>
      </left>
      <right style="thick">
        <color indexed="64"/>
      </right>
      <top style="thin">
        <color indexed="64"/>
      </top>
      <bottom/>
      <diagonal/>
    </border>
    <border>
      <left style="thin">
        <color indexed="64"/>
      </left>
      <right/>
      <top style="thin">
        <color indexed="64"/>
      </top>
      <bottom style="thin">
        <color indexed="64"/>
      </bottom>
      <diagonal/>
    </border>
    <border>
      <left style="thin">
        <color indexed="64"/>
      </left>
      <right/>
      <top style="hair">
        <color indexed="64"/>
      </top>
      <bottom style="hair">
        <color indexed="64"/>
      </bottom>
      <diagonal/>
    </border>
    <border>
      <left/>
      <right style="thick">
        <color indexed="64"/>
      </right>
      <top style="hair">
        <color indexed="64"/>
      </top>
      <bottom style="hair">
        <color indexed="64"/>
      </bottom>
      <diagonal/>
    </border>
    <border>
      <left style="thick">
        <color indexed="64"/>
      </left>
      <right style="thick">
        <color indexed="64"/>
      </right>
      <top style="hair">
        <color indexed="64"/>
      </top>
      <bottom style="hair">
        <color indexed="64"/>
      </bottom>
      <diagonal/>
    </border>
    <border>
      <left style="thin">
        <color indexed="64"/>
      </left>
      <right/>
      <top style="hair">
        <color indexed="64"/>
      </top>
      <bottom style="thin">
        <color indexed="64"/>
      </bottom>
      <diagonal/>
    </border>
    <border>
      <left/>
      <right style="thick">
        <color indexed="64"/>
      </right>
      <top style="hair">
        <color indexed="64"/>
      </top>
      <bottom style="thin">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style="thick">
        <color indexed="64"/>
      </left>
      <right/>
      <top style="thick">
        <color indexed="64"/>
      </top>
      <bottom style="thick">
        <color indexed="64"/>
      </bottom>
      <diagonal/>
    </border>
    <border>
      <left/>
      <right style="hair">
        <color indexed="64"/>
      </right>
      <top style="thick">
        <color indexed="64"/>
      </top>
      <bottom style="thick">
        <color indexed="64"/>
      </bottom>
      <diagonal/>
    </border>
    <border>
      <left/>
      <right/>
      <top style="thick">
        <color indexed="64"/>
      </top>
      <bottom style="thick">
        <color indexed="64"/>
      </bottom>
      <diagonal/>
    </border>
    <border>
      <left style="hair">
        <color indexed="64"/>
      </left>
      <right style="thick">
        <color indexed="64"/>
      </right>
      <top style="thick">
        <color indexed="64"/>
      </top>
      <bottom style="thick">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right style="thin">
        <color indexed="64"/>
      </right>
      <top style="hair">
        <color indexed="64"/>
      </top>
      <bottom style="thin">
        <color indexed="64"/>
      </bottom>
      <diagonal/>
    </border>
    <border diagonalDown="1">
      <left style="thin">
        <color indexed="64"/>
      </left>
      <right style="thin">
        <color indexed="64"/>
      </right>
      <top style="thin">
        <color indexed="64"/>
      </top>
      <bottom/>
      <diagonal style="thin">
        <color indexed="64"/>
      </diagonal>
    </border>
    <border>
      <left style="thin">
        <color indexed="64"/>
      </left>
      <right style="thin">
        <color indexed="64"/>
      </right>
      <top style="thin">
        <color indexed="64"/>
      </top>
      <bottom/>
      <diagonal/>
    </border>
    <border diagonalDown="1">
      <left style="thin">
        <color indexed="64"/>
      </left>
      <right style="thin">
        <color indexed="64"/>
      </right>
      <top/>
      <bottom style="thin">
        <color indexed="64"/>
      </bottom>
      <diagonal style="thin">
        <color indexed="64"/>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thin">
        <color indexed="64"/>
      </top>
      <bottom style="thin">
        <color indexed="64"/>
      </bottom>
      <diagonal/>
    </border>
    <border>
      <left style="dashed">
        <color indexed="64"/>
      </left>
      <right style="medium">
        <color indexed="64"/>
      </right>
      <top style="dashed">
        <color indexed="64"/>
      </top>
      <bottom style="thin">
        <color indexed="64"/>
      </bottom>
      <diagonal/>
    </border>
    <border>
      <left style="dashed">
        <color indexed="64"/>
      </left>
      <right style="medium">
        <color indexed="64"/>
      </right>
      <top style="dashed">
        <color indexed="64"/>
      </top>
      <bottom style="dashed">
        <color indexed="64"/>
      </bottom>
      <diagonal/>
    </border>
    <border>
      <left style="medium">
        <color indexed="64"/>
      </left>
      <right style="medium">
        <color indexed="64"/>
      </right>
      <top/>
      <bottom style="thin">
        <color indexed="64"/>
      </bottom>
      <diagonal/>
    </border>
  </borders>
  <cellStyleXfs count="133">
    <xf numFmtId="0" fontId="0" fillId="0" borderId="0">
      <alignment vertical="center"/>
    </xf>
    <xf numFmtId="0" fontId="7" fillId="0" borderId="0"/>
    <xf numFmtId="0" fontId="1" fillId="0" borderId="0">
      <alignment vertical="center"/>
    </xf>
    <xf numFmtId="0" fontId="1" fillId="0" borderId="0">
      <alignment vertical="center"/>
    </xf>
    <xf numFmtId="38" fontId="7" fillId="0" borderId="0" applyFont="0" applyFill="0" applyBorder="0" applyAlignment="0" applyProtection="0">
      <alignment vertical="center"/>
    </xf>
    <xf numFmtId="0" fontId="6" fillId="0" borderId="0">
      <alignment vertical="center"/>
    </xf>
    <xf numFmtId="0" fontId="7" fillId="0" borderId="0">
      <alignment vertical="center"/>
    </xf>
    <xf numFmtId="0" fontId="7" fillId="0" borderId="0"/>
    <xf numFmtId="0" fontId="7" fillId="0" borderId="0">
      <alignment vertical="center"/>
    </xf>
    <xf numFmtId="0" fontId="18" fillId="0" borderId="0"/>
    <xf numFmtId="0" fontId="19" fillId="0" borderId="0" applyNumberFormat="0" applyFill="0" applyBorder="0" applyAlignment="0" applyProtection="0">
      <alignment vertical="top"/>
      <protection locked="0"/>
    </xf>
    <xf numFmtId="0" fontId="1" fillId="0" borderId="0">
      <alignment vertical="center"/>
    </xf>
    <xf numFmtId="0" fontId="6" fillId="0" borderId="0">
      <alignment vertical="center"/>
    </xf>
    <xf numFmtId="0" fontId="7" fillId="0" borderId="0">
      <alignment vertical="center"/>
    </xf>
    <xf numFmtId="0" fontId="6" fillId="0" borderId="0">
      <alignment vertical="center"/>
    </xf>
    <xf numFmtId="0" fontId="1" fillId="0" borderId="0">
      <alignment vertical="center"/>
    </xf>
    <xf numFmtId="0" fontId="1" fillId="0" borderId="0">
      <alignment vertical="center"/>
    </xf>
    <xf numFmtId="0" fontId="17" fillId="0" borderId="0" applyNumberFormat="0" applyFill="0" applyBorder="0" applyAlignment="0" applyProtection="0">
      <alignment vertical="top"/>
      <protection locked="0"/>
    </xf>
    <xf numFmtId="38" fontId="1" fillId="0" borderId="0" applyFont="0" applyFill="0" applyBorder="0" applyAlignment="0" applyProtection="0">
      <alignment vertical="center"/>
    </xf>
    <xf numFmtId="0" fontId="1" fillId="0" borderId="0">
      <alignment vertical="center"/>
    </xf>
    <xf numFmtId="38" fontId="1" fillId="0" borderId="0" applyFont="0" applyFill="0" applyBorder="0" applyAlignment="0" applyProtection="0">
      <alignment vertical="center"/>
    </xf>
    <xf numFmtId="0" fontId="7" fillId="0" borderId="0">
      <alignment vertical="center"/>
    </xf>
    <xf numFmtId="0" fontId="38" fillId="2" borderId="0" applyNumberFormat="0" applyBorder="0" applyProtection="0">
      <alignment vertical="center"/>
    </xf>
    <xf numFmtId="0" fontId="38" fillId="3" borderId="0" applyNumberFormat="0" applyBorder="0" applyProtection="0">
      <alignment vertical="center"/>
    </xf>
    <xf numFmtId="0" fontId="38" fillId="4" borderId="0" applyNumberFormat="0" applyBorder="0" applyProtection="0">
      <alignment vertical="center"/>
    </xf>
    <xf numFmtId="0" fontId="38" fillId="5" borderId="0" applyNumberFormat="0" applyBorder="0" applyProtection="0">
      <alignment vertical="center"/>
    </xf>
    <xf numFmtId="0" fontId="38" fillId="6" borderId="0" applyNumberFormat="0" applyBorder="0" applyProtection="0">
      <alignment vertical="center"/>
    </xf>
    <xf numFmtId="0" fontId="38" fillId="7" borderId="0" applyNumberFormat="0" applyBorder="0" applyProtection="0">
      <alignment vertical="center"/>
    </xf>
    <xf numFmtId="0" fontId="24" fillId="8" borderId="0" applyNumberFormat="0" applyBorder="0" applyProtection="0">
      <alignment vertical="center"/>
    </xf>
    <xf numFmtId="0" fontId="24" fillId="9" borderId="0" applyNumberFormat="0" applyBorder="0" applyProtection="0">
      <alignment vertical="center"/>
    </xf>
    <xf numFmtId="0" fontId="24" fillId="10" borderId="0" applyNumberFormat="0" applyBorder="0" applyProtection="0">
      <alignment vertical="center"/>
    </xf>
    <xf numFmtId="0" fontId="24" fillId="8" borderId="0" applyNumberFormat="0" applyBorder="0" applyProtection="0">
      <alignment vertical="center"/>
    </xf>
    <xf numFmtId="0" fontId="24" fillId="6" borderId="0" applyNumberFormat="0" applyBorder="0" applyProtection="0">
      <alignment vertical="center"/>
    </xf>
    <xf numFmtId="0" fontId="24" fillId="10" borderId="0" applyNumberFormat="0" applyBorder="0" applyProtection="0">
      <alignment vertical="center"/>
    </xf>
    <xf numFmtId="0" fontId="38" fillId="11" borderId="0" applyNumberFormat="0" applyBorder="0" applyProtection="0">
      <alignment vertical="center"/>
    </xf>
    <xf numFmtId="0" fontId="38" fillId="9" borderId="0" applyNumberFormat="0" applyBorder="0" applyProtection="0">
      <alignment vertical="center"/>
    </xf>
    <xf numFmtId="0" fontId="38" fillId="12" borderId="0" applyNumberFormat="0" applyBorder="0" applyProtection="0">
      <alignment vertical="center"/>
    </xf>
    <xf numFmtId="0" fontId="38" fillId="5" borderId="0" applyNumberFormat="0" applyBorder="0" applyProtection="0">
      <alignment vertical="center"/>
    </xf>
    <xf numFmtId="0" fontId="38" fillId="11" borderId="0" applyNumberFormat="0" applyBorder="0" applyProtection="0">
      <alignment vertical="center"/>
    </xf>
    <xf numFmtId="0" fontId="38" fillId="13" borderId="0" applyNumberFormat="0" applyBorder="0" applyProtection="0">
      <alignment vertical="center"/>
    </xf>
    <xf numFmtId="0" fontId="24" fillId="7" borderId="0" applyNumberFormat="0" applyBorder="0" applyProtection="0">
      <alignment vertical="center"/>
    </xf>
    <xf numFmtId="0" fontId="24" fillId="14" borderId="0" applyNumberFormat="0" applyBorder="0" applyProtection="0">
      <alignment vertical="center"/>
    </xf>
    <xf numFmtId="0" fontId="24" fillId="4" borderId="0" applyNumberFormat="0" applyBorder="0" applyProtection="0">
      <alignment vertical="center"/>
    </xf>
    <xf numFmtId="0" fontId="24" fillId="7" borderId="0" applyNumberFormat="0" applyBorder="0" applyProtection="0">
      <alignment vertical="center"/>
    </xf>
    <xf numFmtId="0" fontId="24" fillId="11" borderId="0" applyNumberFormat="0" applyBorder="0" applyProtection="0">
      <alignment vertical="center"/>
    </xf>
    <xf numFmtId="0" fontId="24" fillId="15" borderId="0" applyNumberFormat="0" applyBorder="0" applyProtection="0">
      <alignment vertical="center"/>
    </xf>
    <xf numFmtId="0" fontId="39" fillId="16" borderId="0" applyNumberFormat="0" applyBorder="0" applyProtection="0">
      <alignment vertical="center"/>
    </xf>
    <xf numFmtId="0" fontId="39" fillId="9" borderId="0" applyNumberFormat="0" applyBorder="0" applyProtection="0">
      <alignment vertical="center"/>
    </xf>
    <xf numFmtId="0" fontId="39" fillId="12" borderId="0" applyNumberFormat="0" applyBorder="0" applyProtection="0">
      <alignment vertical="center"/>
    </xf>
    <xf numFmtId="0" fontId="39" fillId="17" borderId="0" applyNumberFormat="0" applyBorder="0" applyProtection="0">
      <alignment vertical="center"/>
    </xf>
    <xf numFmtId="0" fontId="39" fillId="18" borderId="0" applyNumberFormat="0" applyBorder="0" applyProtection="0">
      <alignment vertical="center"/>
    </xf>
    <xf numFmtId="0" fontId="39" fillId="19" borderId="0" applyNumberFormat="0" applyBorder="0" applyProtection="0">
      <alignment vertical="center"/>
    </xf>
    <xf numFmtId="0" fontId="23" fillId="18" borderId="0" applyNumberFormat="0" applyBorder="0" applyProtection="0">
      <alignment vertical="center"/>
    </xf>
    <xf numFmtId="0" fontId="23" fillId="14" borderId="0" applyNumberFormat="0" applyBorder="0" applyProtection="0">
      <alignment vertical="center"/>
    </xf>
    <xf numFmtId="0" fontId="23" fillId="4" borderId="0" applyNumberFormat="0" applyBorder="0" applyProtection="0">
      <alignment vertical="center"/>
    </xf>
    <xf numFmtId="0" fontId="23" fillId="20" borderId="0" applyNumberFormat="0" applyBorder="0" applyProtection="0">
      <alignment vertical="center"/>
    </xf>
    <xf numFmtId="0" fontId="23" fillId="18" borderId="0" applyNumberFormat="0" applyBorder="0" applyProtection="0">
      <alignment vertical="center"/>
    </xf>
    <xf numFmtId="0" fontId="23" fillId="3" borderId="0" applyNumberFormat="0" applyBorder="0" applyProtection="0">
      <alignment vertical="center"/>
    </xf>
    <xf numFmtId="0" fontId="39" fillId="21" borderId="0" applyNumberFormat="0" applyBorder="0" applyProtection="0">
      <alignment vertical="center"/>
    </xf>
    <xf numFmtId="0" fontId="39" fillId="22" borderId="0" applyNumberFormat="0" applyBorder="0" applyProtection="0">
      <alignment vertical="center"/>
    </xf>
    <xf numFmtId="0" fontId="39" fillId="23" borderId="0" applyNumberFormat="0" applyBorder="0" applyProtection="0">
      <alignment vertical="center"/>
    </xf>
    <xf numFmtId="0" fontId="39" fillId="17" borderId="0" applyNumberFormat="0" applyBorder="0" applyProtection="0">
      <alignment vertical="center"/>
    </xf>
    <xf numFmtId="0" fontId="39" fillId="18" borderId="0" applyNumberFormat="0" applyBorder="0" applyProtection="0">
      <alignment vertical="center"/>
    </xf>
    <xf numFmtId="0" fontId="39" fillId="14" borderId="0" applyNumberFormat="0" applyBorder="0" applyProtection="0">
      <alignment vertical="center"/>
    </xf>
    <xf numFmtId="4" fontId="40" fillId="24" borderId="0" applyNumberFormat="0" applyBorder="0" applyAlignment="0" applyProtection="0">
      <alignment horizontal="left"/>
    </xf>
    <xf numFmtId="0" fontId="41" fillId="3" borderId="0" applyNumberFormat="0" applyBorder="0" applyProtection="0">
      <alignment vertical="center"/>
    </xf>
    <xf numFmtId="0" fontId="42" fillId="20" borderId="7" applyNumberFormat="0" applyProtection="0">
      <alignment vertical="center"/>
    </xf>
    <xf numFmtId="0" fontId="43" fillId="25" borderId="8" applyNumberFormat="0" applyProtection="0">
      <alignment vertical="center"/>
    </xf>
    <xf numFmtId="38" fontId="44" fillId="0" borderId="0" applyFont="0" applyFill="0" applyBorder="0" applyAlignment="0" applyProtection="0"/>
    <xf numFmtId="40" fontId="44" fillId="0" borderId="0" applyFont="0" applyFill="0" applyBorder="0" applyAlignment="0" applyProtection="0"/>
    <xf numFmtId="176" fontId="44" fillId="0" borderId="0" applyFont="0" applyFill="0" applyBorder="0" applyAlignment="0" applyProtection="0"/>
    <xf numFmtId="177" fontId="44" fillId="0" borderId="0" applyFont="0" applyFill="0" applyBorder="0" applyAlignment="0" applyProtection="0"/>
    <xf numFmtId="178" fontId="7" fillId="0" borderId="9" applyFont="0"/>
    <xf numFmtId="0" fontId="45" fillId="0" borderId="0" applyNumberFormat="0" applyFill="0" applyBorder="0" applyProtection="0">
      <alignment vertical="center"/>
    </xf>
    <xf numFmtId="0" fontId="46" fillId="4" borderId="0" applyNumberFormat="0" applyBorder="0" applyProtection="0">
      <alignment vertical="center"/>
    </xf>
    <xf numFmtId="0" fontId="47" fillId="0" borderId="10" applyNumberFormat="0" applyFill="0" applyProtection="0">
      <alignment vertical="center"/>
    </xf>
    <xf numFmtId="0" fontId="48" fillId="0" borderId="11" applyNumberFormat="0" applyFill="0" applyProtection="0">
      <alignment vertical="center"/>
    </xf>
    <xf numFmtId="0" fontId="49" fillId="0" borderId="12" applyNumberFormat="0" applyFill="0" applyProtection="0">
      <alignment vertical="center"/>
    </xf>
    <xf numFmtId="0" fontId="49" fillId="0" borderId="0" applyNumberFormat="0" applyFill="0" applyBorder="0" applyProtection="0">
      <alignment vertical="center"/>
    </xf>
    <xf numFmtId="0" fontId="50" fillId="7" borderId="7" applyNumberFormat="0" applyProtection="0">
      <alignment vertical="center"/>
    </xf>
    <xf numFmtId="0" fontId="51" fillId="0" borderId="13" applyNumberFormat="0" applyFill="0" applyProtection="0">
      <alignment vertical="center"/>
    </xf>
    <xf numFmtId="38" fontId="44" fillId="0" borderId="0" applyFont="0" applyFill="0" applyBorder="0" applyAlignment="0" applyProtection="0"/>
    <xf numFmtId="40" fontId="44" fillId="0" borderId="0" applyFont="0" applyFill="0" applyBorder="0" applyAlignment="0" applyProtection="0"/>
    <xf numFmtId="176" fontId="44" fillId="0" borderId="0" applyFont="0" applyFill="0" applyBorder="0" applyAlignment="0" applyProtection="0"/>
    <xf numFmtId="177" fontId="44" fillId="0" borderId="0" applyFont="0" applyFill="0" applyBorder="0" applyAlignment="0" applyProtection="0"/>
    <xf numFmtId="0" fontId="52" fillId="15" borderId="0" applyNumberFormat="0" applyBorder="0" applyProtection="0">
      <alignment vertical="center"/>
    </xf>
    <xf numFmtId="15" fontId="44" fillId="0" borderId="0"/>
    <xf numFmtId="0" fontId="7" fillId="10" borderId="14" applyNumberFormat="0" applyProtection="0">
      <alignment vertical="center"/>
    </xf>
    <xf numFmtId="0" fontId="53" fillId="20" borderId="15" applyNumberFormat="0" applyProtection="0">
      <alignment vertical="center"/>
    </xf>
    <xf numFmtId="0" fontId="54" fillId="0" borderId="0" applyNumberFormat="0" applyFill="0" applyBorder="0" applyProtection="0">
      <alignment vertical="center"/>
    </xf>
    <xf numFmtId="0" fontId="55" fillId="0" borderId="16" applyNumberFormat="0" applyFill="0" applyProtection="0">
      <alignment vertical="center"/>
    </xf>
    <xf numFmtId="0" fontId="56" fillId="0" borderId="0" applyNumberFormat="0" applyFill="0" applyBorder="0" applyProtection="0">
      <alignment vertical="center"/>
    </xf>
    <xf numFmtId="0" fontId="23" fillId="18" borderId="0" applyNumberFormat="0" applyBorder="0" applyProtection="0">
      <alignment vertical="center"/>
    </xf>
    <xf numFmtId="0" fontId="23" fillId="14" borderId="0" applyNumberFormat="0" applyBorder="0" applyProtection="0">
      <alignment vertical="center"/>
    </xf>
    <xf numFmtId="0" fontId="23" fillId="4" borderId="0" applyNumberFormat="0" applyBorder="0" applyProtection="0">
      <alignment vertical="center"/>
    </xf>
    <xf numFmtId="0" fontId="23" fillId="26" borderId="0" applyNumberFormat="0" applyBorder="0" applyProtection="0">
      <alignment vertical="center"/>
    </xf>
    <xf numFmtId="0" fontId="23" fillId="18" borderId="0" applyNumberFormat="0" applyBorder="0" applyProtection="0">
      <alignment vertical="center"/>
    </xf>
    <xf numFmtId="0" fontId="23" fillId="14" borderId="0" applyNumberFormat="0" applyBorder="0" applyProtection="0">
      <alignment vertical="center"/>
    </xf>
    <xf numFmtId="0" fontId="25" fillId="0" borderId="0" applyNumberFormat="0" applyFill="0" applyBorder="0" applyProtection="0">
      <alignment vertical="center"/>
    </xf>
    <xf numFmtId="0" fontId="22" fillId="25" borderId="8" applyNumberFormat="0" applyProtection="0">
      <alignment vertical="center"/>
    </xf>
    <xf numFmtId="0" fontId="7" fillId="0" borderId="0" applyNumberFormat="0" applyFill="0" applyBorder="0" applyProtection="0">
      <alignment vertical="center"/>
    </xf>
    <xf numFmtId="0" fontId="7" fillId="0" borderId="0" applyNumberFormat="0" applyFill="0" applyBorder="0" applyProtection="0">
      <alignment horizontal="left"/>
    </xf>
    <xf numFmtId="0" fontId="26" fillId="15" borderId="0" applyNumberFormat="0" applyBorder="0" applyProtection="0">
      <alignment vertical="center"/>
    </xf>
    <xf numFmtId="0" fontId="21" fillId="0" borderId="0" applyBorder="0" applyAlignment="0"/>
    <xf numFmtId="0" fontId="7" fillId="10" borderId="14" applyNumberFormat="0" applyProtection="0">
      <alignment vertical="center"/>
    </xf>
    <xf numFmtId="0" fontId="27" fillId="0" borderId="13" applyNumberFormat="0" applyFill="0" applyProtection="0">
      <alignment vertical="center"/>
    </xf>
    <xf numFmtId="0" fontId="28" fillId="5" borderId="0" applyNumberFormat="0" applyBorder="0" applyProtection="0">
      <alignment vertical="center"/>
    </xf>
    <xf numFmtId="0" fontId="29" fillId="8" borderId="7" applyNumberFormat="0" applyProtection="0">
      <alignment vertical="center"/>
    </xf>
    <xf numFmtId="0" fontId="30" fillId="0" borderId="0" applyNumberFormat="0" applyFill="0" applyBorder="0" applyProtection="0">
      <alignment vertical="center"/>
    </xf>
    <xf numFmtId="0" fontId="31" fillId="0" borderId="17" applyNumberFormat="0" applyFill="0" applyProtection="0">
      <alignment vertical="center"/>
    </xf>
    <xf numFmtId="0" fontId="32" fillId="0" borderId="11" applyNumberFormat="0" applyFill="0" applyProtection="0">
      <alignment vertical="center"/>
    </xf>
    <xf numFmtId="0" fontId="33" fillId="0" borderId="18" applyNumberFormat="0" applyFill="0" applyProtection="0">
      <alignment vertical="center"/>
    </xf>
    <xf numFmtId="0" fontId="33" fillId="0" borderId="0" applyNumberFormat="0" applyFill="0" applyBorder="0" applyProtection="0">
      <alignment vertical="center"/>
    </xf>
    <xf numFmtId="0" fontId="34" fillId="0" borderId="19" applyNumberFormat="0" applyFill="0" applyProtection="0">
      <alignment vertical="center"/>
    </xf>
    <xf numFmtId="0" fontId="35" fillId="8" borderId="15" applyNumberFormat="0" applyProtection="0">
      <alignment vertical="center"/>
    </xf>
    <xf numFmtId="0" fontId="21" fillId="0" borderId="0" applyFill="0" applyBorder="0">
      <alignment horizontal="left"/>
    </xf>
    <xf numFmtId="0" fontId="36" fillId="0" borderId="0" applyNumberFormat="0" applyFill="0" applyBorder="0" applyProtection="0">
      <alignment vertical="center"/>
    </xf>
    <xf numFmtId="0" fontId="57" fillId="3" borderId="7" applyNumberFormat="0" applyProtection="0">
      <alignment vertical="center"/>
    </xf>
    <xf numFmtId="0" fontId="24" fillId="0" borderId="0">
      <alignment vertical="center"/>
    </xf>
    <xf numFmtId="0" fontId="7" fillId="0" borderId="0"/>
    <xf numFmtId="0" fontId="58" fillId="0" borderId="0"/>
    <xf numFmtId="0" fontId="37" fillId="27" borderId="0" applyNumberFormat="0" applyBorder="0" applyProtection="0">
      <alignment vertical="center"/>
    </xf>
    <xf numFmtId="0" fontId="7" fillId="0" borderId="0"/>
    <xf numFmtId="0" fontId="20" fillId="0" borderId="0" applyBorder="0"/>
    <xf numFmtId="0" fontId="20" fillId="0" borderId="0"/>
    <xf numFmtId="0" fontId="7" fillId="0" borderId="0">
      <alignment vertical="center"/>
    </xf>
    <xf numFmtId="0" fontId="58" fillId="0" borderId="0">
      <alignment vertical="center"/>
    </xf>
    <xf numFmtId="0" fontId="77" fillId="0" borderId="0">
      <alignment vertical="center"/>
    </xf>
    <xf numFmtId="0" fontId="7" fillId="0" borderId="0"/>
    <xf numFmtId="38" fontId="7" fillId="0" borderId="0" applyFont="0" applyFill="0" applyBorder="0" applyAlignment="0" applyProtection="0"/>
    <xf numFmtId="0" fontId="61" fillId="0" borderId="0">
      <alignment vertical="center"/>
    </xf>
    <xf numFmtId="6" fontId="61" fillId="0" borderId="0" applyFont="0" applyFill="0" applyBorder="0" applyAlignment="0" applyProtection="0">
      <alignment vertical="center"/>
    </xf>
    <xf numFmtId="38" fontId="61" fillId="0" borderId="0" applyFont="0" applyFill="0" applyBorder="0" applyAlignment="0" applyProtection="0">
      <alignment vertical="center"/>
    </xf>
  </cellStyleXfs>
  <cellXfs count="951">
    <xf numFmtId="0" fontId="0" fillId="0" borderId="0" xfId="0">
      <alignment vertical="center"/>
    </xf>
    <xf numFmtId="0" fontId="0" fillId="0" borderId="0" xfId="0" applyAlignment="1">
      <alignment horizontal="right" vertical="center"/>
    </xf>
    <xf numFmtId="0" fontId="11" fillId="0" borderId="0" xfId="0" applyFont="1" applyAlignment="1">
      <alignment vertical="center" wrapText="1"/>
    </xf>
    <xf numFmtId="0" fontId="11" fillId="0" borderId="0" xfId="0" applyFont="1">
      <alignment vertical="center"/>
    </xf>
    <xf numFmtId="0" fontId="0" fillId="0" borderId="0" xfId="0" applyAlignment="1">
      <alignment horizontal="left" vertical="center"/>
    </xf>
    <xf numFmtId="0" fontId="14" fillId="0" borderId="0" xfId="0" applyFont="1" applyAlignment="1">
      <alignment horizontal="left" vertical="center" indent="2"/>
    </xf>
    <xf numFmtId="0" fontId="14" fillId="0" borderId="0" xfId="0" applyFont="1" applyAlignment="1">
      <alignment horizontal="right" vertical="center" indent="2"/>
    </xf>
    <xf numFmtId="0" fontId="14" fillId="0" borderId="0" xfId="0" applyFont="1" applyAlignment="1">
      <alignment horizontal="justify" vertical="center"/>
    </xf>
    <xf numFmtId="0" fontId="15" fillId="0" borderId="0" xfId="0" applyFont="1">
      <alignment vertical="center"/>
    </xf>
    <xf numFmtId="0" fontId="14" fillId="0" borderId="1" xfId="0" applyFont="1" applyBorder="1">
      <alignment vertical="center"/>
    </xf>
    <xf numFmtId="0" fontId="14" fillId="0" borderId="0" xfId="0" applyFont="1">
      <alignment vertical="center"/>
    </xf>
    <xf numFmtId="0" fontId="59" fillId="28" borderId="6" xfId="0" applyFont="1" applyFill="1" applyBorder="1">
      <alignment vertical="center"/>
    </xf>
    <xf numFmtId="0" fontId="60" fillId="28" borderId="6" xfId="0" applyFont="1" applyFill="1" applyBorder="1">
      <alignment vertical="center"/>
    </xf>
    <xf numFmtId="0" fontId="62" fillId="28" borderId="6" xfId="0" applyFont="1" applyFill="1" applyBorder="1">
      <alignment vertical="center"/>
    </xf>
    <xf numFmtId="0" fontId="9" fillId="0" borderId="0" xfId="0" applyFont="1" applyAlignment="1">
      <alignment horizontal="left" vertical="center"/>
    </xf>
    <xf numFmtId="0" fontId="8" fillId="0" borderId="0" xfId="0" applyFont="1" applyAlignment="1">
      <alignment horizontal="left" vertical="center"/>
    </xf>
    <xf numFmtId="0" fontId="14" fillId="0" borderId="0" xfId="0" applyFont="1" applyAlignment="1">
      <alignment horizontal="right"/>
    </xf>
    <xf numFmtId="0" fontId="14" fillId="0" borderId="24" xfId="0" applyFont="1" applyBorder="1" applyAlignment="1">
      <alignment horizontal="left" vertical="center" indent="2"/>
    </xf>
    <xf numFmtId="0" fontId="4" fillId="0" borderId="0" xfId="0" applyFont="1" applyAlignment="1">
      <alignment horizontal="right" vertical="center"/>
    </xf>
    <xf numFmtId="0" fontId="58" fillId="0" borderId="0" xfId="126">
      <alignment vertical="center"/>
    </xf>
    <xf numFmtId="0" fontId="63" fillId="0" borderId="0" xfId="126" applyFont="1">
      <alignment vertical="center"/>
    </xf>
    <xf numFmtId="0" fontId="64" fillId="0" borderId="27" xfId="126" applyFont="1" applyBorder="1" applyAlignment="1">
      <alignment horizontal="center" vertical="center" wrapText="1"/>
    </xf>
    <xf numFmtId="0" fontId="64" fillId="0" borderId="28" xfId="126" applyFont="1" applyBorder="1" applyAlignment="1">
      <alignment horizontal="center" vertical="center" wrapText="1"/>
    </xf>
    <xf numFmtId="0" fontId="64" fillId="0" borderId="29" xfId="126" applyFont="1" applyBorder="1" applyAlignment="1">
      <alignment horizontal="center" vertical="center" wrapText="1"/>
    </xf>
    <xf numFmtId="14" fontId="65" fillId="0" borderId="30" xfId="126" applyNumberFormat="1" applyFont="1" applyBorder="1">
      <alignment vertical="center"/>
    </xf>
    <xf numFmtId="0" fontId="65" fillId="0" borderId="31" xfId="126" applyFont="1" applyBorder="1" applyAlignment="1">
      <alignment horizontal="center" vertical="center"/>
    </xf>
    <xf numFmtId="0" fontId="65" fillId="0" borderId="31" xfId="126" applyFont="1" applyBorder="1">
      <alignment vertical="center"/>
    </xf>
    <xf numFmtId="0" fontId="66" fillId="0" borderId="32" xfId="126" applyFont="1" applyBorder="1" applyAlignment="1">
      <alignment horizontal="center" vertical="center" shrinkToFit="1"/>
    </xf>
    <xf numFmtId="14" fontId="65" fillId="0" borderId="9" xfId="126" applyNumberFormat="1" applyFont="1" applyBorder="1">
      <alignment vertical="center"/>
    </xf>
    <xf numFmtId="0" fontId="65" fillId="0" borderId="26" xfId="126" applyFont="1" applyBorder="1" applyAlignment="1">
      <alignment horizontal="center" vertical="center"/>
    </xf>
    <xf numFmtId="0" fontId="65" fillId="0" borderId="26" xfId="126" applyFont="1" applyBorder="1" applyAlignment="1">
      <alignment vertical="center" wrapText="1"/>
    </xf>
    <xf numFmtId="0" fontId="66" fillId="0" borderId="33" xfId="126" applyFont="1" applyBorder="1" applyAlignment="1">
      <alignment horizontal="center" vertical="center" shrinkToFit="1"/>
    </xf>
    <xf numFmtId="14" fontId="67" fillId="0" borderId="9" xfId="126" applyNumberFormat="1" applyFont="1" applyBorder="1">
      <alignment vertical="center"/>
    </xf>
    <xf numFmtId="0" fontId="67" fillId="0" borderId="26" xfId="126" applyFont="1" applyBorder="1" applyAlignment="1">
      <alignment horizontal="center" vertical="center"/>
    </xf>
    <xf numFmtId="0" fontId="67" fillId="0" borderId="26" xfId="126" applyFont="1" applyBorder="1" applyAlignment="1">
      <alignment vertical="center" wrapText="1"/>
    </xf>
    <xf numFmtId="0" fontId="68" fillId="0" borderId="33" xfId="126" applyFont="1" applyBorder="1" applyAlignment="1">
      <alignment horizontal="center" vertical="center" shrinkToFit="1"/>
    </xf>
    <xf numFmtId="0" fontId="14" fillId="0" borderId="0" xfId="0" applyFont="1" applyAlignment="1">
      <alignment horizontal="right" vertical="center"/>
    </xf>
    <xf numFmtId="0" fontId="14" fillId="0" borderId="0" xfId="0" applyFont="1" applyAlignment="1">
      <alignment horizontal="center" vertical="center"/>
    </xf>
    <xf numFmtId="0" fontId="16" fillId="0" borderId="0" xfId="0" applyFont="1" applyAlignment="1">
      <alignment vertical="center" wrapText="1"/>
    </xf>
    <xf numFmtId="0" fontId="0" fillId="0" borderId="0" xfId="0" applyAlignment="1">
      <alignment horizontal="center" vertical="center"/>
    </xf>
    <xf numFmtId="0" fontId="8" fillId="0" borderId="20" xfId="0" applyFont="1" applyBorder="1" applyAlignment="1">
      <alignment vertical="top"/>
    </xf>
    <xf numFmtId="0" fontId="15" fillId="0" borderId="21" xfId="0" applyFont="1" applyBorder="1">
      <alignment vertical="center"/>
    </xf>
    <xf numFmtId="0" fontId="15" fillId="0" borderId="21" xfId="0" applyFont="1" applyFill="1" applyBorder="1" applyAlignment="1">
      <alignment vertical="center"/>
    </xf>
    <xf numFmtId="0" fontId="8" fillId="0" borderId="23" xfId="0" applyFont="1" applyBorder="1" applyAlignment="1">
      <alignment vertical="top"/>
    </xf>
    <xf numFmtId="0" fontId="8" fillId="0" borderId="24" xfId="0" applyFont="1" applyBorder="1" applyAlignment="1">
      <alignment vertical="top" wrapText="1"/>
    </xf>
    <xf numFmtId="0" fontId="15" fillId="0" borderId="2" xfId="0" applyFont="1" applyBorder="1">
      <alignment vertical="center"/>
    </xf>
    <xf numFmtId="0" fontId="15" fillId="0" borderId="1" xfId="0" applyFont="1" applyBorder="1">
      <alignment vertical="center"/>
    </xf>
    <xf numFmtId="0" fontId="15" fillId="0" borderId="3" xfId="0" applyFont="1" applyBorder="1" applyAlignment="1">
      <alignment horizontal="right" vertical="center"/>
    </xf>
    <xf numFmtId="0" fontId="8" fillId="0" borderId="4" xfId="0" applyFont="1" applyBorder="1" applyAlignment="1">
      <alignment horizontal="left" vertical="top" wrapText="1"/>
    </xf>
    <xf numFmtId="0" fontId="8" fillId="0" borderId="0" xfId="0" applyFont="1" applyAlignment="1">
      <alignment horizontal="left" vertical="top" wrapText="1"/>
    </xf>
    <xf numFmtId="0" fontId="8" fillId="0" borderId="5" xfId="0" applyFont="1" applyBorder="1" applyAlignment="1">
      <alignment horizontal="left" vertical="top" wrapText="1"/>
    </xf>
    <xf numFmtId="0" fontId="8" fillId="0" borderId="4" xfId="0" applyFont="1" applyBorder="1" applyAlignment="1">
      <alignment horizontal="justify" vertical="top" wrapText="1"/>
    </xf>
    <xf numFmtId="0" fontId="8" fillId="0" borderId="0" xfId="0" applyFont="1" applyAlignment="1">
      <alignment horizontal="justify" vertical="top" wrapText="1"/>
    </xf>
    <xf numFmtId="0" fontId="8" fillId="0" borderId="5" xfId="0" applyFont="1" applyBorder="1" applyAlignment="1">
      <alignment horizontal="right" vertical="top" wrapText="1"/>
    </xf>
    <xf numFmtId="0" fontId="15" fillId="0" borderId="4" xfId="0" applyFont="1" applyBorder="1" applyAlignment="1">
      <alignment vertical="top" wrapText="1"/>
    </xf>
    <xf numFmtId="0" fontId="15" fillId="0" borderId="0" xfId="0" applyFont="1" applyAlignment="1">
      <alignment vertical="top" wrapText="1"/>
    </xf>
    <xf numFmtId="0" fontId="15" fillId="0" borderId="5" xfId="0" applyFont="1" applyBorder="1" applyAlignment="1">
      <alignment horizontal="right" vertical="top" wrapText="1"/>
    </xf>
    <xf numFmtId="0" fontId="8" fillId="0" borderId="0" xfId="0" applyFont="1" applyBorder="1" applyAlignment="1">
      <alignment horizontal="left" vertical="top" wrapText="1"/>
    </xf>
    <xf numFmtId="0" fontId="8" fillId="0" borderId="2" xfId="0" applyFont="1" applyBorder="1" applyAlignment="1">
      <alignment horizontal="left" vertical="top" wrapText="1"/>
    </xf>
    <xf numFmtId="0" fontId="8" fillId="0" borderId="1" xfId="0" applyFont="1" applyBorder="1" applyAlignment="1">
      <alignment horizontal="left" vertical="top" wrapText="1"/>
    </xf>
    <xf numFmtId="0" fontId="8" fillId="0" borderId="3" xfId="0" applyFont="1" applyBorder="1" applyAlignment="1">
      <alignment horizontal="left" vertical="top" wrapText="1"/>
    </xf>
    <xf numFmtId="0" fontId="15" fillId="0" borderId="0" xfId="0" applyFont="1" applyBorder="1" applyAlignment="1">
      <alignment horizontal="left" vertical="top" wrapText="1"/>
    </xf>
    <xf numFmtId="0" fontId="14" fillId="0" borderId="0" xfId="0" applyFont="1" applyBorder="1">
      <alignment vertical="center"/>
    </xf>
    <xf numFmtId="0" fontId="13" fillId="0" borderId="0" xfId="0" applyFont="1" applyBorder="1" applyAlignment="1">
      <alignment horizontal="center"/>
    </xf>
    <xf numFmtId="0" fontId="10" fillId="0" borderId="5" xfId="0" applyFont="1" applyBorder="1" applyAlignment="1">
      <alignment horizontal="center" vertical="center" wrapText="1"/>
    </xf>
    <xf numFmtId="0" fontId="10" fillId="0" borderId="4" xfId="0" applyFont="1" applyBorder="1" applyAlignment="1">
      <alignment vertical="top" wrapText="1"/>
    </xf>
    <xf numFmtId="0" fontId="10" fillId="0" borderId="1" xfId="0" applyFont="1" applyBorder="1" applyAlignment="1">
      <alignment vertical="center" wrapText="1"/>
    </xf>
    <xf numFmtId="0" fontId="10" fillId="0" borderId="5" xfId="0" applyFont="1" applyBorder="1" applyAlignment="1">
      <alignment vertical="top" wrapText="1"/>
    </xf>
    <xf numFmtId="0" fontId="10" fillId="0" borderId="24" xfId="0" applyFont="1" applyBorder="1" applyAlignment="1">
      <alignment vertical="center" wrapText="1"/>
    </xf>
    <xf numFmtId="0" fontId="0" fillId="0" borderId="1" xfId="0" applyBorder="1">
      <alignment vertical="center"/>
    </xf>
    <xf numFmtId="0" fontId="0" fillId="0" borderId="0" xfId="0" applyBorder="1">
      <alignment vertical="center"/>
    </xf>
    <xf numFmtId="0" fontId="0" fillId="0" borderId="21" xfId="0" applyBorder="1">
      <alignment vertical="center"/>
    </xf>
    <xf numFmtId="0" fontId="72" fillId="0" borderId="1" xfId="0" applyFont="1" applyBorder="1" applyAlignment="1"/>
    <xf numFmtId="0" fontId="0" fillId="0" borderId="0" xfId="0" applyFont="1">
      <alignment vertical="center"/>
    </xf>
    <xf numFmtId="0" fontId="0" fillId="0" borderId="0" xfId="0" applyFont="1" applyAlignment="1">
      <alignment horizontal="right" vertical="center"/>
    </xf>
    <xf numFmtId="0" fontId="14" fillId="0" borderId="0" xfId="0" applyFont="1" applyAlignment="1">
      <alignment horizontal="left" vertical="center"/>
    </xf>
    <xf numFmtId="0" fontId="8" fillId="0" borderId="0" xfId="0" applyFont="1" applyFill="1" applyBorder="1" applyAlignment="1">
      <alignment horizontal="right" wrapText="1"/>
    </xf>
    <xf numFmtId="14" fontId="0" fillId="0" borderId="0" xfId="0" applyNumberFormat="1">
      <alignment vertical="center"/>
    </xf>
    <xf numFmtId="0" fontId="0" fillId="0" borderId="0" xfId="0" quotePrefix="1">
      <alignment vertical="center"/>
    </xf>
    <xf numFmtId="0" fontId="5" fillId="0" borderId="0" xfId="0" applyFont="1" applyAlignment="1">
      <alignment horizontal="left" vertical="center" wrapText="1"/>
    </xf>
    <xf numFmtId="0" fontId="16" fillId="0" borderId="0" xfId="0" applyFont="1" applyAlignment="1">
      <alignment vertical="center" wrapText="1"/>
    </xf>
    <xf numFmtId="0" fontId="8" fillId="0" borderId="4" xfId="0" applyFont="1" applyBorder="1" applyAlignment="1">
      <alignment horizontal="left" vertical="top" wrapText="1"/>
    </xf>
    <xf numFmtId="0" fontId="8" fillId="0" borderId="0" xfId="0" applyFont="1" applyAlignment="1">
      <alignment horizontal="left" vertical="top" wrapText="1"/>
    </xf>
    <xf numFmtId="0" fontId="8" fillId="0" borderId="5" xfId="0" applyFont="1" applyBorder="1" applyAlignment="1">
      <alignment horizontal="left" vertical="top" wrapText="1"/>
    </xf>
    <xf numFmtId="0" fontId="8" fillId="0" borderId="0" xfId="0" applyFont="1" applyBorder="1" applyAlignment="1">
      <alignment horizontal="left" vertical="top" wrapText="1"/>
    </xf>
    <xf numFmtId="0" fontId="8" fillId="0" borderId="0" xfId="0" applyFont="1" applyBorder="1" applyAlignment="1">
      <alignment horizontal="left" vertical="top" wrapText="1"/>
    </xf>
    <xf numFmtId="0" fontId="9" fillId="0" borderId="0" xfId="0" applyFont="1" applyAlignment="1">
      <alignment horizontal="left" vertical="center"/>
    </xf>
    <xf numFmtId="0" fontId="8" fillId="0" borderId="0" xfId="0" applyFont="1" applyFill="1" applyBorder="1" applyAlignment="1">
      <alignment horizontal="right" wrapText="1"/>
    </xf>
    <xf numFmtId="0" fontId="8" fillId="0" borderId="4" xfId="0" applyFont="1" applyFill="1" applyBorder="1" applyAlignment="1">
      <alignment horizontal="left" vertical="top" wrapText="1"/>
    </xf>
    <xf numFmtId="0" fontId="8" fillId="0" borderId="0" xfId="0" applyFont="1" applyFill="1" applyBorder="1" applyAlignment="1">
      <alignment horizontal="left" vertical="top" wrapText="1"/>
    </xf>
    <xf numFmtId="0" fontId="8" fillId="0" borderId="23" xfId="0" applyFont="1" applyBorder="1" applyAlignment="1">
      <alignment horizontal="left" vertical="top" wrapText="1"/>
    </xf>
    <xf numFmtId="0" fontId="8" fillId="0" borderId="24" xfId="0" applyFont="1" applyBorder="1" applyAlignment="1">
      <alignment horizontal="left" vertical="top" wrapText="1"/>
    </xf>
    <xf numFmtId="0" fontId="8" fillId="0" borderId="25" xfId="0" applyFont="1" applyBorder="1" applyAlignment="1">
      <alignment horizontal="left" vertical="top" wrapText="1"/>
    </xf>
    <xf numFmtId="0" fontId="8" fillId="0" borderId="1" xfId="0" applyFont="1" applyFill="1" applyBorder="1" applyAlignment="1">
      <alignment horizontal="left" vertical="top" wrapText="1"/>
    </xf>
    <xf numFmtId="0" fontId="8" fillId="0" borderId="5" xfId="0" applyFont="1" applyFill="1" applyBorder="1" applyAlignment="1">
      <alignment horizontal="left" vertical="top" wrapText="1"/>
    </xf>
    <xf numFmtId="0" fontId="8" fillId="0" borderId="24" xfId="0" applyFont="1" applyFill="1" applyBorder="1" applyAlignment="1">
      <alignment horizontal="left" vertical="top" wrapText="1"/>
    </xf>
    <xf numFmtId="0" fontId="0" fillId="0" borderId="21" xfId="0" applyFill="1" applyBorder="1" applyAlignment="1">
      <alignment vertical="center"/>
    </xf>
    <xf numFmtId="0" fontId="76" fillId="0" borderId="0" xfId="0" applyFont="1" applyAlignment="1">
      <alignment vertical="top"/>
    </xf>
    <xf numFmtId="0" fontId="15" fillId="0" borderId="0" xfId="0" applyFont="1" applyBorder="1" applyAlignment="1">
      <alignment horizontal="left" vertical="center" wrapText="1"/>
    </xf>
    <xf numFmtId="0" fontId="77" fillId="0" borderId="0" xfId="127">
      <alignment vertical="center"/>
    </xf>
    <xf numFmtId="0" fontId="6" fillId="0" borderId="0" xfId="127" applyFont="1">
      <alignment vertical="center"/>
    </xf>
    <xf numFmtId="0" fontId="92" fillId="0" borderId="0" xfId="127" applyFont="1" applyAlignment="1">
      <alignment horizontal="left" vertical="center" wrapText="1"/>
    </xf>
    <xf numFmtId="0" fontId="86" fillId="0" borderId="0" xfId="127" applyFont="1" applyAlignment="1">
      <alignment horizontal="justify" vertical="center"/>
    </xf>
    <xf numFmtId="0" fontId="97" fillId="0" borderId="0" xfId="127" applyFont="1" applyAlignment="1">
      <alignment horizontal="justify" vertical="center"/>
    </xf>
    <xf numFmtId="0" fontId="98" fillId="0" borderId="0" xfId="127" applyFont="1" applyAlignment="1">
      <alignment horizontal="justify" vertical="center"/>
    </xf>
    <xf numFmtId="0" fontId="99" fillId="0" borderId="0" xfId="127" applyFont="1" applyAlignment="1">
      <alignment horizontal="justify" vertical="center"/>
    </xf>
    <xf numFmtId="0" fontId="59" fillId="0" borderId="0" xfId="0" applyFont="1" applyAlignment="1">
      <alignment horizontal="right" vertical="center"/>
    </xf>
    <xf numFmtId="0" fontId="100" fillId="0" borderId="0" xfId="0" applyFont="1" applyAlignment="1">
      <alignment horizontal="center" vertical="center"/>
    </xf>
    <xf numFmtId="0" fontId="13" fillId="0" borderId="1" xfId="0" applyFont="1" applyBorder="1">
      <alignment vertical="center"/>
    </xf>
    <xf numFmtId="0" fontId="0" fillId="0" borderId="44" xfId="0" applyBorder="1">
      <alignment vertical="center"/>
    </xf>
    <xf numFmtId="0" fontId="14" fillId="0" borderId="0" xfId="0" applyFont="1" applyAlignment="1">
      <alignment vertical="center" wrapText="1"/>
    </xf>
    <xf numFmtId="0" fontId="75" fillId="0" borderId="0" xfId="0" applyFont="1" applyAlignment="1">
      <alignment vertical="center" wrapText="1"/>
    </xf>
    <xf numFmtId="0" fontId="102" fillId="0" borderId="0" xfId="0" applyFont="1" applyAlignment="1">
      <alignment horizontal="center" vertical="center" wrapText="1"/>
    </xf>
    <xf numFmtId="0" fontId="103" fillId="0" borderId="0" xfId="0" applyFont="1" applyAlignment="1">
      <alignment vertical="center" wrapText="1"/>
    </xf>
    <xf numFmtId="0" fontId="75" fillId="0" borderId="0" xfId="0" applyFont="1" applyAlignment="1">
      <alignment horizontal="center" vertical="center" wrapText="1"/>
    </xf>
    <xf numFmtId="0" fontId="104" fillId="0" borderId="0" xfId="0" applyFont="1" applyAlignment="1">
      <alignment vertical="center" wrapText="1"/>
    </xf>
    <xf numFmtId="0" fontId="103" fillId="29" borderId="0" xfId="0" applyFont="1" applyFill="1" applyAlignment="1">
      <alignment vertical="center" wrapText="1"/>
    </xf>
    <xf numFmtId="0" fontId="14" fillId="29" borderId="48" xfId="0" applyFont="1" applyFill="1" applyBorder="1" applyAlignment="1">
      <alignment vertical="center" wrapText="1"/>
    </xf>
    <xf numFmtId="0" fontId="14" fillId="29" borderId="49" xfId="0" applyFont="1" applyFill="1" applyBorder="1" applyAlignment="1">
      <alignment vertical="center" wrapText="1"/>
    </xf>
    <xf numFmtId="0" fontId="75" fillId="29" borderId="48" xfId="0" applyFont="1" applyFill="1" applyBorder="1" applyAlignment="1">
      <alignment vertical="center" wrapText="1"/>
    </xf>
    <xf numFmtId="0" fontId="14" fillId="29" borderId="0" xfId="0" applyFont="1" applyFill="1" applyAlignment="1">
      <alignment vertical="center" wrapText="1"/>
    </xf>
    <xf numFmtId="0" fontId="14" fillId="29" borderId="54" xfId="0" applyFont="1" applyFill="1" applyBorder="1" applyAlignment="1">
      <alignment vertical="center" wrapText="1"/>
    </xf>
    <xf numFmtId="0" fontId="14" fillId="29" borderId="53" xfId="0" applyFont="1" applyFill="1" applyBorder="1" applyAlignment="1">
      <alignment vertical="center" wrapText="1"/>
    </xf>
    <xf numFmtId="0" fontId="14" fillId="29" borderId="4" xfId="0" applyFont="1" applyFill="1" applyBorder="1" applyAlignment="1">
      <alignment vertical="center" wrapText="1"/>
    </xf>
    <xf numFmtId="0" fontId="14" fillId="29" borderId="55" xfId="0" applyFont="1" applyFill="1" applyBorder="1" applyAlignment="1">
      <alignment vertical="center" wrapText="1"/>
    </xf>
    <xf numFmtId="0" fontId="14" fillId="29" borderId="1" xfId="0" applyFont="1" applyFill="1" applyBorder="1" applyAlignment="1">
      <alignment vertical="center" wrapText="1"/>
    </xf>
    <xf numFmtId="0" fontId="14" fillId="29" borderId="2" xfId="0" applyFont="1" applyFill="1" applyBorder="1" applyAlignment="1">
      <alignment vertical="center" wrapText="1"/>
    </xf>
    <xf numFmtId="0" fontId="14" fillId="29" borderId="56" xfId="0" applyFont="1" applyFill="1" applyBorder="1" applyAlignment="1">
      <alignment vertical="center" wrapText="1"/>
    </xf>
    <xf numFmtId="0" fontId="14" fillId="29" borderId="61" xfId="0" applyFont="1" applyFill="1" applyBorder="1" applyAlignment="1">
      <alignment vertical="center" wrapText="1"/>
    </xf>
    <xf numFmtId="0" fontId="75" fillId="29" borderId="62" xfId="0" applyFont="1" applyFill="1" applyBorder="1" applyAlignment="1"/>
    <xf numFmtId="0" fontId="75" fillId="29" borderId="62" xfId="0" applyFont="1" applyFill="1" applyBorder="1" applyAlignment="1">
      <alignment wrapText="1"/>
    </xf>
    <xf numFmtId="0" fontId="14" fillId="29" borderId="63" xfId="0" applyFont="1" applyFill="1" applyBorder="1" applyAlignment="1">
      <alignment vertical="center" wrapText="1"/>
    </xf>
    <xf numFmtId="0" fontId="14" fillId="29" borderId="62" xfId="0" applyFont="1" applyFill="1" applyBorder="1" applyAlignment="1">
      <alignment vertical="center" wrapText="1"/>
    </xf>
    <xf numFmtId="0" fontId="75" fillId="29" borderId="62" xfId="0" applyFont="1" applyFill="1" applyBorder="1" applyAlignment="1">
      <alignment vertical="center" wrapText="1"/>
    </xf>
    <xf numFmtId="0" fontId="75" fillId="0" borderId="76" xfId="0" applyFont="1" applyBorder="1" applyAlignment="1">
      <alignment vertical="center" wrapText="1"/>
    </xf>
    <xf numFmtId="0" fontId="14" fillId="29" borderId="64" xfId="0" applyFont="1" applyFill="1" applyBorder="1" applyAlignment="1">
      <alignment vertical="center" wrapText="1"/>
    </xf>
    <xf numFmtId="0" fontId="75" fillId="29" borderId="71" xfId="0" applyFont="1" applyFill="1" applyBorder="1" applyAlignment="1">
      <alignment vertical="center" wrapText="1"/>
    </xf>
    <xf numFmtId="0" fontId="75" fillId="29" borderId="72" xfId="0" applyFont="1" applyFill="1" applyBorder="1" applyAlignment="1">
      <alignment vertical="center" wrapText="1"/>
    </xf>
    <xf numFmtId="0" fontId="75" fillId="0" borderId="48" xfId="0" applyFont="1" applyBorder="1" applyAlignment="1">
      <alignment vertical="center" wrapText="1"/>
    </xf>
    <xf numFmtId="0" fontId="75" fillId="0" borderId="48" xfId="0" applyFont="1" applyBorder="1" applyAlignment="1">
      <alignment horizontal="center" vertical="center" wrapText="1"/>
    </xf>
    <xf numFmtId="0" fontId="75" fillId="0" borderId="84" xfId="0" applyFont="1" applyBorder="1" applyAlignment="1">
      <alignment vertical="center" wrapText="1"/>
    </xf>
    <xf numFmtId="0" fontId="14" fillId="0" borderId="77" xfId="0" applyFont="1" applyBorder="1" applyAlignment="1">
      <alignment vertical="center" wrapText="1"/>
    </xf>
    <xf numFmtId="0" fontId="14" fillId="0" borderId="85" xfId="0" applyFont="1" applyBorder="1" applyAlignment="1">
      <alignment vertical="center" wrapText="1"/>
    </xf>
    <xf numFmtId="0" fontId="75" fillId="0" borderId="78" xfId="0" applyFont="1" applyBorder="1" applyAlignment="1">
      <alignment vertical="center" wrapText="1"/>
    </xf>
    <xf numFmtId="0" fontId="75" fillId="0" borderId="79" xfId="0" applyFont="1" applyBorder="1" applyAlignment="1">
      <alignment vertical="center" wrapText="1"/>
    </xf>
    <xf numFmtId="0" fontId="14" fillId="0" borderId="90" xfId="0" applyFont="1" applyBorder="1" applyAlignment="1">
      <alignment vertical="top" wrapText="1"/>
    </xf>
    <xf numFmtId="0" fontId="14" fillId="0" borderId="46" xfId="0" applyFont="1" applyBorder="1" applyAlignment="1">
      <alignment vertical="top" wrapText="1"/>
    </xf>
    <xf numFmtId="0" fontId="14" fillId="0" borderId="65" xfId="0" applyFont="1" applyBorder="1" applyAlignment="1">
      <alignment vertical="top" wrapText="1"/>
    </xf>
    <xf numFmtId="0" fontId="14" fillId="0" borderId="94" xfId="0" applyFont="1" applyBorder="1" applyAlignment="1">
      <alignment vertical="top" wrapText="1"/>
    </xf>
    <xf numFmtId="0" fontId="14" fillId="0" borderId="0" xfId="0" applyFont="1" applyAlignment="1">
      <alignment vertical="top" wrapText="1"/>
    </xf>
    <xf numFmtId="0" fontId="14" fillId="0" borderId="68" xfId="0" applyFont="1" applyBorder="1" applyAlignment="1">
      <alignment vertical="top" wrapText="1"/>
    </xf>
    <xf numFmtId="0" fontId="75" fillId="0" borderId="69" xfId="0" applyFont="1" applyBorder="1" applyAlignment="1">
      <alignment vertical="center" wrapText="1"/>
    </xf>
    <xf numFmtId="0" fontId="75" fillId="0" borderId="60" xfId="0" applyFont="1" applyBorder="1" applyAlignment="1">
      <alignment vertical="center" wrapText="1"/>
    </xf>
    <xf numFmtId="0" fontId="14" fillId="0" borderId="68" xfId="0" applyFont="1" applyBorder="1" applyAlignment="1">
      <alignment vertical="center" wrapText="1"/>
    </xf>
    <xf numFmtId="0" fontId="14" fillId="0" borderId="52" xfId="0" applyFont="1" applyBorder="1" applyAlignment="1">
      <alignment vertical="center" wrapText="1"/>
    </xf>
    <xf numFmtId="0" fontId="105" fillId="0" borderId="0" xfId="0" applyFont="1" applyAlignment="1">
      <alignment vertical="center" wrapText="1"/>
    </xf>
    <xf numFmtId="0" fontId="106" fillId="0" borderId="0" xfId="0" applyFont="1" applyAlignment="1">
      <alignment vertical="center" wrapText="1"/>
    </xf>
    <xf numFmtId="0" fontId="106" fillId="0" borderId="37" xfId="0" applyFont="1" applyBorder="1" applyAlignment="1">
      <alignment vertical="center" wrapText="1"/>
    </xf>
    <xf numFmtId="0" fontId="110" fillId="0" borderId="39" xfId="0" applyFont="1" applyBorder="1" applyAlignment="1">
      <alignment vertical="center" wrapText="1"/>
    </xf>
    <xf numFmtId="0" fontId="110" fillId="0" borderId="40" xfId="0" applyFont="1" applyBorder="1" applyAlignment="1">
      <alignment vertical="center" wrapText="1"/>
    </xf>
    <xf numFmtId="0" fontId="111" fillId="0" borderId="43" xfId="0" applyFont="1" applyBorder="1" applyAlignment="1">
      <alignment vertical="center" wrapText="1"/>
    </xf>
    <xf numFmtId="0" fontId="107" fillId="0" borderId="121" xfId="0" applyFont="1" applyBorder="1" applyAlignment="1">
      <alignment horizontal="center" vertical="center" wrapText="1"/>
    </xf>
    <xf numFmtId="0" fontId="107" fillId="0" borderId="99" xfId="0" applyFont="1" applyBorder="1" applyAlignment="1">
      <alignment horizontal="center" vertical="center" wrapText="1"/>
    </xf>
    <xf numFmtId="0" fontId="107" fillId="0" borderId="125" xfId="0" applyFont="1" applyBorder="1" applyAlignment="1">
      <alignment horizontal="center" vertical="center" wrapText="1"/>
    </xf>
    <xf numFmtId="0" fontId="107" fillId="0" borderId="126" xfId="0" applyFont="1" applyBorder="1" applyAlignment="1">
      <alignment vertical="center" wrapText="1"/>
    </xf>
    <xf numFmtId="0" fontId="106" fillId="0" borderId="102" xfId="0" applyFont="1" applyBorder="1" applyAlignment="1">
      <alignment vertical="center" wrapText="1"/>
    </xf>
    <xf numFmtId="0" fontId="115" fillId="0" borderId="0" xfId="0" applyFont="1" applyAlignment="1">
      <alignment horizontal="center" vertical="center" wrapText="1"/>
    </xf>
    <xf numFmtId="0" fontId="113" fillId="0" borderId="0" xfId="0" applyFont="1" applyAlignment="1">
      <alignment vertical="center" wrapText="1"/>
    </xf>
    <xf numFmtId="0" fontId="106" fillId="0" borderId="129" xfId="0" applyFont="1" applyBorder="1" applyAlignment="1">
      <alignment vertical="center" wrapText="1"/>
    </xf>
    <xf numFmtId="0" fontId="107" fillId="0" borderId="39" xfId="0" applyFont="1" applyBorder="1" applyAlignment="1">
      <alignment vertical="center" wrapText="1"/>
    </xf>
    <xf numFmtId="0" fontId="107" fillId="0" borderId="126" xfId="0" applyFont="1" applyBorder="1" applyAlignment="1">
      <alignment horizontal="center" vertical="center" wrapText="1"/>
    </xf>
    <xf numFmtId="0" fontId="107" fillId="0" borderId="121" xfId="0" applyFont="1" applyBorder="1" applyAlignment="1">
      <alignment vertical="center" wrapText="1"/>
    </xf>
    <xf numFmtId="0" fontId="109" fillId="0" borderId="142" xfId="0" applyFont="1" applyBorder="1" applyAlignment="1">
      <alignment horizontal="center" vertical="center" wrapText="1"/>
    </xf>
    <xf numFmtId="0" fontId="109" fillId="0" borderId="143" xfId="0" applyFont="1" applyBorder="1" applyAlignment="1">
      <alignment horizontal="center" vertical="center" wrapText="1"/>
    </xf>
    <xf numFmtId="0" fontId="109" fillId="0" borderId="144" xfId="0" applyFont="1" applyBorder="1" applyAlignment="1">
      <alignment horizontal="center" vertical="center" wrapText="1"/>
    </xf>
    <xf numFmtId="0" fontId="109" fillId="0" borderId="126" xfId="0" applyFont="1" applyBorder="1" applyAlignment="1">
      <alignment horizontal="center" vertical="center" wrapText="1"/>
    </xf>
    <xf numFmtId="0" fontId="109" fillId="0" borderId="121" xfId="0" applyFont="1" applyBorder="1" applyAlignment="1">
      <alignment horizontal="center" vertical="center" wrapText="1"/>
    </xf>
    <xf numFmtId="0" fontId="109" fillId="0" borderId="0" xfId="0" applyFont="1" applyAlignment="1">
      <alignment vertical="top" wrapText="1"/>
    </xf>
    <xf numFmtId="0" fontId="111" fillId="0" borderId="0" xfId="0" applyFont="1" applyAlignment="1">
      <alignment vertical="top" wrapText="1"/>
    </xf>
    <xf numFmtId="0" fontId="109" fillId="0" borderId="0" xfId="0" applyFont="1" applyAlignment="1">
      <alignment horizontal="center" vertical="top" wrapText="1"/>
    </xf>
    <xf numFmtId="49" fontId="0" fillId="0" borderId="0" xfId="0" applyNumberFormat="1">
      <alignment vertical="center"/>
    </xf>
    <xf numFmtId="0" fontId="91" fillId="0" borderId="0" xfId="127" applyFont="1" applyAlignment="1">
      <alignment horizontal="left" vertical="center" wrapText="1"/>
    </xf>
    <xf numFmtId="0" fontId="86" fillId="0" borderId="0" xfId="127" applyFont="1" applyAlignment="1">
      <alignment horizontal="justify" vertical="center" wrapText="1"/>
    </xf>
    <xf numFmtId="0" fontId="90" fillId="0" borderId="0" xfId="127" applyFont="1" applyAlignment="1">
      <alignment horizontal="justify" vertical="center" wrapText="1"/>
    </xf>
    <xf numFmtId="0" fontId="91" fillId="0" borderId="0" xfId="127" applyFont="1" applyAlignment="1">
      <alignment horizontal="center" vertical="center" wrapText="1"/>
    </xf>
    <xf numFmtId="0" fontId="118" fillId="0" borderId="0" xfId="14" applyFont="1">
      <alignment vertical="center"/>
    </xf>
    <xf numFmtId="0" fontId="119" fillId="0" borderId="0" xfId="14" applyFont="1">
      <alignment vertical="center"/>
    </xf>
    <xf numFmtId="0" fontId="119" fillId="35" borderId="0" xfId="14" applyFont="1" applyFill="1" applyProtection="1">
      <alignment vertical="center"/>
      <protection locked="0"/>
    </xf>
    <xf numFmtId="0" fontId="121" fillId="0" borderId="0" xfId="14" applyFont="1">
      <alignment vertical="center"/>
    </xf>
    <xf numFmtId="0" fontId="119" fillId="0" borderId="0" xfId="14" applyFont="1" applyAlignment="1">
      <alignment horizontal="left" vertical="center"/>
    </xf>
    <xf numFmtId="0" fontId="119" fillId="35" borderId="0" xfId="14" applyFont="1" applyFill="1" applyAlignment="1" applyProtection="1">
      <alignment horizontal="left" vertical="center"/>
      <protection locked="0"/>
    </xf>
    <xf numFmtId="0" fontId="121" fillId="0" borderId="0" xfId="14" applyFont="1" applyAlignment="1">
      <alignment horizontal="left" vertical="center"/>
    </xf>
    <xf numFmtId="0" fontId="122" fillId="0" borderId="0" xfId="14" applyFont="1">
      <alignment vertical="center"/>
    </xf>
    <xf numFmtId="0" fontId="122" fillId="0" borderId="147" xfId="14" applyFont="1" applyBorder="1">
      <alignment vertical="center"/>
    </xf>
    <xf numFmtId="0" fontId="122" fillId="35" borderId="148" xfId="14" applyFont="1" applyFill="1" applyBorder="1" applyProtection="1">
      <alignment vertical="center"/>
      <protection locked="0"/>
    </xf>
    <xf numFmtId="0" fontId="122" fillId="0" borderId="148" xfId="14" applyFont="1" applyBorder="1">
      <alignment vertical="center"/>
    </xf>
    <xf numFmtId="0" fontId="122" fillId="0" borderId="149" xfId="14" applyFont="1" applyBorder="1">
      <alignment vertical="center"/>
    </xf>
    <xf numFmtId="0" fontId="122" fillId="0" borderId="38" xfId="14" applyFont="1" applyBorder="1" applyAlignment="1">
      <alignment horizontal="center" vertical="center"/>
    </xf>
    <xf numFmtId="0" fontId="122" fillId="0" borderId="1" xfId="14" applyFont="1" applyBorder="1">
      <alignment vertical="center"/>
    </xf>
    <xf numFmtId="0" fontId="123" fillId="0" borderId="1" xfId="14" applyFont="1" applyBorder="1">
      <alignment vertical="center"/>
    </xf>
    <xf numFmtId="0" fontId="125" fillId="0" borderId="0" xfId="14" applyFont="1">
      <alignment vertical="center"/>
    </xf>
    <xf numFmtId="0" fontId="126" fillId="35" borderId="170" xfId="14" applyFont="1" applyFill="1" applyBorder="1" applyAlignment="1" applyProtection="1">
      <alignment horizontal="right" vertical="center" shrinkToFit="1"/>
      <protection locked="0"/>
    </xf>
    <xf numFmtId="0" fontId="126" fillId="35" borderId="171" xfId="14" applyFont="1" applyFill="1" applyBorder="1" applyAlignment="1" applyProtection="1">
      <alignment horizontal="right" vertical="center" shrinkToFit="1"/>
      <protection locked="0"/>
    </xf>
    <xf numFmtId="0" fontId="126" fillId="35" borderId="172" xfId="14" applyFont="1" applyFill="1" applyBorder="1" applyAlignment="1" applyProtection="1">
      <alignment horizontal="right" vertical="center" shrinkToFit="1"/>
      <protection locked="0"/>
    </xf>
    <xf numFmtId="0" fontId="125" fillId="0" borderId="179" xfId="14" applyFont="1" applyBorder="1">
      <alignment vertical="center"/>
    </xf>
    <xf numFmtId="0" fontId="125" fillId="0" borderId="168" xfId="14" applyFont="1" applyBorder="1" applyAlignment="1">
      <alignment vertical="top" wrapText="1"/>
    </xf>
    <xf numFmtId="0" fontId="125" fillId="0" borderId="169" xfId="14" applyFont="1" applyBorder="1" applyAlignment="1">
      <alignment vertical="top" wrapText="1"/>
    </xf>
    <xf numFmtId="0" fontId="125" fillId="0" borderId="0" xfId="14" applyFont="1" applyAlignment="1">
      <alignment vertical="top" wrapText="1"/>
    </xf>
    <xf numFmtId="0" fontId="122" fillId="38" borderId="150" xfId="14" applyFont="1" applyFill="1" applyBorder="1">
      <alignment vertical="center"/>
    </xf>
    <xf numFmtId="0" fontId="122" fillId="38" borderId="180" xfId="14" applyFont="1" applyFill="1" applyBorder="1">
      <alignment vertical="center"/>
    </xf>
    <xf numFmtId="0" fontId="124" fillId="36" borderId="181" xfId="14" applyFont="1" applyFill="1" applyBorder="1" applyAlignment="1">
      <alignment horizontal="center" vertical="center"/>
    </xf>
    <xf numFmtId="0" fontId="124" fillId="36" borderId="182" xfId="14" applyFont="1" applyFill="1" applyBorder="1" applyAlignment="1">
      <alignment horizontal="center" vertical="center"/>
    </xf>
    <xf numFmtId="180" fontId="62" fillId="39" borderId="186" xfId="14" applyNumberFormat="1" applyFont="1" applyFill="1" applyBorder="1" applyAlignment="1">
      <alignment vertical="center" shrinkToFit="1"/>
    </xf>
    <xf numFmtId="181" fontId="62" fillId="39" borderId="186" xfId="14" applyNumberFormat="1" applyFont="1" applyFill="1" applyBorder="1" applyAlignment="1">
      <alignment vertical="center" shrinkToFit="1"/>
    </xf>
    <xf numFmtId="0" fontId="62" fillId="35" borderId="189" xfId="14" applyFont="1" applyFill="1" applyBorder="1" applyAlignment="1" applyProtection="1">
      <alignment vertical="center" shrinkToFit="1"/>
      <protection locked="0"/>
    </xf>
    <xf numFmtId="0" fontId="62" fillId="35" borderId="190" xfId="14" applyFont="1" applyFill="1" applyBorder="1" applyAlignment="1" applyProtection="1">
      <alignment vertical="center" shrinkToFit="1"/>
      <protection locked="0"/>
    </xf>
    <xf numFmtId="0" fontId="62" fillId="35" borderId="193" xfId="14" applyFont="1" applyFill="1" applyBorder="1" applyAlignment="1" applyProtection="1">
      <alignment vertical="center" wrapText="1"/>
      <protection locked="0"/>
    </xf>
    <xf numFmtId="0" fontId="62" fillId="36" borderId="191" xfId="14" applyFont="1" applyFill="1" applyBorder="1" applyAlignment="1">
      <alignment horizontal="center" vertical="center" wrapText="1"/>
    </xf>
    <xf numFmtId="0" fontId="62" fillId="39" borderId="194" xfId="14" applyFont="1" applyFill="1" applyBorder="1" applyAlignment="1">
      <alignment horizontal="center" vertical="center" wrapText="1"/>
    </xf>
    <xf numFmtId="0" fontId="62" fillId="0" borderId="0" xfId="14" applyFont="1" applyAlignment="1">
      <alignment vertical="center" shrinkToFit="1"/>
    </xf>
    <xf numFmtId="0" fontId="122" fillId="0" borderId="0" xfId="14" applyFont="1" applyAlignment="1">
      <alignment vertical="top"/>
    </xf>
    <xf numFmtId="0" fontId="7" fillId="0" borderId="0" xfId="14" applyFont="1">
      <alignment vertical="center"/>
    </xf>
    <xf numFmtId="0" fontId="128" fillId="0" borderId="0" xfId="14" applyFont="1">
      <alignment vertical="center"/>
    </xf>
    <xf numFmtId="0" fontId="129" fillId="0" borderId="0" xfId="14" applyFont="1">
      <alignment vertical="center"/>
    </xf>
    <xf numFmtId="0" fontId="122" fillId="35" borderId="0" xfId="14" applyFont="1" applyFill="1" applyProtection="1">
      <alignment vertical="center"/>
      <protection locked="0"/>
    </xf>
    <xf numFmtId="0" fontId="124" fillId="35" borderId="0" xfId="14" applyFont="1" applyFill="1" applyProtection="1">
      <alignment vertical="center"/>
      <protection locked="0"/>
    </xf>
    <xf numFmtId="0" fontId="125" fillId="0" borderId="0" xfId="14" applyFont="1" applyAlignment="1">
      <alignment vertical="center" shrinkToFit="1"/>
    </xf>
    <xf numFmtId="0" fontId="124" fillId="0" borderId="0" xfId="14" applyFont="1">
      <alignment vertical="center"/>
    </xf>
    <xf numFmtId="0" fontId="124" fillId="0" borderId="150" xfId="14" applyFont="1" applyBorder="1">
      <alignment vertical="center"/>
    </xf>
    <xf numFmtId="0" fontId="122" fillId="0" borderId="151" xfId="14" applyFont="1" applyBorder="1">
      <alignment vertical="center"/>
    </xf>
    <xf numFmtId="179" fontId="128" fillId="0" borderId="152" xfId="14" applyNumberFormat="1" applyFont="1" applyBorder="1">
      <alignment vertical="center"/>
    </xf>
    <xf numFmtId="179" fontId="128" fillId="35" borderId="195" xfId="14" applyNumberFormat="1" applyFont="1" applyFill="1" applyBorder="1" applyProtection="1">
      <alignment vertical="center"/>
      <protection locked="0"/>
    </xf>
    <xf numFmtId="0" fontId="124" fillId="0" borderId="0" xfId="14" applyFont="1" applyAlignment="1">
      <alignment horizontal="center" vertical="center"/>
    </xf>
    <xf numFmtId="0" fontId="124" fillId="0" borderId="184" xfId="14" applyFont="1" applyBorder="1">
      <alignment vertical="center"/>
    </xf>
    <xf numFmtId="0" fontId="122" fillId="0" borderId="196" xfId="14" applyFont="1" applyBorder="1">
      <alignment vertical="center"/>
    </xf>
    <xf numFmtId="179" fontId="128" fillId="0" borderId="197" xfId="14" applyNumberFormat="1" applyFont="1" applyBorder="1">
      <alignment vertical="center"/>
    </xf>
    <xf numFmtId="179" fontId="128" fillId="35" borderId="198" xfId="14" applyNumberFormat="1" applyFont="1" applyFill="1" applyBorder="1" applyProtection="1">
      <alignment vertical="center"/>
      <protection locked="0"/>
    </xf>
    <xf numFmtId="0" fontId="124" fillId="0" borderId="187" xfId="14" applyFont="1" applyBorder="1">
      <alignment vertical="center"/>
    </xf>
    <xf numFmtId="0" fontId="122" fillId="0" borderId="199" xfId="14" applyFont="1" applyBorder="1">
      <alignment vertical="center"/>
    </xf>
    <xf numFmtId="179" fontId="128" fillId="0" borderId="200" xfId="14" applyNumberFormat="1" applyFont="1" applyBorder="1">
      <alignment vertical="center"/>
    </xf>
    <xf numFmtId="179" fontId="128" fillId="35" borderId="201" xfId="14" applyNumberFormat="1" applyFont="1" applyFill="1" applyBorder="1" applyProtection="1">
      <alignment vertical="center"/>
      <protection locked="0"/>
    </xf>
    <xf numFmtId="0" fontId="62" fillId="0" borderId="168" xfId="14" applyFont="1" applyBorder="1" applyAlignment="1">
      <alignment horizontal="right" vertical="center"/>
    </xf>
    <xf numFmtId="0" fontId="133" fillId="0" borderId="168" xfId="14" applyFont="1" applyBorder="1" applyAlignment="1">
      <alignment horizontal="left" vertical="center"/>
    </xf>
    <xf numFmtId="0" fontId="122" fillId="35" borderId="147" xfId="14" applyFont="1" applyFill="1" applyBorder="1" applyProtection="1">
      <alignment vertical="center"/>
      <protection locked="0"/>
    </xf>
    <xf numFmtId="0" fontId="118" fillId="0" borderId="149" xfId="14" applyFont="1" applyBorder="1">
      <alignment vertical="center"/>
    </xf>
    <xf numFmtId="0" fontId="122" fillId="0" borderId="102" xfId="14" applyFont="1" applyBorder="1">
      <alignment vertical="center"/>
    </xf>
    <xf numFmtId="0" fontId="134" fillId="0" borderId="0" xfId="14" applyFont="1" applyAlignment="1">
      <alignment vertical="top" wrapText="1"/>
    </xf>
    <xf numFmtId="0" fontId="65" fillId="0" borderId="0" xfId="14" applyFont="1" applyAlignment="1">
      <alignment vertical="top" wrapText="1"/>
    </xf>
    <xf numFmtId="0" fontId="64" fillId="0" borderId="0" xfId="14" applyFont="1" applyAlignment="1">
      <alignment vertical="top" wrapText="1"/>
    </xf>
    <xf numFmtId="0" fontId="135" fillId="0" borderId="0" xfId="14" applyFont="1">
      <alignment vertical="center"/>
    </xf>
    <xf numFmtId="0" fontId="65" fillId="0" borderId="0" xfId="14" applyFont="1" applyAlignment="1">
      <alignment vertical="top"/>
    </xf>
    <xf numFmtId="0" fontId="65" fillId="0" borderId="0" xfId="14" applyFont="1">
      <alignment vertical="center"/>
    </xf>
    <xf numFmtId="0" fontId="123" fillId="0" borderId="0" xfId="14" applyFont="1" applyAlignment="1">
      <alignment vertical="top" wrapText="1"/>
    </xf>
    <xf numFmtId="0" fontId="96" fillId="0" borderId="0" xfId="127" applyFont="1" applyAlignment="1">
      <alignment horizontal="left" vertical="top" wrapText="1"/>
    </xf>
    <xf numFmtId="0" fontId="138" fillId="0" borderId="0" xfId="127" applyFont="1" applyAlignment="1">
      <alignment horizontal="left" vertical="center" wrapText="1"/>
    </xf>
    <xf numFmtId="0" fontId="96" fillId="0" borderId="0" xfId="127" applyFont="1" applyAlignment="1">
      <alignment horizontal="justify" vertical="center" wrapText="1"/>
    </xf>
    <xf numFmtId="0" fontId="96" fillId="0" borderId="0" xfId="127" applyFont="1" applyAlignment="1">
      <alignment horizontal="left" vertical="center" wrapText="1"/>
    </xf>
    <xf numFmtId="0" fontId="96" fillId="0" borderId="0" xfId="127" applyFont="1" applyAlignment="1">
      <alignment horizontal="right" vertical="center" wrapText="1"/>
    </xf>
    <xf numFmtId="0" fontId="93" fillId="0" borderId="0" xfId="127" applyFont="1" applyAlignment="1">
      <alignment horizontal="right" vertical="center" wrapText="1"/>
    </xf>
    <xf numFmtId="0" fontId="139" fillId="0" borderId="0" xfId="127" applyFont="1" applyAlignment="1">
      <alignment horizontal="left" vertical="center" wrapText="1"/>
    </xf>
    <xf numFmtId="0" fontId="86" fillId="0" borderId="0" xfId="127" applyFont="1" applyAlignment="1">
      <alignment vertical="center" wrapText="1"/>
    </xf>
    <xf numFmtId="0" fontId="96" fillId="0" borderId="0" xfId="127" applyFont="1" applyAlignment="1">
      <alignment vertical="center" wrapText="1"/>
    </xf>
    <xf numFmtId="0" fontId="94" fillId="0" borderId="203" xfId="127" applyFont="1" applyBorder="1" applyAlignment="1">
      <alignment horizontal="justify" vertical="center" wrapText="1"/>
    </xf>
    <xf numFmtId="0" fontId="94" fillId="0" borderId="179" xfId="127" applyFont="1" applyBorder="1" applyAlignment="1">
      <alignment horizontal="center" vertical="center" wrapText="1"/>
    </xf>
    <xf numFmtId="0" fontId="94" fillId="0" borderId="169" xfId="127" applyFont="1" applyBorder="1" applyAlignment="1">
      <alignment horizontal="center" vertical="top" wrapText="1"/>
    </xf>
    <xf numFmtId="0" fontId="94" fillId="0" borderId="0" xfId="127" applyFont="1" applyAlignment="1">
      <alignment horizontal="center" vertical="top" wrapText="1"/>
    </xf>
    <xf numFmtId="0" fontId="94" fillId="0" borderId="205" xfId="127" applyFont="1" applyBorder="1" applyAlignment="1">
      <alignment horizontal="justify" vertical="center" wrapText="1"/>
    </xf>
    <xf numFmtId="0" fontId="91" fillId="0" borderId="0" xfId="127" applyFont="1" applyAlignment="1">
      <alignment horizontal="justify" vertical="top" wrapText="1"/>
    </xf>
    <xf numFmtId="0" fontId="91" fillId="0" borderId="0" xfId="127" applyFont="1" applyAlignment="1">
      <alignment horizontal="center" vertical="top" wrapText="1"/>
    </xf>
    <xf numFmtId="0" fontId="77" fillId="0" borderId="0" xfId="127" applyAlignment="1">
      <alignment horizontal="left" vertical="center" indent="1"/>
    </xf>
    <xf numFmtId="0" fontId="141" fillId="0" borderId="0" xfId="127" applyFont="1" applyAlignment="1">
      <alignment horizontal="left" vertical="center" wrapText="1" indent="1"/>
    </xf>
    <xf numFmtId="0" fontId="94" fillId="0" borderId="0" xfId="127" applyFont="1" applyAlignment="1">
      <alignment horizontal="left" vertical="center" wrapText="1"/>
    </xf>
    <xf numFmtId="0" fontId="95" fillId="0" borderId="0" xfId="127" applyFont="1" applyAlignment="1">
      <alignment horizontal="left" vertical="center" indent="1"/>
    </xf>
    <xf numFmtId="0" fontId="94" fillId="0" borderId="0" xfId="127" applyFont="1" applyAlignment="1">
      <alignment horizontal="left" vertical="top" wrapText="1"/>
    </xf>
    <xf numFmtId="0" fontId="94" fillId="0" borderId="0" xfId="127" applyFont="1" applyAlignment="1">
      <alignment horizontal="left" vertical="top" wrapText="1" indent="1"/>
    </xf>
    <xf numFmtId="0" fontId="143" fillId="0" borderId="0" xfId="127" applyFont="1" applyAlignment="1">
      <alignment horizontal="left" vertical="center" wrapText="1"/>
    </xf>
    <xf numFmtId="0" fontId="143" fillId="0" borderId="0" xfId="127" applyFont="1" applyAlignment="1">
      <alignment horizontal="left" vertical="center" wrapText="1" indent="1"/>
    </xf>
    <xf numFmtId="0" fontId="144" fillId="0" borderId="0" xfId="127" applyFont="1" applyAlignment="1">
      <alignment horizontal="left" vertical="top" wrapText="1"/>
    </xf>
    <xf numFmtId="0" fontId="86" fillId="0" borderId="0" xfId="127" applyFont="1" applyAlignment="1">
      <alignment horizontal="left" vertical="top" wrapText="1" indent="1"/>
    </xf>
    <xf numFmtId="0" fontId="94" fillId="0" borderId="0" xfId="127" applyFont="1" applyAlignment="1">
      <alignment horizontal="left" vertical="center" wrapText="1" indent="1"/>
    </xf>
    <xf numFmtId="0" fontId="87" fillId="0" borderId="0" xfId="127" applyFont="1" applyAlignment="1">
      <alignment horizontal="justify" vertical="top" wrapText="1"/>
    </xf>
    <xf numFmtId="0" fontId="87" fillId="0" borderId="24" xfId="127" applyFont="1" applyBorder="1" applyAlignment="1">
      <alignment horizontal="justify" vertical="top" wrapText="1"/>
    </xf>
    <xf numFmtId="0" fontId="92" fillId="0" borderId="24" xfId="127" applyFont="1" applyBorder="1" applyAlignment="1">
      <alignment horizontal="right" vertical="top" wrapText="1"/>
    </xf>
    <xf numFmtId="0" fontId="92" fillId="0" borderId="0" xfId="127" applyFont="1" applyAlignment="1">
      <alignment horizontal="right" vertical="top" wrapText="1"/>
    </xf>
    <xf numFmtId="0" fontId="88" fillId="0" borderId="0" xfId="127" applyFont="1" applyAlignment="1">
      <alignment horizontal="right" vertical="center" wrapText="1"/>
    </xf>
    <xf numFmtId="0" fontId="146" fillId="0" borderId="0" xfId="127" applyFont="1" applyAlignment="1">
      <alignment horizontal="left" vertical="center" wrapText="1"/>
    </xf>
    <xf numFmtId="0" fontId="144" fillId="0" borderId="0" xfId="127" applyFont="1" applyAlignment="1">
      <alignment horizontal="left" vertical="center" wrapText="1" indent="3"/>
    </xf>
    <xf numFmtId="0" fontId="147" fillId="0" borderId="0" xfId="127" applyFont="1">
      <alignment vertical="center"/>
    </xf>
    <xf numFmtId="0" fontId="144" fillId="0" borderId="0" xfId="127" applyFont="1" applyAlignment="1">
      <alignment horizontal="left" vertical="center" wrapText="1" indent="1"/>
    </xf>
    <xf numFmtId="0" fontId="144" fillId="0" borderId="0" xfId="127" applyFont="1" applyAlignment="1">
      <alignment horizontal="center" vertical="center"/>
    </xf>
    <xf numFmtId="0" fontId="147" fillId="0" borderId="0" xfId="127" applyFont="1" applyAlignment="1">
      <alignment horizontal="center" vertical="center"/>
    </xf>
    <xf numFmtId="0" fontId="144" fillId="0" borderId="0" xfId="127" applyFont="1" applyAlignment="1">
      <alignment horizontal="left" vertical="top" wrapText="1" indent="1"/>
    </xf>
    <xf numFmtId="0" fontId="144" fillId="0" borderId="0" xfId="127" applyFont="1" applyAlignment="1">
      <alignment vertical="center" wrapText="1"/>
    </xf>
    <xf numFmtId="0" fontId="144" fillId="0" borderId="0" xfId="127" applyFont="1" applyAlignment="1">
      <alignment horizontal="left" vertical="center" wrapText="1"/>
    </xf>
    <xf numFmtId="0" fontId="144" fillId="0" borderId="0" xfId="127" applyFont="1" applyAlignment="1">
      <alignment horizontal="left" vertical="center" wrapText="1" indent="4"/>
    </xf>
    <xf numFmtId="0" fontId="150" fillId="0" borderId="0" xfId="127" applyFont="1" applyAlignment="1">
      <alignment horizontal="justify" vertical="center"/>
    </xf>
    <xf numFmtId="0" fontId="151" fillId="0" borderId="0" xfId="127" applyFont="1">
      <alignment vertical="center"/>
    </xf>
    <xf numFmtId="0" fontId="94" fillId="0" borderId="0" xfId="127" applyFont="1" applyAlignment="1">
      <alignment horizontal="right" vertical="center" wrapText="1"/>
    </xf>
    <xf numFmtId="0" fontId="6" fillId="35" borderId="0" xfId="127" applyFont="1" applyFill="1">
      <alignment vertical="center"/>
    </xf>
    <xf numFmtId="0" fontId="15" fillId="35" borderId="21" xfId="0" applyFont="1" applyFill="1" applyBorder="1" applyAlignment="1">
      <alignment vertical="center"/>
    </xf>
    <xf numFmtId="0" fontId="15" fillId="35" borderId="22" xfId="0" applyFont="1" applyFill="1" applyBorder="1" applyAlignment="1">
      <alignment vertical="center"/>
    </xf>
    <xf numFmtId="0" fontId="14" fillId="35" borderId="0" xfId="0" applyFont="1" applyFill="1">
      <alignment vertical="center"/>
    </xf>
    <xf numFmtId="0" fontId="0" fillId="35" borderId="1" xfId="0" applyFill="1" applyBorder="1">
      <alignment vertical="center"/>
    </xf>
    <xf numFmtId="0" fontId="0" fillId="35" borderId="21" xfId="0" applyFill="1" applyBorder="1" applyAlignment="1">
      <alignment vertical="center"/>
    </xf>
    <xf numFmtId="0" fontId="61" fillId="0" borderId="0" xfId="130">
      <alignment vertical="center"/>
    </xf>
    <xf numFmtId="0" fontId="152" fillId="0" borderId="0" xfId="130" applyFont="1">
      <alignment vertical="center"/>
    </xf>
    <xf numFmtId="0" fontId="61" fillId="0" borderId="0" xfId="130" applyAlignment="1">
      <alignment horizontal="right" vertical="center"/>
    </xf>
    <xf numFmtId="0" fontId="153" fillId="0" borderId="0" xfId="130" applyFont="1" applyAlignment="1">
      <alignment horizontal="center" vertical="center" shrinkToFit="1"/>
    </xf>
    <xf numFmtId="0" fontId="61" fillId="0" borderId="0" xfId="130" applyAlignment="1">
      <alignment horizontal="left" vertical="center" indent="1"/>
    </xf>
    <xf numFmtId="0" fontId="156" fillId="0" borderId="0" xfId="130" applyFont="1">
      <alignment vertical="center"/>
    </xf>
    <xf numFmtId="0" fontId="152" fillId="0" borderId="0" xfId="130" applyFont="1" applyAlignment="1">
      <alignment horizontal="center" vertical="center"/>
    </xf>
    <xf numFmtId="0" fontId="157" fillId="36" borderId="6" xfId="130" applyFont="1" applyFill="1" applyBorder="1" applyAlignment="1">
      <alignment horizontal="center" vertical="center"/>
    </xf>
    <xf numFmtId="0" fontId="159" fillId="0" borderId="183" xfId="130" applyFont="1" applyBorder="1" applyAlignment="1">
      <alignment horizontal="right" vertical="center"/>
    </xf>
    <xf numFmtId="0" fontId="159" fillId="0" borderId="44" xfId="130" applyFont="1" applyBorder="1" applyAlignment="1">
      <alignment horizontal="right" vertical="center"/>
    </xf>
    <xf numFmtId="0" fontId="61" fillId="0" borderId="6" xfId="130" applyBorder="1">
      <alignment vertical="center"/>
    </xf>
    <xf numFmtId="38" fontId="0" fillId="0" borderId="6" xfId="132" applyFont="1" applyBorder="1">
      <alignment vertical="center"/>
    </xf>
    <xf numFmtId="0" fontId="61" fillId="0" borderId="183" xfId="130" applyBorder="1" applyAlignment="1">
      <alignment horizontal="left" vertical="center" indent="1"/>
    </xf>
    <xf numFmtId="185" fontId="61" fillId="0" borderId="44" xfId="130" applyNumberFormat="1" applyBorder="1" applyAlignment="1">
      <alignment horizontal="right" vertical="center"/>
    </xf>
    <xf numFmtId="0" fontId="61" fillId="0" borderId="44" xfId="130" applyBorder="1" applyAlignment="1">
      <alignment horizontal="center" vertical="center"/>
    </xf>
    <xf numFmtId="185" fontId="61" fillId="0" borderId="44" xfId="130" applyNumberFormat="1" applyBorder="1" applyAlignment="1">
      <alignment horizontal="left" vertical="center" indent="1"/>
    </xf>
    <xf numFmtId="0" fontId="61" fillId="0" borderId="44" xfId="130" applyBorder="1" applyAlignment="1">
      <alignment horizontal="left" vertical="center" indent="1"/>
    </xf>
    <xf numFmtId="0" fontId="61" fillId="0" borderId="0" xfId="130" applyAlignment="1">
      <alignment horizontal="left" vertical="center"/>
    </xf>
    <xf numFmtId="38" fontId="0" fillId="0" borderId="0" xfId="132" applyFont="1">
      <alignment vertical="center"/>
    </xf>
    <xf numFmtId="38" fontId="160" fillId="0" borderId="0" xfId="132" applyFont="1" applyAlignment="1">
      <alignment horizontal="right" vertical="center"/>
    </xf>
    <xf numFmtId="0" fontId="162" fillId="0" borderId="0" xfId="0" applyFont="1">
      <alignment vertical="center"/>
    </xf>
    <xf numFmtId="0" fontId="156" fillId="0" borderId="0" xfId="0" applyFont="1">
      <alignment vertical="center"/>
    </xf>
    <xf numFmtId="0" fontId="156" fillId="0" borderId="213" xfId="0" applyFont="1" applyBorder="1">
      <alignment vertical="center"/>
    </xf>
    <xf numFmtId="0" fontId="163" fillId="43" borderId="213" xfId="0" applyFont="1" applyFill="1" applyBorder="1" applyAlignment="1">
      <alignment horizontal="center" vertical="center"/>
    </xf>
    <xf numFmtId="0" fontId="157" fillId="44" borderId="0" xfId="0" applyFont="1" applyFill="1" applyBorder="1">
      <alignment vertical="center"/>
    </xf>
    <xf numFmtId="0" fontId="156" fillId="44" borderId="0" xfId="0" applyFont="1" applyFill="1" applyBorder="1">
      <alignment vertical="center"/>
    </xf>
    <xf numFmtId="0" fontId="157" fillId="44" borderId="219" xfId="0" applyFont="1" applyFill="1" applyBorder="1">
      <alignment vertical="center"/>
    </xf>
    <xf numFmtId="0" fontId="156" fillId="44" borderId="220" xfId="0" applyFont="1" applyFill="1" applyBorder="1">
      <alignment vertical="center"/>
    </xf>
    <xf numFmtId="0" fontId="164" fillId="44" borderId="223" xfId="0" applyFont="1" applyFill="1" applyBorder="1">
      <alignment vertical="center"/>
    </xf>
    <xf numFmtId="0" fontId="164" fillId="44" borderId="222" xfId="0" applyFont="1" applyFill="1" applyBorder="1">
      <alignment vertical="center"/>
    </xf>
    <xf numFmtId="0" fontId="156" fillId="44" borderId="214" xfId="0" applyFont="1" applyFill="1" applyBorder="1">
      <alignment vertical="center"/>
    </xf>
    <xf numFmtId="0" fontId="157" fillId="45" borderId="35" xfId="0" applyFont="1" applyFill="1" applyBorder="1">
      <alignment vertical="center"/>
    </xf>
    <xf numFmtId="0" fontId="156" fillId="45" borderId="0" xfId="0" applyFont="1" applyFill="1" applyBorder="1">
      <alignment vertical="center"/>
    </xf>
    <xf numFmtId="0" fontId="164" fillId="45" borderId="222" xfId="0" applyFont="1" applyFill="1" applyBorder="1" applyAlignment="1">
      <alignment vertical="center" wrapText="1"/>
    </xf>
    <xf numFmtId="0" fontId="157" fillId="45" borderId="219" xfId="0" applyFont="1" applyFill="1" applyBorder="1">
      <alignment vertical="center"/>
    </xf>
    <xf numFmtId="0" fontId="156" fillId="45" borderId="220" xfId="0" applyFont="1" applyFill="1" applyBorder="1">
      <alignment vertical="center"/>
    </xf>
    <xf numFmtId="0" fontId="164" fillId="45" borderId="223" xfId="0" applyFont="1" applyFill="1" applyBorder="1" applyAlignment="1">
      <alignment vertical="center" wrapText="1"/>
    </xf>
    <xf numFmtId="0" fontId="156" fillId="45" borderId="214" xfId="0" applyFont="1" applyFill="1" applyBorder="1">
      <alignment vertical="center"/>
    </xf>
    <xf numFmtId="0" fontId="168" fillId="0" borderId="221" xfId="0" applyFont="1" applyFill="1" applyBorder="1" applyAlignment="1">
      <alignment vertical="center"/>
    </xf>
    <xf numFmtId="0" fontId="166" fillId="0" borderId="221" xfId="0" applyFont="1" applyFill="1" applyBorder="1" applyAlignment="1">
      <alignment vertical="center" wrapText="1"/>
    </xf>
    <xf numFmtId="0" fontId="168" fillId="0" borderId="218" xfId="0" applyFont="1" applyFill="1" applyBorder="1">
      <alignment vertical="center"/>
    </xf>
    <xf numFmtId="0" fontId="166" fillId="0" borderId="218" xfId="0" applyFont="1" applyFill="1" applyBorder="1">
      <alignment vertical="center"/>
    </xf>
    <xf numFmtId="0" fontId="168" fillId="0" borderId="221" xfId="0" applyFont="1" applyFill="1" applyBorder="1">
      <alignment vertical="center"/>
    </xf>
    <xf numFmtId="0" fontId="166" fillId="0" borderId="221" xfId="0" applyFont="1" applyFill="1" applyBorder="1">
      <alignment vertical="center"/>
    </xf>
    <xf numFmtId="0" fontId="168" fillId="0" borderId="218" xfId="0" applyFont="1" applyFill="1" applyBorder="1" applyAlignment="1">
      <alignment vertical="center" wrapText="1"/>
    </xf>
    <xf numFmtId="0" fontId="166" fillId="0" borderId="218" xfId="0" applyFont="1" applyFill="1" applyBorder="1" applyAlignment="1">
      <alignment vertical="center" wrapText="1"/>
    </xf>
    <xf numFmtId="0" fontId="156" fillId="0" borderId="38" xfId="0" applyFont="1" applyFill="1" applyBorder="1">
      <alignment vertical="center"/>
    </xf>
    <xf numFmtId="0" fontId="156" fillId="0" borderId="37" xfId="0" applyFont="1" applyFill="1" applyBorder="1">
      <alignment vertical="center"/>
    </xf>
    <xf numFmtId="0" fontId="156" fillId="0" borderId="217" xfId="0" applyFont="1" applyFill="1" applyBorder="1">
      <alignment vertical="center"/>
    </xf>
    <xf numFmtId="0" fontId="156" fillId="0" borderId="215" xfId="0" applyFont="1" applyFill="1" applyBorder="1">
      <alignment vertical="center"/>
    </xf>
    <xf numFmtId="0" fontId="156" fillId="0" borderId="0" xfId="0" applyFont="1" applyAlignment="1">
      <alignment horizontal="right" wrapText="1"/>
    </xf>
    <xf numFmtId="0" fontId="124" fillId="35" borderId="0" xfId="14" applyNumberFormat="1" applyFont="1" applyFill="1" applyProtection="1">
      <alignment vertical="center"/>
      <protection locked="0"/>
    </xf>
    <xf numFmtId="0" fontId="61" fillId="0" borderId="0" xfId="130" applyAlignment="1">
      <alignment horizontal="left" vertical="center"/>
    </xf>
    <xf numFmtId="0" fontId="61" fillId="0" borderId="0" xfId="130">
      <alignment vertical="center"/>
    </xf>
    <xf numFmtId="0" fontId="58" fillId="0" borderId="0" xfId="126" applyAlignment="1">
      <alignment horizontal="left" vertical="center"/>
    </xf>
    <xf numFmtId="0" fontId="165" fillId="0" borderId="216" xfId="0" applyFont="1" applyFill="1" applyBorder="1" applyAlignment="1">
      <alignment horizontal="left" vertical="center" wrapText="1"/>
    </xf>
    <xf numFmtId="0" fontId="166" fillId="0" borderId="38" xfId="0" applyFont="1" applyFill="1" applyBorder="1" applyAlignment="1">
      <alignment horizontal="left" vertical="center" wrapText="1"/>
    </xf>
    <xf numFmtId="0" fontId="166" fillId="0" borderId="224" xfId="0" applyFont="1" applyFill="1" applyBorder="1" applyAlignment="1">
      <alignment horizontal="left" vertical="center" wrapText="1"/>
    </xf>
    <xf numFmtId="0" fontId="163" fillId="42" borderId="216" xfId="0" applyFont="1" applyFill="1" applyBorder="1" applyAlignment="1">
      <alignment horizontal="center" vertical="center" textRotation="255"/>
    </xf>
    <xf numFmtId="0" fontId="163" fillId="42" borderId="38" xfId="0" applyFont="1" applyFill="1" applyBorder="1" applyAlignment="1">
      <alignment horizontal="center" vertical="center" textRotation="255"/>
    </xf>
    <xf numFmtId="0" fontId="163" fillId="42" borderId="217" xfId="0" applyFont="1" applyFill="1" applyBorder="1" applyAlignment="1">
      <alignment horizontal="center" vertical="center" textRotation="255"/>
    </xf>
    <xf numFmtId="0" fontId="163" fillId="41" borderId="38" xfId="0" applyFont="1" applyFill="1" applyBorder="1" applyAlignment="1">
      <alignment horizontal="center" vertical="center" textRotation="255"/>
    </xf>
    <xf numFmtId="0" fontId="163" fillId="41" borderId="217" xfId="0" applyFont="1" applyFill="1" applyBorder="1" applyAlignment="1">
      <alignment horizontal="center" vertical="center" textRotation="255"/>
    </xf>
    <xf numFmtId="0" fontId="163" fillId="43" borderId="147" xfId="0" applyFont="1" applyFill="1" applyBorder="1" applyAlignment="1">
      <alignment horizontal="center" vertical="center"/>
    </xf>
    <xf numFmtId="0" fontId="163" fillId="43" borderId="149" xfId="0" applyFont="1" applyFill="1" applyBorder="1" applyAlignment="1">
      <alignment horizontal="center" vertical="center"/>
    </xf>
    <xf numFmtId="0" fontId="167" fillId="0" borderId="216" xfId="0" applyFont="1" applyFill="1" applyBorder="1" applyAlignment="1">
      <alignment horizontal="left" vertical="center"/>
    </xf>
    <xf numFmtId="0" fontId="168" fillId="0" borderId="38" xfId="0" applyFont="1" applyFill="1" applyBorder="1" applyAlignment="1">
      <alignment horizontal="left" vertical="center"/>
    </xf>
    <xf numFmtId="0" fontId="94" fillId="0" borderId="0" xfId="127" applyFont="1" applyAlignment="1">
      <alignment horizontal="right" vertical="center" wrapText="1"/>
    </xf>
    <xf numFmtId="0" fontId="144" fillId="0" borderId="0" xfId="127" applyFont="1" applyAlignment="1">
      <alignment horizontal="left" vertical="center" wrapText="1" indent="1"/>
    </xf>
    <xf numFmtId="0" fontId="144" fillId="0" borderId="0" xfId="127" applyFont="1" applyAlignment="1">
      <alignment horizontal="left" vertical="center" wrapText="1" indent="4"/>
    </xf>
    <xf numFmtId="0" fontId="94" fillId="35" borderId="0" xfId="127" applyFont="1" applyFill="1" applyAlignment="1">
      <alignment horizontal="left" vertical="center" wrapText="1"/>
    </xf>
    <xf numFmtId="0" fontId="94" fillId="35" borderId="0" xfId="127" applyFont="1" applyFill="1" applyAlignment="1">
      <alignment horizontal="left" vertical="top" wrapText="1"/>
    </xf>
    <xf numFmtId="0" fontId="143" fillId="0" borderId="0" xfId="127" applyFont="1" applyAlignment="1">
      <alignment horizontal="left" vertical="center" wrapText="1"/>
    </xf>
    <xf numFmtId="0" fontId="143" fillId="35" borderId="0" xfId="127" applyFont="1" applyFill="1" applyAlignment="1">
      <alignment horizontal="right" vertical="center" wrapText="1" indent="1"/>
    </xf>
    <xf numFmtId="0" fontId="144" fillId="0" borderId="0" xfId="127" applyFont="1" applyAlignment="1">
      <alignment horizontal="left" vertical="top" wrapText="1"/>
    </xf>
    <xf numFmtId="0" fontId="144" fillId="0" borderId="0" xfId="127" applyFont="1" applyAlignment="1">
      <alignment vertical="center" wrapText="1"/>
    </xf>
    <xf numFmtId="0" fontId="143" fillId="35" borderId="0" xfId="127" applyFont="1" applyFill="1" applyAlignment="1">
      <alignment horizontal="left" vertical="center" wrapText="1"/>
    </xf>
    <xf numFmtId="0" fontId="139" fillId="0" borderId="0" xfId="127" applyFont="1" applyAlignment="1">
      <alignment horizontal="left" vertical="center" wrapText="1"/>
    </xf>
    <xf numFmtId="0" fontId="142" fillId="0" borderId="0" xfId="127" applyFont="1" applyAlignment="1">
      <alignment horizontal="left" vertical="center" wrapText="1" indent="1"/>
    </xf>
    <xf numFmtId="0" fontId="87" fillId="35" borderId="179" xfId="127" applyFont="1" applyFill="1" applyBorder="1" applyAlignment="1">
      <alignment horizontal="justify" vertical="top" wrapText="1"/>
    </xf>
    <xf numFmtId="0" fontId="87" fillId="35" borderId="24" xfId="127" applyFont="1" applyFill="1" applyBorder="1" applyAlignment="1">
      <alignment horizontal="justify" vertical="top" wrapText="1"/>
    </xf>
    <xf numFmtId="0" fontId="87" fillId="35" borderId="169" xfId="127" applyFont="1" applyFill="1" applyBorder="1" applyAlignment="1">
      <alignment horizontal="justify" vertical="top" wrapText="1"/>
    </xf>
    <xf numFmtId="0" fontId="87" fillId="35" borderId="4" xfId="127" applyFont="1" applyFill="1" applyBorder="1" applyAlignment="1">
      <alignment horizontal="justify" vertical="top" wrapText="1"/>
    </xf>
    <xf numFmtId="0" fontId="87" fillId="35" borderId="0" xfId="127" applyFont="1" applyFill="1" applyAlignment="1">
      <alignment horizontal="justify" vertical="top" wrapText="1"/>
    </xf>
    <xf numFmtId="0" fontId="87" fillId="35" borderId="5" xfId="127" applyFont="1" applyFill="1" applyBorder="1" applyAlignment="1">
      <alignment horizontal="justify" vertical="top" wrapText="1"/>
    </xf>
    <xf numFmtId="0" fontId="87" fillId="35" borderId="2" xfId="127" applyFont="1" applyFill="1" applyBorder="1" applyAlignment="1">
      <alignment horizontal="justify" vertical="top" wrapText="1"/>
    </xf>
    <xf numFmtId="0" fontId="87" fillId="35" borderId="1" xfId="127" applyFont="1" applyFill="1" applyBorder="1" applyAlignment="1">
      <alignment horizontal="justify" vertical="top" wrapText="1"/>
    </xf>
    <xf numFmtId="0" fontId="87" fillId="35" borderId="3" xfId="127" applyFont="1" applyFill="1" applyBorder="1" applyAlignment="1">
      <alignment horizontal="justify" vertical="top" wrapText="1"/>
    </xf>
    <xf numFmtId="0" fontId="144" fillId="0" borderId="0" xfId="127" applyFont="1" applyAlignment="1">
      <alignment horizontal="left" vertical="center" wrapText="1" indent="3"/>
    </xf>
    <xf numFmtId="0" fontId="144" fillId="0" borderId="0" xfId="127" applyFont="1" applyAlignment="1">
      <alignment horizontal="left" vertical="top" wrapText="1" indent="1"/>
    </xf>
    <xf numFmtId="0" fontId="91" fillId="35" borderId="5" xfId="127" applyFont="1" applyFill="1" applyBorder="1" applyAlignment="1">
      <alignment horizontal="justify" vertical="top" wrapText="1"/>
    </xf>
    <xf numFmtId="0" fontId="91" fillId="35" borderId="3" xfId="127" applyFont="1" applyFill="1" applyBorder="1" applyAlignment="1">
      <alignment horizontal="justify" vertical="top" wrapText="1"/>
    </xf>
    <xf numFmtId="0" fontId="139" fillId="0" borderId="0" xfId="127" applyFont="1" applyAlignment="1">
      <alignment vertical="center" wrapText="1"/>
    </xf>
    <xf numFmtId="0" fontId="96" fillId="0" borderId="0" xfId="127" applyFont="1" applyAlignment="1">
      <alignment horizontal="center" vertical="center" wrapText="1"/>
    </xf>
    <xf numFmtId="0" fontId="91" fillId="0" borderId="202" xfId="127" applyFont="1" applyBorder="1" applyAlignment="1">
      <alignment horizontal="center" vertical="top" wrapText="1"/>
    </xf>
    <xf numFmtId="0" fontId="91" fillId="0" borderId="204" xfId="127" applyFont="1" applyBorder="1" applyAlignment="1">
      <alignment horizontal="center" vertical="top" wrapText="1"/>
    </xf>
    <xf numFmtId="0" fontId="94" fillId="0" borderId="179" xfId="127" applyFont="1" applyBorder="1" applyAlignment="1">
      <alignment horizontal="center" vertical="center" wrapText="1"/>
    </xf>
    <xf numFmtId="0" fontId="94" fillId="0" borderId="24" xfId="127" applyFont="1" applyBorder="1" applyAlignment="1">
      <alignment horizontal="center" vertical="center" wrapText="1"/>
    </xf>
    <xf numFmtId="0" fontId="94" fillId="0" borderId="169" xfId="127" applyFont="1" applyBorder="1" applyAlignment="1">
      <alignment horizontal="center" vertical="center" wrapText="1"/>
    </xf>
    <xf numFmtId="0" fontId="94" fillId="0" borderId="179" xfId="127" applyFont="1" applyBorder="1" applyAlignment="1">
      <alignment horizontal="center" vertical="top" wrapText="1"/>
    </xf>
    <xf numFmtId="0" fontId="94" fillId="0" borderId="169" xfId="127" applyFont="1" applyBorder="1" applyAlignment="1">
      <alignment horizontal="center" vertical="top" wrapText="1"/>
    </xf>
    <xf numFmtId="0" fontId="94" fillId="0" borderId="2" xfId="127" applyFont="1" applyBorder="1" applyAlignment="1">
      <alignment horizontal="center" vertical="top" wrapText="1"/>
    </xf>
    <xf numFmtId="0" fontId="94" fillId="0" borderId="3" xfId="127" applyFont="1" applyBorder="1" applyAlignment="1">
      <alignment horizontal="center" vertical="top" wrapText="1"/>
    </xf>
    <xf numFmtId="0" fontId="94" fillId="0" borderId="2" xfId="127" applyFont="1" applyBorder="1" applyAlignment="1">
      <alignment horizontal="justify" vertical="center" wrapText="1"/>
    </xf>
    <xf numFmtId="0" fontId="94" fillId="0" borderId="1" xfId="127" applyFont="1" applyBorder="1" applyAlignment="1">
      <alignment horizontal="justify" vertical="center" wrapText="1"/>
    </xf>
    <xf numFmtId="0" fontId="94" fillId="0" borderId="3" xfId="127" applyFont="1" applyBorder="1" applyAlignment="1">
      <alignment horizontal="justify" vertical="center" wrapText="1"/>
    </xf>
    <xf numFmtId="0" fontId="94" fillId="0" borderId="2" xfId="127" applyFont="1" applyBorder="1" applyAlignment="1">
      <alignment horizontal="left" vertical="center" wrapText="1"/>
    </xf>
    <xf numFmtId="0" fontId="94" fillId="0" borderId="3" xfId="127" applyFont="1" applyBorder="1" applyAlignment="1">
      <alignment horizontal="left" vertical="center" wrapText="1"/>
    </xf>
    <xf numFmtId="0" fontId="91" fillId="35" borderId="4" xfId="127" applyFont="1" applyFill="1" applyBorder="1" applyAlignment="1">
      <alignment horizontal="center" vertical="center" wrapText="1"/>
    </xf>
    <xf numFmtId="0" fontId="91" fillId="35" borderId="2" xfId="127" applyFont="1" applyFill="1" applyBorder="1" applyAlignment="1">
      <alignment horizontal="center" vertical="center" wrapText="1"/>
    </xf>
    <xf numFmtId="0" fontId="91" fillId="35" borderId="206" xfId="127" applyFont="1" applyFill="1" applyBorder="1" applyAlignment="1">
      <alignment horizontal="justify" vertical="top" wrapText="1"/>
    </xf>
    <xf numFmtId="0" fontId="91" fillId="35" borderId="205" xfId="127" applyFont="1" applyFill="1" applyBorder="1" applyAlignment="1">
      <alignment horizontal="justify" vertical="top" wrapText="1"/>
    </xf>
    <xf numFmtId="0" fontId="91" fillId="35" borderId="4" xfId="127" applyFont="1" applyFill="1" applyBorder="1" applyAlignment="1">
      <alignment horizontal="justify" vertical="top" wrapText="1"/>
    </xf>
    <xf numFmtId="0" fontId="91" fillId="35" borderId="0" xfId="127" applyFont="1" applyFill="1" applyAlignment="1">
      <alignment horizontal="justify" vertical="top" wrapText="1"/>
    </xf>
    <xf numFmtId="0" fontId="91" fillId="35" borderId="2" xfId="127" applyFont="1" applyFill="1" applyBorder="1" applyAlignment="1">
      <alignment horizontal="justify" vertical="top" wrapText="1"/>
    </xf>
    <xf numFmtId="0" fontId="91" fillId="35" borderId="1" xfId="127" applyFont="1" applyFill="1" applyBorder="1" applyAlignment="1">
      <alignment horizontal="justify" vertical="top" wrapText="1"/>
    </xf>
    <xf numFmtId="0" fontId="91" fillId="35" borderId="4" xfId="127" applyFont="1" applyFill="1" applyBorder="1" applyAlignment="1">
      <alignment horizontal="center" vertical="top" wrapText="1"/>
    </xf>
    <xf numFmtId="0" fontId="91" fillId="35" borderId="5" xfId="127" applyFont="1" applyFill="1" applyBorder="1" applyAlignment="1">
      <alignment horizontal="center" vertical="top" wrapText="1"/>
    </xf>
    <xf numFmtId="0" fontId="91" fillId="35" borderId="2" xfId="127" applyFont="1" applyFill="1" applyBorder="1" applyAlignment="1">
      <alignment horizontal="center" vertical="top" wrapText="1"/>
    </xf>
    <xf numFmtId="0" fontId="91" fillId="35" borderId="3" xfId="127" applyFont="1" applyFill="1" applyBorder="1" applyAlignment="1">
      <alignment horizontal="center" vertical="top" wrapText="1"/>
    </xf>
    <xf numFmtId="0" fontId="140" fillId="0" borderId="0" xfId="127" applyFont="1" applyAlignment="1">
      <alignment horizontal="left" vertical="center" wrapText="1" indent="1"/>
    </xf>
    <xf numFmtId="0" fontId="138" fillId="0" borderId="0" xfId="127" applyFont="1" applyAlignment="1">
      <alignment horizontal="left" vertical="center" wrapText="1"/>
    </xf>
    <xf numFmtId="0" fontId="86" fillId="0" borderId="0" xfId="127" applyFont="1" applyAlignment="1">
      <alignment horizontal="justify" vertical="center" wrapText="1"/>
    </xf>
    <xf numFmtId="0" fontId="96" fillId="0" borderId="0" xfId="127" applyFont="1" applyAlignment="1">
      <alignment horizontal="justify" vertical="center" wrapText="1"/>
    </xf>
    <xf numFmtId="0" fontId="96" fillId="35" borderId="0" xfId="127" applyFont="1" applyFill="1" applyAlignment="1">
      <alignment horizontal="left" vertical="center" wrapText="1"/>
    </xf>
    <xf numFmtId="0" fontId="96" fillId="0" borderId="0" xfId="127" applyFont="1" applyAlignment="1">
      <alignment horizontal="left" vertical="center" wrapText="1"/>
    </xf>
    <xf numFmtId="0" fontId="91" fillId="35" borderId="0" xfId="127" applyFont="1" applyFill="1" applyAlignment="1">
      <alignment horizontal="left" vertical="center" wrapText="1"/>
    </xf>
    <xf numFmtId="0" fontId="86" fillId="0" borderId="0" xfId="127" applyFont="1" applyAlignment="1">
      <alignment horizontal="left" vertical="center" wrapText="1"/>
    </xf>
    <xf numFmtId="0" fontId="90" fillId="0" borderId="0" xfId="127" applyFont="1" applyAlignment="1">
      <alignment horizontal="justify" vertical="center" wrapText="1"/>
    </xf>
    <xf numFmtId="0" fontId="8" fillId="0" borderId="23" xfId="0" applyFont="1" applyFill="1" applyBorder="1" applyAlignment="1">
      <alignment horizontal="left" vertical="top" wrapText="1"/>
    </xf>
    <xf numFmtId="0" fontId="8" fillId="0" borderId="24" xfId="0" applyFont="1" applyFill="1" applyBorder="1" applyAlignment="1">
      <alignment horizontal="left" vertical="top" wrapText="1"/>
    </xf>
    <xf numFmtId="0" fontId="8" fillId="0" borderId="25" xfId="0" applyFont="1" applyFill="1" applyBorder="1" applyAlignment="1">
      <alignment horizontal="left" vertical="top" wrapText="1"/>
    </xf>
    <xf numFmtId="0" fontId="8" fillId="0" borderId="4" xfId="0" applyFont="1" applyFill="1" applyBorder="1" applyAlignment="1">
      <alignment horizontal="left" vertical="top" wrapText="1"/>
    </xf>
    <xf numFmtId="0" fontId="8" fillId="0" borderId="0" xfId="0" applyFont="1" applyFill="1" applyBorder="1" applyAlignment="1">
      <alignment horizontal="left" vertical="top" wrapText="1"/>
    </xf>
    <xf numFmtId="0" fontId="8" fillId="0" borderId="5" xfId="0" applyFont="1" applyFill="1" applyBorder="1" applyAlignment="1">
      <alignment horizontal="left" vertical="top" wrapText="1"/>
    </xf>
    <xf numFmtId="0" fontId="8" fillId="0" borderId="2" xfId="0" applyFont="1" applyFill="1" applyBorder="1" applyAlignment="1">
      <alignment horizontal="left" vertical="top" wrapText="1"/>
    </xf>
    <xf numFmtId="0" fontId="8" fillId="0" borderId="1" xfId="0" applyFont="1" applyFill="1" applyBorder="1" applyAlignment="1">
      <alignment horizontal="left" vertical="top" wrapText="1"/>
    </xf>
    <xf numFmtId="0" fontId="8" fillId="0" borderId="1" xfId="0" applyFont="1" applyFill="1" applyBorder="1" applyAlignment="1">
      <alignment horizontal="right" wrapText="1"/>
    </xf>
    <xf numFmtId="0" fontId="8" fillId="0" borderId="3" xfId="0" applyFont="1" applyFill="1" applyBorder="1" applyAlignment="1">
      <alignment horizontal="right" wrapText="1"/>
    </xf>
    <xf numFmtId="0" fontId="8" fillId="35" borderId="23" xfId="0" applyFont="1" applyFill="1" applyBorder="1" applyAlignment="1">
      <alignment horizontal="center" vertical="top" wrapText="1"/>
    </xf>
    <xf numFmtId="0" fontId="8" fillId="35" borderId="24" xfId="0" applyFont="1" applyFill="1" applyBorder="1" applyAlignment="1">
      <alignment horizontal="center" vertical="top" wrapText="1"/>
    </xf>
    <xf numFmtId="0" fontId="8" fillId="35" borderId="25" xfId="0" applyFont="1" applyFill="1" applyBorder="1" applyAlignment="1">
      <alignment horizontal="center" vertical="top" wrapText="1"/>
    </xf>
    <xf numFmtId="0" fontId="8" fillId="35" borderId="4" xfId="0" applyFont="1" applyFill="1" applyBorder="1" applyAlignment="1">
      <alignment horizontal="center" vertical="top" wrapText="1"/>
    </xf>
    <xf numFmtId="0" fontId="8" fillId="35" borderId="0" xfId="0" applyFont="1" applyFill="1" applyBorder="1" applyAlignment="1">
      <alignment horizontal="center" vertical="top" wrapText="1"/>
    </xf>
    <xf numFmtId="0" fontId="8" fillId="35" borderId="5" xfId="0" applyFont="1" applyFill="1" applyBorder="1" applyAlignment="1">
      <alignment horizontal="center" vertical="top" wrapText="1"/>
    </xf>
    <xf numFmtId="0" fontId="10" fillId="0" borderId="0" xfId="0" applyFont="1" applyAlignment="1">
      <alignment vertical="center" wrapText="1"/>
    </xf>
    <xf numFmtId="0" fontId="0" fillId="0" borderId="0" xfId="0" applyAlignment="1">
      <alignment horizontal="center" vertical="center"/>
    </xf>
    <xf numFmtId="0" fontId="14" fillId="35" borderId="21" xfId="0" applyFont="1" applyFill="1" applyBorder="1" applyAlignment="1">
      <alignment horizontal="center" vertical="center"/>
    </xf>
    <xf numFmtId="0" fontId="14" fillId="0" borderId="24" xfId="0" applyFont="1" applyBorder="1" applyAlignment="1">
      <alignment horizontal="center" vertical="center"/>
    </xf>
    <xf numFmtId="0" fontId="14" fillId="0" borderId="0" xfId="0" applyFont="1" applyBorder="1" applyAlignment="1">
      <alignment horizontal="center" vertical="center"/>
    </xf>
    <xf numFmtId="0" fontId="10" fillId="0" borderId="0" xfId="0" applyFont="1" applyAlignment="1">
      <alignment horizontal="left" vertical="center" wrapText="1"/>
    </xf>
    <xf numFmtId="0" fontId="13" fillId="0" borderId="0" xfId="0" applyFont="1" applyBorder="1" applyAlignment="1">
      <alignment horizontal="center"/>
    </xf>
    <xf numFmtId="49" fontId="8" fillId="0" borderId="0" xfId="0" applyNumberFormat="1" applyFont="1" applyBorder="1" applyAlignment="1">
      <alignment horizontal="left" vertical="center" wrapText="1"/>
    </xf>
    <xf numFmtId="0" fontId="14" fillId="0" borderId="0" xfId="0" applyFont="1" applyAlignment="1">
      <alignment horizontal="center" vertical="center"/>
    </xf>
    <xf numFmtId="49" fontId="10" fillId="0" borderId="0" xfId="0" applyNumberFormat="1" applyFont="1" applyBorder="1" applyAlignment="1">
      <alignment horizontal="left" vertical="center" wrapText="1"/>
    </xf>
    <xf numFmtId="0" fontId="13" fillId="0" borderId="1" xfId="0" applyFont="1" applyBorder="1" applyAlignment="1">
      <alignment horizontal="center"/>
    </xf>
    <xf numFmtId="0" fontId="73" fillId="0" borderId="26" xfId="0" applyFont="1" applyBorder="1" applyAlignment="1">
      <alignment horizontal="left" vertical="center"/>
    </xf>
    <xf numFmtId="0" fontId="73" fillId="0" borderId="20" xfId="0" applyFont="1" applyBorder="1" applyAlignment="1">
      <alignment horizontal="left" vertical="center"/>
    </xf>
    <xf numFmtId="0" fontId="73" fillId="0" borderId="21" xfId="0" applyFont="1" applyBorder="1" applyAlignment="1">
      <alignment horizontal="left" vertical="center"/>
    </xf>
    <xf numFmtId="0" fontId="73" fillId="0" borderId="22" xfId="0" applyFont="1" applyBorder="1" applyAlignment="1">
      <alignment horizontal="left" vertical="center"/>
    </xf>
    <xf numFmtId="0" fontId="73" fillId="0" borderId="20" xfId="0" applyFont="1" applyBorder="1" applyAlignment="1">
      <alignment horizontal="center" vertical="center"/>
    </xf>
    <xf numFmtId="0" fontId="73" fillId="0" borderId="22" xfId="0" applyFont="1" applyBorder="1" applyAlignment="1">
      <alignment horizontal="center" vertical="center"/>
    </xf>
    <xf numFmtId="0" fontId="73" fillId="0" borderId="20" xfId="0" applyFont="1" applyBorder="1" applyAlignment="1">
      <alignment horizontal="right" vertical="center"/>
    </xf>
    <xf numFmtId="0" fontId="73" fillId="0" borderId="21" xfId="0" applyFont="1" applyBorder="1" applyAlignment="1">
      <alignment horizontal="right" vertical="center"/>
    </xf>
    <xf numFmtId="0" fontId="73" fillId="0" borderId="22" xfId="0" applyFont="1" applyBorder="1" applyAlignment="1">
      <alignment horizontal="right" vertical="center"/>
    </xf>
    <xf numFmtId="0" fontId="73" fillId="35" borderId="26" xfId="0" applyFont="1" applyFill="1" applyBorder="1" applyAlignment="1">
      <alignment horizontal="left" vertical="center"/>
    </xf>
    <xf numFmtId="0" fontId="0" fillId="35" borderId="21" xfId="0" applyFill="1" applyBorder="1" applyAlignment="1">
      <alignment horizontal="left" vertical="center"/>
    </xf>
    <xf numFmtId="0" fontId="0" fillId="35" borderId="1" xfId="0" applyFill="1" applyBorder="1" applyAlignment="1">
      <alignment horizontal="left" vertical="center"/>
    </xf>
    <xf numFmtId="0" fontId="73" fillId="35" borderId="20" xfId="0" applyFont="1" applyFill="1" applyBorder="1" applyAlignment="1">
      <alignment horizontal="left" vertical="center"/>
    </xf>
    <xf numFmtId="0" fontId="73" fillId="35" borderId="21" xfId="0" applyFont="1" applyFill="1" applyBorder="1" applyAlignment="1">
      <alignment horizontal="left" vertical="center"/>
    </xf>
    <xf numFmtId="0" fontId="73" fillId="35" borderId="22" xfId="0" applyFont="1" applyFill="1" applyBorder="1" applyAlignment="1">
      <alignment horizontal="left" vertical="center"/>
    </xf>
    <xf numFmtId="0" fontId="73" fillId="35" borderId="20" xfId="0" applyFont="1" applyFill="1" applyBorder="1" applyAlignment="1">
      <alignment horizontal="center" vertical="center"/>
    </xf>
    <xf numFmtId="0" fontId="73" fillId="35" borderId="22" xfId="0" applyFont="1" applyFill="1" applyBorder="1" applyAlignment="1">
      <alignment horizontal="center" vertical="center"/>
    </xf>
    <xf numFmtId="0" fontId="73" fillId="35" borderId="20" xfId="0" applyFont="1" applyFill="1" applyBorder="1" applyAlignment="1">
      <alignment horizontal="right" vertical="center"/>
    </xf>
    <xf numFmtId="0" fontId="73" fillId="35" borderId="21" xfId="0" applyFont="1" applyFill="1" applyBorder="1" applyAlignment="1">
      <alignment horizontal="right" vertical="center"/>
    </xf>
    <xf numFmtId="0" fontId="73" fillId="35" borderId="22" xfId="0" applyFont="1" applyFill="1" applyBorder="1" applyAlignment="1">
      <alignment horizontal="right" vertical="center"/>
    </xf>
    <xf numFmtId="0" fontId="75" fillId="0" borderId="0" xfId="0" applyFont="1" applyAlignment="1">
      <alignment horizontal="center"/>
    </xf>
    <xf numFmtId="0" fontId="75" fillId="0" borderId="0" xfId="0" applyFont="1" applyAlignment="1">
      <alignment horizontal="center" vertical="top"/>
    </xf>
    <xf numFmtId="0" fontId="73" fillId="0" borderId="26" xfId="0" applyFont="1" applyFill="1" applyBorder="1" applyAlignment="1">
      <alignment horizontal="center" vertical="center" wrapText="1"/>
    </xf>
    <xf numFmtId="0" fontId="73" fillId="0" borderId="26" xfId="0" applyFont="1" applyFill="1" applyBorder="1" applyAlignment="1">
      <alignment horizontal="center" vertical="center"/>
    </xf>
    <xf numFmtId="0" fontId="73" fillId="0" borderId="26" xfId="0" applyFont="1" applyBorder="1" applyAlignment="1">
      <alignment horizontal="center" vertical="center" wrapText="1"/>
    </xf>
    <xf numFmtId="0" fontId="73" fillId="0" borderId="26" xfId="0" applyFont="1" applyBorder="1" applyAlignment="1">
      <alignment horizontal="center" vertical="center"/>
    </xf>
    <xf numFmtId="0" fontId="9" fillId="0" borderId="0" xfId="0" applyFont="1" applyAlignment="1">
      <alignment horizontal="left" vertical="center"/>
    </xf>
    <xf numFmtId="0" fontId="9" fillId="0" borderId="0" xfId="0" applyFont="1" applyAlignment="1">
      <alignment horizontal="left" vertical="center" wrapText="1"/>
    </xf>
    <xf numFmtId="0" fontId="5" fillId="0" borderId="0" xfId="0" applyFont="1" applyAlignment="1">
      <alignment horizontal="left" vertical="center" wrapText="1"/>
    </xf>
    <xf numFmtId="0" fontId="0" fillId="0" borderId="1" xfId="0" applyBorder="1" applyAlignment="1">
      <alignment horizontal="center" vertical="center"/>
    </xf>
    <xf numFmtId="0" fontId="14" fillId="0" borderId="0" xfId="0" applyFont="1" applyAlignment="1">
      <alignment horizontal="right" vertical="center"/>
    </xf>
    <xf numFmtId="0" fontId="14" fillId="0" borderId="1" xfId="0" applyFont="1" applyBorder="1" applyAlignment="1">
      <alignment horizontal="center" vertical="center"/>
    </xf>
    <xf numFmtId="0" fontId="14" fillId="0" borderId="21" xfId="0" applyFont="1" applyBorder="1" applyAlignment="1">
      <alignment horizontal="center" vertical="center"/>
    </xf>
    <xf numFmtId="0" fontId="8" fillId="0" borderId="0" xfId="0" applyFont="1" applyAlignment="1">
      <alignment horizontal="left" vertical="center"/>
    </xf>
    <xf numFmtId="0" fontId="8" fillId="0" borderId="0" xfId="0" applyFont="1" applyAlignment="1">
      <alignment horizontal="right" vertical="center"/>
    </xf>
    <xf numFmtId="0" fontId="81" fillId="0" borderId="0" xfId="0" applyFont="1" applyAlignment="1">
      <alignment horizontal="left" vertical="center"/>
    </xf>
    <xf numFmtId="0" fontId="0" fillId="0" borderId="0" xfId="0" applyAlignment="1">
      <alignment horizontal="left" vertical="center"/>
    </xf>
    <xf numFmtId="0" fontId="70" fillId="0" borderId="0" xfId="0" applyFont="1" applyAlignment="1">
      <alignment horizontal="left" vertical="center" wrapText="1"/>
    </xf>
    <xf numFmtId="0" fontId="16" fillId="0" borderId="0" xfId="0" applyFont="1" applyAlignment="1">
      <alignment vertical="center" wrapText="1"/>
    </xf>
    <xf numFmtId="0" fontId="0" fillId="35" borderId="1" xfId="0" applyFill="1" applyBorder="1" applyAlignment="1">
      <alignment horizontal="center" vertical="center"/>
    </xf>
    <xf numFmtId="0" fontId="14" fillId="35" borderId="1" xfId="0" applyFont="1" applyFill="1" applyBorder="1" applyAlignment="1">
      <alignment horizontal="center" vertical="center"/>
    </xf>
    <xf numFmtId="0" fontId="69" fillId="0" borderId="4" xfId="0" applyFont="1" applyBorder="1" applyAlignment="1">
      <alignment horizontal="center" vertical="center" wrapText="1"/>
    </xf>
    <xf numFmtId="0" fontId="69" fillId="0" borderId="0" xfId="0" applyFont="1" applyAlignment="1">
      <alignment horizontal="center" vertical="center" wrapText="1"/>
    </xf>
    <xf numFmtId="0" fontId="8" fillId="0" borderId="20" xfId="0" applyFont="1" applyBorder="1" applyAlignment="1">
      <alignment horizontal="center" vertical="top" wrapText="1"/>
    </xf>
    <xf numFmtId="0" fontId="8" fillId="0" borderId="21" xfId="0" applyFont="1" applyBorder="1" applyAlignment="1">
      <alignment horizontal="center" vertical="top" wrapText="1"/>
    </xf>
    <xf numFmtId="0" fontId="8" fillId="0" borderId="22" xfId="0" applyFont="1" applyBorder="1" applyAlignment="1">
      <alignment horizontal="center" vertical="top" wrapText="1"/>
    </xf>
    <xf numFmtId="0" fontId="10" fillId="0" borderId="4" xfId="0" applyFont="1" applyBorder="1" applyAlignment="1">
      <alignment horizontal="center" vertical="center" wrapText="1"/>
    </xf>
    <xf numFmtId="0" fontId="10" fillId="0" borderId="0" xfId="0" applyFont="1" applyAlignment="1">
      <alignment horizontal="center" vertical="center" wrapText="1"/>
    </xf>
    <xf numFmtId="0" fontId="10" fillId="0" borderId="5" xfId="0" applyFont="1" applyBorder="1" applyAlignment="1">
      <alignment horizontal="center" vertical="center" wrapText="1"/>
    </xf>
    <xf numFmtId="0" fontId="15" fillId="35" borderId="21" xfId="0" applyFont="1" applyFill="1" applyBorder="1" applyAlignment="1">
      <alignment horizontal="center" vertical="center"/>
    </xf>
    <xf numFmtId="0" fontId="15" fillId="35" borderId="22" xfId="0" applyFont="1" applyFill="1" applyBorder="1" applyAlignment="1">
      <alignment horizontal="center" vertical="center"/>
    </xf>
    <xf numFmtId="0" fontId="83" fillId="0" borderId="1" xfId="0" applyFont="1" applyBorder="1" applyAlignment="1">
      <alignment horizontal="center" vertical="top" wrapText="1"/>
    </xf>
    <xf numFmtId="0" fontId="83" fillId="0" borderId="1" xfId="0" applyFont="1" applyBorder="1" applyAlignment="1">
      <alignment horizontal="center" vertical="top"/>
    </xf>
    <xf numFmtId="0" fontId="15" fillId="0" borderId="4" xfId="0" applyFont="1" applyFill="1" applyBorder="1" applyAlignment="1">
      <alignment horizontal="left" vertical="top" wrapText="1"/>
    </xf>
    <xf numFmtId="0" fontId="15" fillId="0" borderId="0" xfId="0" applyFont="1" applyFill="1" applyBorder="1" applyAlignment="1">
      <alignment horizontal="left" vertical="top" wrapText="1"/>
    </xf>
    <xf numFmtId="0" fontId="8" fillId="0" borderId="0" xfId="0" applyFont="1" applyFill="1" applyBorder="1" applyAlignment="1">
      <alignment horizontal="right" wrapText="1"/>
    </xf>
    <xf numFmtId="0" fontId="8" fillId="0" borderId="5" xfId="0" applyFont="1" applyFill="1" applyBorder="1" applyAlignment="1">
      <alignment horizontal="right" wrapText="1"/>
    </xf>
    <xf numFmtId="0" fontId="8" fillId="0" borderId="23" xfId="0" applyFont="1" applyBorder="1" applyAlignment="1">
      <alignment horizontal="left" vertical="top" wrapText="1"/>
    </xf>
    <xf numFmtId="0" fontId="8" fillId="0" borderId="24" xfId="0" applyFont="1" applyBorder="1" applyAlignment="1">
      <alignment horizontal="left" vertical="top" wrapText="1"/>
    </xf>
    <xf numFmtId="0" fontId="8" fillId="0" borderId="25" xfId="0" applyFont="1" applyBorder="1" applyAlignment="1">
      <alignment horizontal="left" vertical="top" wrapText="1"/>
    </xf>
    <xf numFmtId="0" fontId="8" fillId="0" borderId="4" xfId="0" applyFont="1" applyBorder="1" applyAlignment="1">
      <alignment horizontal="left" vertical="top" wrapText="1"/>
    </xf>
    <xf numFmtId="0" fontId="8" fillId="0" borderId="0" xfId="0" applyFont="1" applyBorder="1" applyAlignment="1">
      <alignment horizontal="left" vertical="top" wrapText="1"/>
    </xf>
    <xf numFmtId="0" fontId="8" fillId="0" borderId="5" xfId="0" applyFont="1" applyBorder="1" applyAlignment="1">
      <alignment horizontal="left" vertical="top" wrapText="1"/>
    </xf>
    <xf numFmtId="0" fontId="8" fillId="0" borderId="2" xfId="0" applyFont="1" applyBorder="1" applyAlignment="1">
      <alignment horizontal="left" vertical="top" wrapText="1"/>
    </xf>
    <xf numFmtId="0" fontId="8" fillId="0" borderId="1" xfId="0" applyFont="1" applyBorder="1" applyAlignment="1">
      <alignment horizontal="left" vertical="top" wrapText="1"/>
    </xf>
    <xf numFmtId="0" fontId="8" fillId="0" borderId="3" xfId="0" applyFont="1" applyBorder="1" applyAlignment="1">
      <alignment horizontal="left" vertical="top" wrapText="1"/>
    </xf>
    <xf numFmtId="0" fontId="8" fillId="35" borderId="2" xfId="0" applyFont="1" applyFill="1" applyBorder="1" applyAlignment="1">
      <alignment horizontal="center" vertical="top" wrapText="1"/>
    </xf>
    <xf numFmtId="0" fontId="8" fillId="35" borderId="1" xfId="0" applyFont="1" applyFill="1" applyBorder="1" applyAlignment="1">
      <alignment horizontal="center" vertical="top" wrapText="1"/>
    </xf>
    <xf numFmtId="0" fontId="8" fillId="35" borderId="3" xfId="0" applyFont="1" applyFill="1" applyBorder="1" applyAlignment="1">
      <alignment horizontal="center" vertical="top" wrapText="1"/>
    </xf>
    <xf numFmtId="0" fontId="78" fillId="0" borderId="23" xfId="0" applyFont="1" applyBorder="1" applyAlignment="1">
      <alignment horizontal="left" vertical="top" wrapText="1"/>
    </xf>
    <xf numFmtId="0" fontId="8" fillId="35" borderId="4" xfId="0" applyFont="1" applyFill="1" applyBorder="1" applyAlignment="1">
      <alignment horizontal="center" vertical="center" wrapText="1"/>
    </xf>
    <xf numFmtId="0" fontId="8" fillId="35" borderId="0" xfId="0" applyFont="1" applyFill="1" applyBorder="1" applyAlignment="1">
      <alignment horizontal="center" vertical="center" wrapText="1"/>
    </xf>
    <xf numFmtId="0" fontId="8" fillId="35" borderId="5" xfId="0" applyFont="1" applyFill="1" applyBorder="1" applyAlignment="1">
      <alignment horizontal="center" vertical="center" wrapText="1"/>
    </xf>
    <xf numFmtId="0" fontId="8" fillId="0" borderId="0" xfId="0" applyFont="1" applyAlignment="1">
      <alignment horizontal="left" vertical="top" wrapText="1"/>
    </xf>
    <xf numFmtId="0" fontId="8" fillId="0" borderId="2" xfId="0" applyFont="1" applyBorder="1" applyAlignment="1">
      <alignment horizontal="center" vertical="top" wrapText="1"/>
    </xf>
    <xf numFmtId="0" fontId="8" fillId="0" borderId="1" xfId="0" applyFont="1" applyBorder="1" applyAlignment="1">
      <alignment horizontal="center" vertical="top" wrapText="1"/>
    </xf>
    <xf numFmtId="0" fontId="8" fillId="0" borderId="3" xfId="0" applyFont="1" applyBorder="1" applyAlignment="1">
      <alignment horizontal="center" vertical="top" wrapText="1"/>
    </xf>
    <xf numFmtId="0" fontId="69" fillId="0" borderId="23" xfId="0" applyFont="1" applyBorder="1" applyAlignment="1">
      <alignment horizontal="left" vertical="top" wrapText="1"/>
    </xf>
    <xf numFmtId="0" fontId="69" fillId="0" borderId="24" xfId="0" applyFont="1" applyBorder="1" applyAlignment="1">
      <alignment horizontal="left" vertical="top" wrapText="1"/>
    </xf>
    <xf numFmtId="0" fontId="69" fillId="0" borderId="25" xfId="0" applyFont="1" applyBorder="1" applyAlignment="1">
      <alignment horizontal="left" vertical="top" wrapText="1"/>
    </xf>
    <xf numFmtId="0" fontId="85" fillId="0" borderId="0" xfId="0" applyFont="1" applyBorder="1" applyAlignment="1">
      <alignment horizontal="left" vertical="center" wrapText="1"/>
    </xf>
    <xf numFmtId="0" fontId="8" fillId="0" borderId="3" xfId="0" applyFont="1" applyFill="1" applyBorder="1" applyAlignment="1">
      <alignment horizontal="left" vertical="top" wrapText="1"/>
    </xf>
    <xf numFmtId="0" fontId="8" fillId="0" borderId="0" xfId="0" applyFont="1" applyAlignment="1">
      <alignment horizontal="left" vertical="center" wrapText="1"/>
    </xf>
    <xf numFmtId="0" fontId="10" fillId="0" borderId="0" xfId="0" applyFont="1" applyBorder="1" applyAlignment="1">
      <alignment horizontal="left" vertical="center" wrapText="1"/>
    </xf>
    <xf numFmtId="0" fontId="8" fillId="0" borderId="4" xfId="0" applyFont="1" applyBorder="1" applyAlignment="1">
      <alignment horizontal="left" wrapText="1"/>
    </xf>
    <xf numFmtId="0" fontId="8" fillId="0" borderId="0" xfId="0" applyFont="1" applyBorder="1" applyAlignment="1">
      <alignment horizontal="left" wrapText="1"/>
    </xf>
    <xf numFmtId="0" fontId="8" fillId="0" borderId="5" xfId="0" applyFont="1" applyBorder="1" applyAlignment="1">
      <alignment horizontal="left" wrapText="1"/>
    </xf>
    <xf numFmtId="0" fontId="8" fillId="0" borderId="0" xfId="0" applyFont="1" applyBorder="1" applyAlignment="1">
      <alignment horizontal="left" vertical="center" wrapText="1"/>
    </xf>
    <xf numFmtId="0" fontId="120" fillId="0" borderId="0" xfId="14" applyFont="1" applyAlignment="1">
      <alignment horizontal="center" vertical="center"/>
    </xf>
    <xf numFmtId="0" fontId="119" fillId="0" borderId="0" xfId="14" applyFont="1" applyAlignment="1">
      <alignment horizontal="center" vertical="center"/>
    </xf>
    <xf numFmtId="0" fontId="124" fillId="36" borderId="150" xfId="14" applyFont="1" applyFill="1" applyBorder="1" applyAlignment="1">
      <alignment horizontal="center" vertical="center"/>
    </xf>
    <xf numFmtId="0" fontId="124" fillId="36" borderId="151" xfId="14" applyFont="1" applyFill="1" applyBorder="1" applyAlignment="1">
      <alignment horizontal="center" vertical="center"/>
    </xf>
    <xf numFmtId="0" fontId="124" fillId="36" borderId="152" xfId="14" applyFont="1" applyFill="1" applyBorder="1" applyAlignment="1">
      <alignment horizontal="center" vertical="center"/>
    </xf>
    <xf numFmtId="0" fontId="62" fillId="36" borderId="153" xfId="14" applyFont="1" applyFill="1" applyBorder="1" applyAlignment="1">
      <alignment horizontal="center" vertical="top" wrapText="1"/>
    </xf>
    <xf numFmtId="0" fontId="62" fillId="36" borderId="158" xfId="14" applyFont="1" applyFill="1" applyBorder="1" applyAlignment="1">
      <alignment horizontal="center" vertical="top" wrapText="1"/>
    </xf>
    <xf numFmtId="0" fontId="62" fillId="36" borderId="163" xfId="14" applyFont="1" applyFill="1" applyBorder="1" applyAlignment="1">
      <alignment horizontal="center" vertical="top" wrapText="1"/>
    </xf>
    <xf numFmtId="0" fontId="126" fillId="0" borderId="153" xfId="14" applyFont="1" applyBorder="1" applyAlignment="1" applyProtection="1">
      <alignment horizontal="center" vertical="center" shrinkToFit="1"/>
      <protection locked="0"/>
    </xf>
    <xf numFmtId="0" fontId="126" fillId="0" borderId="158" xfId="14" applyFont="1" applyBorder="1" applyAlignment="1" applyProtection="1">
      <alignment horizontal="center" vertical="center" shrinkToFit="1"/>
      <protection locked="0"/>
    </xf>
    <xf numFmtId="0" fontId="126" fillId="0" borderId="163" xfId="14" applyFont="1" applyBorder="1" applyAlignment="1" applyProtection="1">
      <alignment horizontal="center" vertical="center" shrinkToFit="1"/>
      <protection locked="0"/>
    </xf>
    <xf numFmtId="0" fontId="126" fillId="35" borderId="166" xfId="14" applyFont="1" applyFill="1" applyBorder="1" applyAlignment="1" applyProtection="1">
      <alignment horizontal="center" vertical="center" shrinkToFit="1"/>
      <protection locked="0"/>
    </xf>
    <xf numFmtId="0" fontId="126" fillId="35" borderId="168" xfId="14" applyFont="1" applyFill="1" applyBorder="1" applyAlignment="1" applyProtection="1">
      <alignment horizontal="center" vertical="center" shrinkToFit="1"/>
      <protection locked="0"/>
    </xf>
    <xf numFmtId="0" fontId="126" fillId="35" borderId="167" xfId="14" applyFont="1" applyFill="1" applyBorder="1" applyAlignment="1" applyProtection="1">
      <alignment horizontal="center" vertical="center" shrinkToFit="1"/>
      <protection locked="0"/>
    </xf>
    <xf numFmtId="0" fontId="126" fillId="35" borderId="157" xfId="14" applyFont="1" applyFill="1" applyBorder="1" applyAlignment="1" applyProtection="1">
      <alignment horizontal="center" vertical="center" shrinkToFit="1"/>
      <protection locked="0"/>
    </xf>
    <xf numFmtId="0" fontId="126" fillId="35" borderId="0" xfId="14" applyFont="1" applyFill="1" applyBorder="1" applyAlignment="1" applyProtection="1">
      <alignment horizontal="center" vertical="center" shrinkToFit="1"/>
      <protection locked="0"/>
    </xf>
    <xf numFmtId="0" fontId="126" fillId="35" borderId="156" xfId="14" applyFont="1" applyFill="1" applyBorder="1" applyAlignment="1" applyProtection="1">
      <alignment horizontal="center" vertical="center" shrinkToFit="1"/>
      <protection locked="0"/>
    </xf>
    <xf numFmtId="0" fontId="126" fillId="35" borderId="162" xfId="14" applyFont="1" applyFill="1" applyBorder="1" applyAlignment="1" applyProtection="1">
      <alignment horizontal="center" vertical="center" shrinkToFit="1"/>
      <protection locked="0"/>
    </xf>
    <xf numFmtId="0" fontId="126" fillId="35" borderId="1" xfId="14" applyFont="1" applyFill="1" applyBorder="1" applyAlignment="1" applyProtection="1">
      <alignment horizontal="center" vertical="center" shrinkToFit="1"/>
      <protection locked="0"/>
    </xf>
    <xf numFmtId="0" fontId="126" fillId="35" borderId="161" xfId="14" applyFont="1" applyFill="1" applyBorder="1" applyAlignment="1" applyProtection="1">
      <alignment horizontal="center" vertical="center" shrinkToFit="1"/>
      <protection locked="0"/>
    </xf>
    <xf numFmtId="49" fontId="126" fillId="35" borderId="166" xfId="14" applyNumberFormat="1" applyFont="1" applyFill="1" applyBorder="1" applyAlignment="1" applyProtection="1">
      <alignment horizontal="center" vertical="center" shrinkToFit="1"/>
      <protection locked="0"/>
    </xf>
    <xf numFmtId="49" fontId="126" fillId="35" borderId="168" xfId="14" applyNumberFormat="1" applyFont="1" applyFill="1" applyBorder="1" applyAlignment="1" applyProtection="1">
      <alignment horizontal="center" vertical="center" shrinkToFit="1"/>
      <protection locked="0"/>
    </xf>
    <xf numFmtId="49" fontId="126" fillId="35" borderId="157" xfId="14" applyNumberFormat="1" applyFont="1" applyFill="1" applyBorder="1" applyAlignment="1" applyProtection="1">
      <alignment horizontal="center" vertical="center" shrinkToFit="1"/>
      <protection locked="0"/>
    </xf>
    <xf numFmtId="49" fontId="126" fillId="35" borderId="0" xfId="14" applyNumberFormat="1" applyFont="1" applyFill="1" applyAlignment="1" applyProtection="1">
      <alignment horizontal="center" vertical="center" shrinkToFit="1"/>
      <protection locked="0"/>
    </xf>
    <xf numFmtId="49" fontId="126" fillId="35" borderId="162" xfId="14" applyNumberFormat="1" applyFont="1" applyFill="1" applyBorder="1" applyAlignment="1" applyProtection="1">
      <alignment horizontal="center" vertical="center" shrinkToFit="1"/>
      <protection locked="0"/>
    </xf>
    <xf numFmtId="49" fontId="126" fillId="35" borderId="1" xfId="14" applyNumberFormat="1" applyFont="1" applyFill="1" applyBorder="1" applyAlignment="1" applyProtection="1">
      <alignment horizontal="center" vertical="center" shrinkToFit="1"/>
      <protection locked="0"/>
    </xf>
    <xf numFmtId="0" fontId="126" fillId="0" borderId="168" xfId="14" applyFont="1" applyBorder="1" applyAlignment="1">
      <alignment horizontal="center" vertical="center" shrinkToFit="1"/>
    </xf>
    <xf numFmtId="0" fontId="126" fillId="0" borderId="0" xfId="14" applyFont="1" applyAlignment="1">
      <alignment horizontal="center" vertical="center" shrinkToFit="1"/>
    </xf>
    <xf numFmtId="0" fontId="126" fillId="0" borderId="1" xfId="14" applyFont="1" applyBorder="1" applyAlignment="1">
      <alignment horizontal="center" vertical="center" shrinkToFit="1"/>
    </xf>
    <xf numFmtId="49" fontId="126" fillId="0" borderId="168" xfId="14" applyNumberFormat="1" applyFont="1" applyBorder="1" applyAlignment="1">
      <alignment horizontal="center" vertical="center" shrinkToFit="1"/>
    </xf>
    <xf numFmtId="49" fontId="126" fillId="0" borderId="0" xfId="14" applyNumberFormat="1" applyFont="1" applyAlignment="1">
      <alignment horizontal="center" vertical="center" shrinkToFit="1"/>
    </xf>
    <xf numFmtId="49" fontId="126" fillId="0" borderId="1" xfId="14" applyNumberFormat="1" applyFont="1" applyBorder="1" applyAlignment="1">
      <alignment horizontal="center" vertical="center" shrinkToFit="1"/>
    </xf>
    <xf numFmtId="49" fontId="126" fillId="35" borderId="169" xfId="14" applyNumberFormat="1" applyFont="1" applyFill="1" applyBorder="1" applyAlignment="1" applyProtection="1">
      <alignment horizontal="center" vertical="center" shrinkToFit="1"/>
      <protection locked="0"/>
    </xf>
    <xf numFmtId="49" fontId="126" fillId="35" borderId="5" xfId="14" applyNumberFormat="1" applyFont="1" applyFill="1" applyBorder="1" applyAlignment="1" applyProtection="1">
      <alignment horizontal="center" vertical="center" shrinkToFit="1"/>
      <protection locked="0"/>
    </xf>
    <xf numFmtId="49" fontId="126" fillId="35" borderId="3" xfId="14" applyNumberFormat="1" applyFont="1" applyFill="1" applyBorder="1" applyAlignment="1" applyProtection="1">
      <alignment horizontal="center" vertical="center" shrinkToFit="1"/>
      <protection locked="0"/>
    </xf>
    <xf numFmtId="179" fontId="126" fillId="37" borderId="173" xfId="14" applyNumberFormat="1" applyFont="1" applyFill="1" applyBorder="1" applyAlignment="1">
      <alignment horizontal="right" vertical="center" shrinkToFit="1"/>
    </xf>
    <xf numFmtId="179" fontId="126" fillId="37" borderId="176" xfId="14" applyNumberFormat="1" applyFont="1" applyFill="1" applyBorder="1" applyAlignment="1">
      <alignment horizontal="right" vertical="center" shrinkToFit="1"/>
    </xf>
    <xf numFmtId="0" fontId="62" fillId="36" borderId="154" xfId="14" applyFont="1" applyFill="1" applyBorder="1" applyAlignment="1">
      <alignment horizontal="center" vertical="top" wrapText="1"/>
    </xf>
    <xf numFmtId="0" fontId="62" fillId="36" borderId="159" xfId="14" applyFont="1" applyFill="1" applyBorder="1" applyAlignment="1">
      <alignment horizontal="center" vertical="top" wrapText="1"/>
    </xf>
    <xf numFmtId="0" fontId="62" fillId="36" borderId="164" xfId="14" applyFont="1" applyFill="1" applyBorder="1" applyAlignment="1">
      <alignment horizontal="center" vertical="top" wrapText="1"/>
    </xf>
    <xf numFmtId="0" fontId="62" fillId="36" borderId="155" xfId="14" applyFont="1" applyFill="1" applyBorder="1" applyAlignment="1">
      <alignment horizontal="center" vertical="top" wrapText="1"/>
    </xf>
    <xf numFmtId="0" fontId="62" fillId="36" borderId="160" xfId="14" applyFont="1" applyFill="1" applyBorder="1" applyAlignment="1">
      <alignment horizontal="center" vertical="top" wrapText="1"/>
    </xf>
    <xf numFmtId="0" fontId="62" fillId="36" borderId="165" xfId="14" applyFont="1" applyFill="1" applyBorder="1" applyAlignment="1">
      <alignment horizontal="center" vertical="top" wrapText="1"/>
    </xf>
    <xf numFmtId="0" fontId="122" fillId="36" borderId="4" xfId="14" applyFont="1" applyFill="1" applyBorder="1" applyAlignment="1">
      <alignment horizontal="center" vertical="center"/>
    </xf>
    <xf numFmtId="0" fontId="122" fillId="36" borderId="0" xfId="14" applyFont="1" applyFill="1" applyAlignment="1">
      <alignment horizontal="center" vertical="center"/>
    </xf>
    <xf numFmtId="0" fontId="122" fillId="36" borderId="156" xfId="14" applyFont="1" applyFill="1" applyBorder="1" applyAlignment="1">
      <alignment horizontal="center" vertical="center"/>
    </xf>
    <xf numFmtId="0" fontId="122" fillId="36" borderId="2" xfId="14" applyFont="1" applyFill="1" applyBorder="1" applyAlignment="1">
      <alignment horizontal="center" vertical="center"/>
    </xf>
    <xf numFmtId="0" fontId="122" fillId="36" borderId="1" xfId="14" applyFont="1" applyFill="1" applyBorder="1" applyAlignment="1">
      <alignment horizontal="center" vertical="center"/>
    </xf>
    <xf numFmtId="0" fontId="122" fillId="36" borderId="161" xfId="14" applyFont="1" applyFill="1" applyBorder="1" applyAlignment="1">
      <alignment horizontal="center" vertical="center"/>
    </xf>
    <xf numFmtId="0" fontId="124" fillId="36" borderId="157" xfId="14" applyFont="1" applyFill="1" applyBorder="1" applyAlignment="1">
      <alignment horizontal="center" vertical="center" wrapText="1"/>
    </xf>
    <xf numFmtId="0" fontId="124" fillId="36" borderId="0" xfId="14" applyFont="1" applyFill="1" applyAlignment="1">
      <alignment horizontal="center" vertical="center" wrapText="1"/>
    </xf>
    <xf numFmtId="0" fontId="124" fillId="36" borderId="156" xfId="14" applyFont="1" applyFill="1" applyBorder="1" applyAlignment="1">
      <alignment horizontal="center" vertical="center" wrapText="1"/>
    </xf>
    <xf numFmtId="0" fontId="124" fillId="36" borderId="162" xfId="14" applyFont="1" applyFill="1" applyBorder="1" applyAlignment="1">
      <alignment horizontal="center" vertical="center" wrapText="1"/>
    </xf>
    <xf numFmtId="0" fontId="124" fillId="36" borderId="1" xfId="14" applyFont="1" applyFill="1" applyBorder="1" applyAlignment="1">
      <alignment horizontal="center" vertical="center" wrapText="1"/>
    </xf>
    <xf numFmtId="0" fontId="124" fillId="36" borderId="161" xfId="14" applyFont="1" applyFill="1" applyBorder="1" applyAlignment="1">
      <alignment horizontal="center" vertical="center" wrapText="1"/>
    </xf>
    <xf numFmtId="0" fontId="126" fillId="35" borderId="24" xfId="14" applyFont="1" applyFill="1" applyBorder="1" applyAlignment="1" applyProtection="1">
      <alignment horizontal="center" vertical="center" shrinkToFit="1"/>
      <protection locked="0"/>
    </xf>
    <xf numFmtId="0" fontId="126" fillId="35" borderId="0" xfId="14" applyFont="1" applyFill="1" applyAlignment="1" applyProtection="1">
      <alignment horizontal="center" vertical="center" shrinkToFit="1"/>
      <protection locked="0"/>
    </xf>
    <xf numFmtId="179" fontId="126" fillId="37" borderId="174" xfId="14" applyNumberFormat="1" applyFont="1" applyFill="1" applyBorder="1" applyAlignment="1">
      <alignment horizontal="right" vertical="center" shrinkToFit="1"/>
    </xf>
    <xf numFmtId="179" fontId="126" fillId="37" borderId="177" xfId="14" applyNumberFormat="1" applyFont="1" applyFill="1" applyBorder="1" applyAlignment="1">
      <alignment horizontal="right" vertical="center" shrinkToFit="1"/>
    </xf>
    <xf numFmtId="179" fontId="126" fillId="37" borderId="175" xfId="14" applyNumberFormat="1" applyFont="1" applyFill="1" applyBorder="1" applyAlignment="1">
      <alignment horizontal="right" vertical="center" shrinkToFit="1"/>
    </xf>
    <xf numFmtId="179" fontId="126" fillId="37" borderId="178" xfId="14" applyNumberFormat="1" applyFont="1" applyFill="1" applyBorder="1" applyAlignment="1">
      <alignment horizontal="right" vertical="center" shrinkToFit="1"/>
    </xf>
    <xf numFmtId="0" fontId="122" fillId="35" borderId="0" xfId="14" applyFont="1" applyFill="1" applyAlignment="1" applyProtection="1">
      <alignment horizontal="left" vertical="center"/>
      <protection locked="0"/>
    </xf>
    <xf numFmtId="0" fontId="124" fillId="35" borderId="0" xfId="14" applyNumberFormat="1" applyFont="1" applyFill="1" applyAlignment="1" applyProtection="1">
      <alignment horizontal="center" vertical="center"/>
      <protection locked="0"/>
    </xf>
    <xf numFmtId="0" fontId="64" fillId="0" borderId="0" xfId="14" applyFont="1" applyAlignment="1">
      <alignment horizontal="center" vertical="top" wrapText="1"/>
    </xf>
    <xf numFmtId="0" fontId="122" fillId="0" borderId="168" xfId="14" applyFont="1" applyBorder="1" applyAlignment="1">
      <alignment horizontal="center" vertical="center" shrinkToFit="1"/>
    </xf>
    <xf numFmtId="0" fontId="122" fillId="0" borderId="168" xfId="14" applyFont="1" applyBorder="1" applyAlignment="1">
      <alignment vertical="center" shrinkToFit="1"/>
    </xf>
    <xf numFmtId="0" fontId="125" fillId="0" borderId="183" xfId="14" applyFont="1" applyBorder="1" applyAlignment="1">
      <alignment horizontal="left" vertical="center"/>
    </xf>
    <xf numFmtId="0" fontId="125" fillId="0" borderId="44" xfId="14" applyFont="1" applyBorder="1" applyAlignment="1">
      <alignment horizontal="left" vertical="center"/>
    </xf>
    <xf numFmtId="0" fontId="125" fillId="0" borderId="58" xfId="14" applyFont="1" applyBorder="1" applyAlignment="1">
      <alignment horizontal="left" vertical="center"/>
    </xf>
    <xf numFmtId="0" fontId="125" fillId="35" borderId="183" xfId="14" applyFont="1" applyFill="1" applyBorder="1" applyAlignment="1" applyProtection="1">
      <alignment horizontal="center" vertical="top" wrapText="1"/>
      <protection locked="0"/>
    </xf>
    <xf numFmtId="0" fontId="125" fillId="35" borderId="58" xfId="14" applyFont="1" applyFill="1" applyBorder="1" applyAlignment="1" applyProtection="1">
      <alignment horizontal="center" vertical="top" wrapText="1"/>
      <protection locked="0"/>
    </xf>
    <xf numFmtId="0" fontId="62" fillId="38" borderId="184" xfId="14" applyFont="1" applyFill="1" applyBorder="1" applyAlignment="1">
      <alignment horizontal="center" vertical="center" shrinkToFit="1"/>
    </xf>
    <xf numFmtId="0" fontId="62" fillId="38" borderId="185" xfId="14" applyFont="1" applyFill="1" applyBorder="1" applyAlignment="1">
      <alignment horizontal="center" vertical="center" shrinkToFit="1"/>
    </xf>
    <xf numFmtId="0" fontId="125" fillId="0" borderId="0" xfId="14" applyFont="1" applyAlignment="1">
      <alignment horizontal="left" vertical="center" wrapText="1"/>
    </xf>
    <xf numFmtId="0" fontId="62" fillId="38" borderId="187" xfId="14" applyFont="1" applyFill="1" applyBorder="1" applyAlignment="1">
      <alignment horizontal="center" vertical="center"/>
    </xf>
    <xf numFmtId="0" fontId="62" fillId="38" borderId="188" xfId="14" applyFont="1" applyFill="1" applyBorder="1" applyAlignment="1">
      <alignment horizontal="center" vertical="center"/>
    </xf>
    <xf numFmtId="0" fontId="62" fillId="36" borderId="191" xfId="14" applyFont="1" applyFill="1" applyBorder="1" applyAlignment="1">
      <alignment horizontal="center" vertical="center" wrapText="1"/>
    </xf>
    <xf numFmtId="0" fontId="62" fillId="36" borderId="192" xfId="14" applyFont="1" applyFill="1" applyBorder="1" applyAlignment="1">
      <alignment horizontal="center" vertical="center" wrapText="1"/>
    </xf>
    <xf numFmtId="0" fontId="65" fillId="0" borderId="0" xfId="14" applyFont="1" applyAlignment="1">
      <alignment horizontal="left" vertical="top" wrapText="1"/>
    </xf>
    <xf numFmtId="0" fontId="123" fillId="0" borderId="0" xfId="14" applyFont="1" applyAlignment="1">
      <alignment vertical="top" wrapText="1"/>
    </xf>
    <xf numFmtId="0" fontId="122" fillId="0" borderId="0" xfId="14" applyFont="1" applyAlignment="1">
      <alignment vertical="top" wrapText="1"/>
    </xf>
    <xf numFmtId="0" fontId="122" fillId="0" borderId="0" xfId="14" applyFont="1">
      <alignment vertical="center"/>
    </xf>
    <xf numFmtId="0" fontId="105" fillId="0" borderId="0" xfId="0" applyFont="1" applyAlignment="1">
      <alignment vertical="center" wrapText="1"/>
    </xf>
    <xf numFmtId="0" fontId="75" fillId="0" borderId="46" xfId="0" applyFont="1" applyBorder="1" applyAlignment="1">
      <alignment horizontal="center" vertical="top" wrapText="1"/>
    </xf>
    <xf numFmtId="0" fontId="75" fillId="0" borderId="65" xfId="0" applyFont="1" applyBorder="1" applyAlignment="1">
      <alignment horizontal="center" vertical="top" wrapText="1"/>
    </xf>
    <xf numFmtId="0" fontId="75" fillId="0" borderId="59" xfId="0" applyFont="1" applyBorder="1" applyAlignment="1">
      <alignment horizontal="center" vertical="center" wrapText="1"/>
    </xf>
    <xf numFmtId="0" fontId="75" fillId="0" borderId="60" xfId="0" applyFont="1" applyBorder="1" applyAlignment="1">
      <alignment horizontal="center" vertical="center" wrapText="1"/>
    </xf>
    <xf numFmtId="0" fontId="75" fillId="0" borderId="69" xfId="0" applyFont="1" applyBorder="1" applyAlignment="1">
      <alignment horizontal="center" vertical="center" wrapText="1"/>
    </xf>
    <xf numFmtId="0" fontId="14" fillId="0" borderId="59" xfId="0" applyFont="1" applyBorder="1" applyAlignment="1">
      <alignment vertical="center" wrapText="1"/>
    </xf>
    <xf numFmtId="0" fontId="14" fillId="0" borderId="60" xfId="0" applyFont="1" applyBorder="1" applyAlignment="1">
      <alignment vertical="center" wrapText="1"/>
    </xf>
    <xf numFmtId="0" fontId="75" fillId="0" borderId="52" xfId="0" applyFont="1" applyBorder="1" applyAlignment="1">
      <alignment horizontal="center" vertical="center" textRotation="255" wrapText="1"/>
    </xf>
    <xf numFmtId="0" fontId="75" fillId="0" borderId="0" xfId="0" applyFont="1" applyAlignment="1">
      <alignment horizontal="center" vertical="center" textRotation="255" wrapText="1"/>
    </xf>
    <xf numFmtId="0" fontId="75" fillId="0" borderId="59" xfId="0" applyFont="1" applyBorder="1" applyAlignment="1">
      <alignment horizontal="center" vertical="center" textRotation="255" wrapText="1"/>
    </xf>
    <xf numFmtId="0" fontId="75" fillId="0" borderId="60" xfId="0" applyFont="1" applyBorder="1" applyAlignment="1">
      <alignment horizontal="center" vertical="center" textRotation="255" wrapText="1"/>
    </xf>
    <xf numFmtId="0" fontId="75" fillId="0" borderId="77" xfId="0" applyFont="1" applyBorder="1" applyAlignment="1">
      <alignment horizontal="center" vertical="center" wrapText="1"/>
    </xf>
    <xf numFmtId="0" fontId="75" fillId="0" borderId="78" xfId="0" applyFont="1" applyBorder="1" applyAlignment="1">
      <alignment horizontal="center" vertical="center" wrapText="1"/>
    </xf>
    <xf numFmtId="0" fontId="75" fillId="0" borderId="79" xfId="0" applyFont="1" applyBorder="1" applyAlignment="1">
      <alignment horizontal="center" vertical="center" wrapText="1"/>
    </xf>
    <xf numFmtId="0" fontId="75" fillId="0" borderId="52" xfId="0" applyFont="1" applyBorder="1" applyAlignment="1">
      <alignment horizontal="center" vertical="center" wrapText="1"/>
    </xf>
    <xf numFmtId="0" fontId="75" fillId="0" borderId="0" xfId="0" applyFont="1" applyAlignment="1">
      <alignment horizontal="center" vertical="center" wrapText="1"/>
    </xf>
    <xf numFmtId="0" fontId="75" fillId="0" borderId="68" xfId="0" applyFont="1" applyBorder="1" applyAlignment="1">
      <alignment horizontal="center" vertical="center" wrapText="1"/>
    </xf>
    <xf numFmtId="0" fontId="14" fillId="0" borderId="45" xfId="0" applyFont="1" applyBorder="1" applyAlignment="1">
      <alignment vertical="center" wrapText="1"/>
    </xf>
    <xf numFmtId="0" fontId="14" fillId="0" borderId="46" xfId="0" applyFont="1" applyBorder="1" applyAlignment="1">
      <alignment vertical="center" wrapText="1"/>
    </xf>
    <xf numFmtId="0" fontId="75" fillId="0" borderId="46" xfId="0" applyFont="1" applyBorder="1" applyAlignment="1">
      <alignment horizontal="center" vertical="center" wrapText="1"/>
    </xf>
    <xf numFmtId="0" fontId="75" fillId="0" borderId="65" xfId="0" applyFont="1" applyBorder="1" applyAlignment="1">
      <alignment horizontal="center" vertical="center" wrapText="1"/>
    </xf>
    <xf numFmtId="0" fontId="75" fillId="0" borderId="52" xfId="0" applyFont="1" applyBorder="1" applyAlignment="1">
      <alignment horizontal="center" vertical="top" wrapText="1"/>
    </xf>
    <xf numFmtId="0" fontId="75" fillId="0" borderId="0" xfId="0" applyFont="1" applyAlignment="1">
      <alignment horizontal="center" vertical="top" wrapText="1"/>
    </xf>
    <xf numFmtId="0" fontId="75" fillId="0" borderId="68" xfId="0" applyFont="1" applyBorder="1" applyAlignment="1">
      <alignment horizontal="center" vertical="top" wrapText="1"/>
    </xf>
    <xf numFmtId="0" fontId="75" fillId="0" borderId="45" xfId="0" applyFont="1" applyBorder="1" applyAlignment="1">
      <alignment horizontal="center" vertical="top" wrapText="1"/>
    </xf>
    <xf numFmtId="0" fontId="103" fillId="0" borderId="77" xfId="0" applyFont="1" applyBorder="1" applyAlignment="1">
      <alignment vertical="center" wrapText="1"/>
    </xf>
    <xf numFmtId="0" fontId="103" fillId="0" borderId="78" xfId="0" applyFont="1" applyBorder="1" applyAlignment="1">
      <alignment vertical="center" wrapText="1"/>
    </xf>
    <xf numFmtId="0" fontId="103" fillId="0" borderId="79" xfId="0" applyFont="1" applyBorder="1" applyAlignment="1">
      <alignment vertical="center" wrapText="1"/>
    </xf>
    <xf numFmtId="0" fontId="75" fillId="0" borderId="95" xfId="0" applyFont="1" applyBorder="1" applyAlignment="1">
      <alignment horizontal="center" vertical="center" wrapText="1"/>
    </xf>
    <xf numFmtId="0" fontId="75" fillId="0" borderId="96" xfId="0" applyFont="1" applyBorder="1" applyAlignment="1">
      <alignment horizontal="center" vertical="center" wrapText="1"/>
    </xf>
    <xf numFmtId="0" fontId="75" fillId="0" borderId="97" xfId="0" applyFont="1" applyBorder="1" applyAlignment="1">
      <alignment horizontal="center" vertical="center" wrapText="1"/>
    </xf>
    <xf numFmtId="0" fontId="75" fillId="0" borderId="52" xfId="0" applyFont="1" applyBorder="1" applyAlignment="1">
      <alignment vertical="center" wrapText="1"/>
    </xf>
    <xf numFmtId="0" fontId="75" fillId="0" borderId="0" xfId="0" applyFont="1" applyAlignment="1">
      <alignment vertical="center" wrapText="1"/>
    </xf>
    <xf numFmtId="0" fontId="75" fillId="0" borderId="45" xfId="0" applyFont="1" applyBorder="1" applyAlignment="1">
      <alignment horizontal="center" vertical="center" wrapText="1"/>
    </xf>
    <xf numFmtId="0" fontId="75" fillId="0" borderId="60" xfId="0" applyFont="1" applyBorder="1" applyAlignment="1">
      <alignment vertical="top" wrapText="1"/>
    </xf>
    <xf numFmtId="0" fontId="75" fillId="0" borderId="69" xfId="0" applyFont="1" applyBorder="1" applyAlignment="1">
      <alignment vertical="top" wrapText="1"/>
    </xf>
    <xf numFmtId="0" fontId="14" fillId="0" borderId="69" xfId="0" applyFont="1" applyBorder="1" applyAlignment="1">
      <alignment vertical="center" wrapText="1"/>
    </xf>
    <xf numFmtId="0" fontId="75" fillId="0" borderId="86" xfId="0" applyFont="1" applyBorder="1" applyAlignment="1">
      <alignment horizontal="center" vertical="center" wrapText="1"/>
    </xf>
    <xf numFmtId="0" fontId="75" fillId="0" borderId="40" xfId="0" applyFont="1" applyBorder="1" applyAlignment="1">
      <alignment horizontal="center" vertical="center" wrapText="1"/>
    </xf>
    <xf numFmtId="0" fontId="75" fillId="0" borderId="87" xfId="0" applyFont="1" applyBorder="1" applyAlignment="1">
      <alignment horizontal="center" vertical="center" wrapText="1"/>
    </xf>
    <xf numFmtId="0" fontId="75" fillId="0" borderId="0" xfId="0" applyFont="1" applyAlignment="1">
      <alignment vertical="top" wrapText="1"/>
    </xf>
    <xf numFmtId="0" fontId="75" fillId="0" borderId="68" xfId="0" applyFont="1" applyBorder="1" applyAlignment="1">
      <alignment vertical="top" wrapText="1"/>
    </xf>
    <xf numFmtId="0" fontId="75" fillId="0" borderId="45" xfId="0" applyFont="1" applyBorder="1" applyAlignment="1">
      <alignment vertical="top" wrapText="1"/>
    </xf>
    <xf numFmtId="0" fontId="75" fillId="0" borderId="46" xfId="0" applyFont="1" applyBorder="1" applyAlignment="1">
      <alignment vertical="top" wrapText="1"/>
    </xf>
    <xf numFmtId="0" fontId="75" fillId="0" borderId="65" xfId="0" applyFont="1" applyBorder="1" applyAlignment="1">
      <alignment vertical="top" wrapText="1"/>
    </xf>
    <xf numFmtId="0" fontId="75" fillId="0" borderId="86" xfId="0" applyFont="1" applyBorder="1" applyAlignment="1">
      <alignment vertical="top" wrapText="1"/>
    </xf>
    <xf numFmtId="0" fontId="75" fillId="0" borderId="40" xfId="0" applyFont="1" applyBorder="1" applyAlignment="1">
      <alignment vertical="top" wrapText="1"/>
    </xf>
    <xf numFmtId="0" fontId="75" fillId="0" borderId="88" xfId="0" applyFont="1" applyBorder="1" applyAlignment="1">
      <alignment horizontal="center" vertical="center" wrapText="1"/>
    </xf>
    <xf numFmtId="0" fontId="75" fillId="0" borderId="43" xfId="0" applyFont="1" applyBorder="1" applyAlignment="1">
      <alignment horizontal="center" vertical="center" wrapText="1"/>
    </xf>
    <xf numFmtId="0" fontId="14" fillId="32" borderId="43" xfId="0" applyFont="1" applyFill="1" applyBorder="1" applyAlignment="1">
      <alignment vertical="center" wrapText="1"/>
    </xf>
    <xf numFmtId="0" fontId="75" fillId="0" borderId="89" xfId="0" applyFont="1" applyBorder="1" applyAlignment="1">
      <alignment horizontal="center" vertical="center" wrapText="1"/>
    </xf>
    <xf numFmtId="0" fontId="75" fillId="0" borderId="85" xfId="0" applyFont="1" applyBorder="1" applyAlignment="1">
      <alignment vertical="top" wrapText="1"/>
    </xf>
    <xf numFmtId="0" fontId="14" fillId="0" borderId="0" xfId="0" applyFont="1" applyAlignment="1">
      <alignment vertical="center" wrapText="1"/>
    </xf>
    <xf numFmtId="0" fontId="14" fillId="0" borderId="68" xfId="0" applyFont="1" applyBorder="1" applyAlignment="1">
      <alignment vertical="center" wrapText="1"/>
    </xf>
    <xf numFmtId="0" fontId="75" fillId="0" borderId="66" xfId="0" applyFont="1" applyBorder="1" applyAlignment="1">
      <alignment horizontal="center" vertical="center" textRotation="255" wrapText="1"/>
    </xf>
    <xf numFmtId="0" fontId="75" fillId="0" borderId="48" xfId="0" applyFont="1" applyBorder="1" applyAlignment="1">
      <alignment horizontal="center" vertical="center" textRotation="255" wrapText="1"/>
    </xf>
    <xf numFmtId="0" fontId="14" fillId="0" borderId="65" xfId="0" applyFont="1" applyBorder="1" applyAlignment="1">
      <alignment vertical="center" wrapText="1"/>
    </xf>
    <xf numFmtId="0" fontId="75" fillId="0" borderId="77" xfId="0" applyFont="1" applyBorder="1" applyAlignment="1">
      <alignment vertical="center" wrapText="1"/>
    </xf>
    <xf numFmtId="0" fontId="75" fillId="0" borderId="78" xfId="0" applyFont="1" applyBorder="1" applyAlignment="1">
      <alignment vertical="center" wrapText="1"/>
    </xf>
    <xf numFmtId="0" fontId="75" fillId="0" borderId="91" xfId="0" applyFont="1" applyBorder="1" applyAlignment="1">
      <alignment horizontal="center" vertical="center" wrapText="1"/>
    </xf>
    <xf numFmtId="0" fontId="75" fillId="0" borderId="92" xfId="0" applyFont="1" applyBorder="1" applyAlignment="1">
      <alignment horizontal="center" vertical="center" wrapText="1"/>
    </xf>
    <xf numFmtId="0" fontId="14" fillId="32" borderId="92" xfId="0" applyFont="1" applyFill="1" applyBorder="1" applyAlignment="1">
      <alignment vertical="center" wrapText="1"/>
    </xf>
    <xf numFmtId="0" fontId="75" fillId="0" borderId="93" xfId="0" applyFont="1" applyBorder="1" applyAlignment="1">
      <alignment horizontal="center" vertical="center" wrapText="1"/>
    </xf>
    <xf numFmtId="0" fontId="14" fillId="29" borderId="62" xfId="0" applyFont="1" applyFill="1" applyBorder="1" applyAlignment="1">
      <alignment vertical="center" wrapText="1"/>
    </xf>
    <xf numFmtId="0" fontId="75" fillId="29" borderId="62" xfId="0" applyFont="1" applyFill="1" applyBorder="1" applyAlignment="1">
      <alignment horizontal="center" vertical="center" wrapText="1"/>
    </xf>
    <xf numFmtId="0" fontId="75" fillId="29" borderId="70" xfId="0" applyFont="1" applyFill="1" applyBorder="1" applyAlignment="1">
      <alignment horizontal="center" vertical="center" wrapText="1"/>
    </xf>
    <xf numFmtId="0" fontId="75" fillId="29" borderId="71" xfId="0" applyFont="1" applyFill="1" applyBorder="1" applyAlignment="1">
      <alignment horizontal="center" vertical="center" wrapText="1"/>
    </xf>
    <xf numFmtId="0" fontId="75" fillId="29" borderId="71" xfId="0" applyFont="1" applyFill="1" applyBorder="1" applyAlignment="1">
      <alignment vertical="center" wrapText="1"/>
    </xf>
    <xf numFmtId="0" fontId="75" fillId="0" borderId="83" xfId="0" applyFont="1" applyBorder="1" applyAlignment="1">
      <alignment horizontal="center" vertical="center" textRotation="255" wrapText="1"/>
    </xf>
    <xf numFmtId="0" fontId="75" fillId="0" borderId="62" xfId="0" applyFont="1" applyBorder="1" applyAlignment="1">
      <alignment horizontal="center" vertical="center" textRotation="255" wrapText="1"/>
    </xf>
    <xf numFmtId="0" fontId="75" fillId="29" borderId="47" xfId="0" applyFont="1" applyFill="1" applyBorder="1" applyAlignment="1">
      <alignment vertical="center" wrapText="1"/>
    </xf>
    <xf numFmtId="0" fontId="75" fillId="29" borderId="48" xfId="0" applyFont="1" applyFill="1" applyBorder="1" applyAlignment="1">
      <alignment vertical="center" wrapText="1"/>
    </xf>
    <xf numFmtId="0" fontId="14" fillId="29" borderId="48" xfId="0" applyFont="1" applyFill="1" applyBorder="1" applyAlignment="1">
      <alignment vertical="center" wrapText="1"/>
    </xf>
    <xf numFmtId="0" fontId="103" fillId="29" borderId="48" xfId="0" applyFont="1" applyFill="1" applyBorder="1" applyAlignment="1">
      <alignment horizontal="center" vertical="center" wrapText="1"/>
    </xf>
    <xf numFmtId="0" fontId="103" fillId="29" borderId="51" xfId="0" applyFont="1" applyFill="1" applyBorder="1" applyAlignment="1">
      <alignment horizontal="center" vertical="center" wrapText="1"/>
    </xf>
    <xf numFmtId="0" fontId="75" fillId="29" borderId="0" xfId="0" applyFont="1" applyFill="1" applyAlignment="1">
      <alignment vertical="center" wrapText="1"/>
    </xf>
    <xf numFmtId="0" fontId="14" fillId="29" borderId="0" xfId="0" applyFont="1" applyFill="1" applyAlignment="1">
      <alignment vertical="center" wrapText="1"/>
    </xf>
    <xf numFmtId="0" fontId="103" fillId="29" borderId="0" xfId="0" applyFont="1" applyFill="1" applyAlignment="1">
      <alignment vertical="center" wrapText="1"/>
    </xf>
    <xf numFmtId="0" fontId="103" fillId="29" borderId="54" xfId="0" applyFont="1" applyFill="1" applyBorder="1" applyAlignment="1">
      <alignment vertical="center" wrapText="1"/>
    </xf>
    <xf numFmtId="0" fontId="75" fillId="29" borderId="62" xfId="0" applyFont="1" applyFill="1" applyBorder="1" applyAlignment="1">
      <alignment vertical="center" wrapText="1"/>
    </xf>
    <xf numFmtId="0" fontId="75" fillId="0" borderId="45" xfId="0" applyFont="1" applyBorder="1" applyAlignment="1">
      <alignment horizontal="center" vertical="center" textRotation="255" wrapText="1"/>
    </xf>
    <xf numFmtId="0" fontId="75" fillId="0" borderId="46" xfId="0" applyFont="1" applyBorder="1" applyAlignment="1">
      <alignment horizontal="center" vertical="center" textRotation="255" wrapText="1"/>
    </xf>
    <xf numFmtId="0" fontId="75" fillId="0" borderId="65" xfId="0" applyFont="1" applyBorder="1" applyAlignment="1">
      <alignment horizontal="center" vertical="center" textRotation="255" wrapText="1"/>
    </xf>
    <xf numFmtId="0" fontId="75" fillId="0" borderId="68" xfId="0" applyFont="1" applyBorder="1" applyAlignment="1">
      <alignment horizontal="center" vertical="center" textRotation="255" wrapText="1"/>
    </xf>
    <xf numFmtId="0" fontId="75" fillId="0" borderId="69" xfId="0" applyFont="1" applyBorder="1" applyAlignment="1">
      <alignment horizontal="center" vertical="center" textRotation="255" wrapText="1"/>
    </xf>
    <xf numFmtId="0" fontId="75" fillId="30" borderId="77" xfId="0" applyFont="1" applyFill="1" applyBorder="1" applyAlignment="1">
      <alignment horizontal="center" vertical="center" wrapText="1"/>
    </xf>
    <xf numFmtId="0" fontId="75" fillId="30" borderId="78" xfId="0" applyFont="1" applyFill="1" applyBorder="1" applyAlignment="1">
      <alignment horizontal="center" vertical="center" wrapText="1"/>
    </xf>
    <xf numFmtId="0" fontId="75" fillId="30" borderId="79" xfId="0" applyFont="1" applyFill="1" applyBorder="1" applyAlignment="1">
      <alignment horizontal="center" vertical="center" wrapText="1"/>
    </xf>
    <xf numFmtId="0" fontId="75" fillId="31" borderId="0" xfId="0" applyFont="1" applyFill="1" applyAlignment="1">
      <alignment horizontal="center" vertical="center" wrapText="1"/>
    </xf>
    <xf numFmtId="0" fontId="170" fillId="0" borderId="59" xfId="0" applyFont="1" applyBorder="1" applyAlignment="1">
      <alignment horizontal="center" vertical="center" wrapText="1"/>
    </xf>
    <xf numFmtId="0" fontId="170" fillId="0" borderId="60" xfId="0" applyFont="1" applyBorder="1" applyAlignment="1">
      <alignment horizontal="center" vertical="center" wrapText="1"/>
    </xf>
    <xf numFmtId="0" fontId="170" fillId="0" borderId="69" xfId="0" applyFont="1" applyBorder="1" applyAlignment="1">
      <alignment horizontal="center" vertical="center" wrapText="1"/>
    </xf>
    <xf numFmtId="0" fontId="170" fillId="0" borderId="0" xfId="0" applyFont="1" applyAlignment="1">
      <alignment horizontal="center" vertical="center" wrapText="1"/>
    </xf>
    <xf numFmtId="0" fontId="75" fillId="30" borderId="0" xfId="0" applyFont="1" applyFill="1" applyAlignment="1">
      <alignment horizontal="center" vertical="center" wrapText="1"/>
    </xf>
    <xf numFmtId="0" fontId="75" fillId="0" borderId="80" xfId="0" applyFont="1" applyBorder="1" applyAlignment="1">
      <alignment horizontal="center" vertical="center" wrapText="1"/>
    </xf>
    <xf numFmtId="0" fontId="75" fillId="0" borderId="81" xfId="0" applyFont="1" applyBorder="1" applyAlignment="1">
      <alignment horizontal="center" vertical="center" wrapText="1"/>
    </xf>
    <xf numFmtId="0" fontId="75" fillId="0" borderId="82" xfId="0" applyFont="1" applyBorder="1" applyAlignment="1">
      <alignment horizontal="center" vertical="center" wrapText="1"/>
    </xf>
    <xf numFmtId="0" fontId="75" fillId="30" borderId="80" xfId="0" applyFont="1" applyFill="1" applyBorder="1" applyAlignment="1">
      <alignment horizontal="center" vertical="center" wrapText="1"/>
    </xf>
    <xf numFmtId="0" fontId="75" fillId="30" borderId="81" xfId="0" applyFont="1" applyFill="1" applyBorder="1" applyAlignment="1">
      <alignment horizontal="center" vertical="center" wrapText="1"/>
    </xf>
    <xf numFmtId="0" fontId="14" fillId="29" borderId="70" xfId="0" applyFont="1" applyFill="1" applyBorder="1" applyAlignment="1">
      <alignment vertical="center" wrapText="1"/>
    </xf>
    <xf numFmtId="0" fontId="14" fillId="29" borderId="71" xfId="0" applyFont="1" applyFill="1" applyBorder="1" applyAlignment="1">
      <alignment vertical="center" wrapText="1"/>
    </xf>
    <xf numFmtId="0" fontId="14" fillId="29" borderId="72" xfId="0" applyFont="1" applyFill="1" applyBorder="1" applyAlignment="1">
      <alignment vertical="center" wrapText="1"/>
    </xf>
    <xf numFmtId="0" fontId="75" fillId="0" borderId="73" xfId="0" applyFont="1" applyBorder="1" applyAlignment="1">
      <alignment horizontal="center" vertical="center" wrapText="1"/>
    </xf>
    <xf numFmtId="0" fontId="75" fillId="0" borderId="74" xfId="0" applyFont="1" applyBorder="1" applyAlignment="1">
      <alignment horizontal="center" vertical="center" wrapText="1"/>
    </xf>
    <xf numFmtId="0" fontId="75" fillId="0" borderId="75" xfId="0" applyFont="1" applyBorder="1" applyAlignment="1">
      <alignment horizontal="center" vertical="center" wrapText="1"/>
    </xf>
    <xf numFmtId="0" fontId="75" fillId="31" borderId="74" xfId="0" applyFont="1" applyFill="1" applyBorder="1" applyAlignment="1">
      <alignment horizontal="center" vertical="center" wrapText="1"/>
    </xf>
    <xf numFmtId="0" fontId="14" fillId="31" borderId="59" xfId="0" applyFont="1" applyFill="1" applyBorder="1" applyAlignment="1">
      <alignment vertical="center" wrapText="1"/>
    </xf>
    <xf numFmtId="0" fontId="14" fillId="31" borderId="60" xfId="0" applyFont="1" applyFill="1" applyBorder="1" applyAlignment="1">
      <alignment vertical="center" wrapText="1"/>
    </xf>
    <xf numFmtId="0" fontId="14" fillId="31" borderId="69" xfId="0" applyFont="1" applyFill="1" applyBorder="1" applyAlignment="1">
      <alignment vertical="center" wrapText="1"/>
    </xf>
    <xf numFmtId="0" fontId="75" fillId="0" borderId="66" xfId="0" applyFont="1" applyBorder="1" applyAlignment="1">
      <alignment vertical="center" wrapText="1"/>
    </xf>
    <xf numFmtId="0" fontId="75" fillId="0" borderId="48" xfId="0" applyFont="1" applyBorder="1" applyAlignment="1">
      <alignment vertical="center" wrapText="1"/>
    </xf>
    <xf numFmtId="0" fontId="75" fillId="0" borderId="67" xfId="0" applyFont="1" applyBorder="1" applyAlignment="1">
      <alignment vertical="center" wrapText="1"/>
    </xf>
    <xf numFmtId="0" fontId="75" fillId="30" borderId="59" xfId="0" applyFont="1" applyFill="1" applyBorder="1" applyAlignment="1">
      <alignment horizontal="center" vertical="center" wrapText="1"/>
    </xf>
    <xf numFmtId="0" fontId="75" fillId="30" borderId="60" xfId="0" applyFont="1" applyFill="1" applyBorder="1" applyAlignment="1">
      <alignment horizontal="center" vertical="center" wrapText="1"/>
    </xf>
    <xf numFmtId="0" fontId="75" fillId="30" borderId="69" xfId="0" applyFont="1" applyFill="1" applyBorder="1" applyAlignment="1">
      <alignment horizontal="center" vertical="center" wrapText="1"/>
    </xf>
    <xf numFmtId="0" fontId="75" fillId="31" borderId="59" xfId="0" applyFont="1" applyFill="1" applyBorder="1" applyAlignment="1">
      <alignment horizontal="center" vertical="center" wrapText="1"/>
    </xf>
    <xf numFmtId="0" fontId="75" fillId="31" borderId="60" xfId="0" applyFont="1" applyFill="1" applyBorder="1" applyAlignment="1">
      <alignment horizontal="center" vertical="center" wrapText="1"/>
    </xf>
    <xf numFmtId="0" fontId="75" fillId="31" borderId="69" xfId="0" applyFont="1" applyFill="1" applyBorder="1" applyAlignment="1">
      <alignment horizontal="center" vertical="center" wrapText="1"/>
    </xf>
    <xf numFmtId="0" fontId="14" fillId="29" borderId="64" xfId="0" applyFont="1" applyFill="1" applyBorder="1" applyAlignment="1">
      <alignment vertical="center" wrapText="1"/>
    </xf>
    <xf numFmtId="0" fontId="75" fillId="29" borderId="57" xfId="0" applyFont="1" applyFill="1" applyBorder="1" applyAlignment="1">
      <alignment vertical="center" wrapText="1"/>
    </xf>
    <xf numFmtId="0" fontId="75" fillId="29" borderId="44" xfId="0" applyFont="1" applyFill="1" applyBorder="1" applyAlignment="1">
      <alignment vertical="center" wrapText="1"/>
    </xf>
    <xf numFmtId="0" fontId="14" fillId="29" borderId="44" xfId="0" applyFont="1" applyFill="1" applyBorder="1" applyAlignment="1">
      <alignment vertical="center" wrapText="1"/>
    </xf>
    <xf numFmtId="0" fontId="14" fillId="29" borderId="58" xfId="0" applyFont="1" applyFill="1" applyBorder="1" applyAlignment="1">
      <alignment vertical="center" wrapText="1"/>
    </xf>
    <xf numFmtId="0" fontId="75" fillId="29" borderId="54" xfId="0" applyFont="1" applyFill="1" applyBorder="1" applyAlignment="1">
      <alignment vertical="center" wrapText="1"/>
    </xf>
    <xf numFmtId="0" fontId="75" fillId="29" borderId="53" xfId="0" applyFont="1" applyFill="1" applyBorder="1" applyAlignment="1">
      <alignment vertical="center" wrapText="1"/>
    </xf>
    <xf numFmtId="0" fontId="75" fillId="29" borderId="5" xfId="0" applyFont="1" applyFill="1" applyBorder="1" applyAlignment="1">
      <alignment vertical="center" wrapText="1"/>
    </xf>
    <xf numFmtId="0" fontId="14" fillId="29" borderId="54" xfId="0" applyFont="1" applyFill="1" applyBorder="1" applyAlignment="1">
      <alignment vertical="center" wrapText="1"/>
    </xf>
    <xf numFmtId="0" fontId="75" fillId="0" borderId="68" xfId="0" applyFont="1" applyBorder="1" applyAlignment="1">
      <alignment vertical="center" wrapText="1"/>
    </xf>
    <xf numFmtId="0" fontId="75" fillId="29" borderId="47" xfId="0" applyFont="1" applyFill="1" applyBorder="1" applyAlignment="1">
      <alignment horizontal="center" vertical="center" wrapText="1"/>
    </xf>
    <xf numFmtId="0" fontId="75" fillId="29" borderId="48" xfId="0" applyFont="1" applyFill="1" applyBorder="1" applyAlignment="1">
      <alignment horizontal="center" vertical="center" wrapText="1"/>
    </xf>
    <xf numFmtId="0" fontId="75" fillId="29" borderId="50" xfId="0" applyFont="1" applyFill="1" applyBorder="1" applyAlignment="1">
      <alignment vertical="center" wrapText="1"/>
    </xf>
    <xf numFmtId="0" fontId="103" fillId="29" borderId="1" xfId="0" applyFont="1" applyFill="1" applyBorder="1" applyAlignment="1">
      <alignment vertical="center" wrapText="1"/>
    </xf>
    <xf numFmtId="0" fontId="14" fillId="29" borderId="1" xfId="0" applyFont="1" applyFill="1" applyBorder="1" applyAlignment="1">
      <alignment vertical="center" wrapText="1"/>
    </xf>
    <xf numFmtId="0" fontId="14" fillId="29" borderId="3" xfId="0" applyFont="1" applyFill="1" applyBorder="1" applyAlignment="1">
      <alignment vertical="center" wrapText="1"/>
    </xf>
    <xf numFmtId="0" fontId="75" fillId="29" borderId="1" xfId="0" applyFont="1" applyFill="1" applyBorder="1" applyAlignment="1">
      <alignment horizontal="center" vertical="center" wrapText="1"/>
    </xf>
    <xf numFmtId="0" fontId="75" fillId="29" borderId="51" xfId="0" applyFont="1" applyFill="1" applyBorder="1" applyAlignment="1">
      <alignment horizontal="center" vertical="center" wrapText="1"/>
    </xf>
    <xf numFmtId="0" fontId="75" fillId="29" borderId="0" xfId="0" applyFont="1" applyFill="1" applyAlignment="1">
      <alignment horizontal="center" vertical="center" wrapText="1"/>
    </xf>
    <xf numFmtId="0" fontId="75" fillId="29" borderId="54" xfId="0" applyFont="1" applyFill="1" applyBorder="1" applyAlignment="1">
      <alignment horizontal="center" vertical="center" wrapText="1"/>
    </xf>
    <xf numFmtId="0" fontId="14" fillId="29" borderId="53" xfId="0" applyFont="1" applyFill="1" applyBorder="1" applyAlignment="1">
      <alignment vertical="center" wrapText="1"/>
    </xf>
    <xf numFmtId="0" fontId="14" fillId="29" borderId="5" xfId="0" applyFont="1" applyFill="1" applyBorder="1" applyAlignment="1">
      <alignment vertical="center" wrapText="1"/>
    </xf>
    <xf numFmtId="0" fontId="103" fillId="29" borderId="4" xfId="0" applyFont="1" applyFill="1" applyBorder="1" applyAlignment="1">
      <alignment vertical="center" wrapText="1"/>
    </xf>
    <xf numFmtId="0" fontId="14" fillId="29" borderId="4" xfId="0" applyFont="1" applyFill="1" applyBorder="1" applyAlignment="1">
      <alignment vertical="center" wrapText="1"/>
    </xf>
    <xf numFmtId="0" fontId="75" fillId="29" borderId="62" xfId="0" applyFont="1" applyFill="1" applyBorder="1" applyAlignment="1">
      <alignment horizontal="center" wrapText="1"/>
    </xf>
    <xf numFmtId="0" fontId="14" fillId="29" borderId="62" xfId="0" applyFont="1" applyFill="1" applyBorder="1" applyAlignment="1">
      <alignment wrapText="1"/>
    </xf>
    <xf numFmtId="0" fontId="75" fillId="29" borderId="62" xfId="0" applyFont="1" applyFill="1" applyBorder="1" applyAlignment="1">
      <alignment horizontal="left" wrapText="1"/>
    </xf>
    <xf numFmtId="0" fontId="104" fillId="0" borderId="0" xfId="0" applyFont="1" applyAlignment="1">
      <alignment vertical="center" wrapText="1"/>
    </xf>
    <xf numFmtId="0" fontId="103" fillId="0" borderId="0" xfId="0" applyFont="1" applyAlignment="1">
      <alignment horizontal="center" vertical="center" wrapText="1"/>
    </xf>
    <xf numFmtId="0" fontId="103" fillId="0" borderId="0" xfId="0" applyFont="1" applyAlignment="1">
      <alignment vertical="center" wrapText="1"/>
    </xf>
    <xf numFmtId="0" fontId="104" fillId="29" borderId="0" xfId="0" applyFont="1" applyFill="1" applyAlignment="1">
      <alignment vertical="center" wrapText="1"/>
    </xf>
    <xf numFmtId="0" fontId="101" fillId="0" borderId="0" xfId="0" applyFont="1" applyAlignment="1">
      <alignment horizontal="center" vertical="center" wrapText="1"/>
    </xf>
    <xf numFmtId="0" fontId="109" fillId="0" borderId="0" xfId="0" applyFont="1" applyAlignment="1">
      <alignment vertical="center" wrapText="1"/>
    </xf>
    <xf numFmtId="0" fontId="106" fillId="0" borderId="145" xfId="0" applyFont="1" applyBorder="1" applyAlignment="1">
      <alignment vertical="center" wrapText="1"/>
    </xf>
    <xf numFmtId="0" fontId="106" fillId="0" borderId="0" xfId="0" applyFont="1" applyAlignment="1">
      <alignment vertical="center" wrapText="1"/>
    </xf>
    <xf numFmtId="0" fontId="106" fillId="0" borderId="146" xfId="0" applyFont="1" applyBorder="1" applyAlignment="1">
      <alignment vertical="center" wrapText="1"/>
    </xf>
    <xf numFmtId="0" fontId="169" fillId="0" borderId="0" xfId="0" applyFont="1" applyAlignment="1">
      <alignment horizontal="right" vertical="top" wrapText="1"/>
    </xf>
    <xf numFmtId="0" fontId="109" fillId="0" borderId="0" xfId="0" applyFont="1" applyAlignment="1">
      <alignment horizontal="right" vertical="top" wrapText="1"/>
    </xf>
    <xf numFmtId="0" fontId="109" fillId="0" borderId="0" xfId="0" applyFont="1" applyAlignment="1">
      <alignment horizontal="center" vertical="top" wrapText="1"/>
    </xf>
    <xf numFmtId="0" fontId="106" fillId="34" borderId="123" xfId="0" applyFont="1" applyFill="1" applyBorder="1" applyAlignment="1">
      <alignment vertical="center" wrapText="1"/>
    </xf>
    <xf numFmtId="0" fontId="106" fillId="34" borderId="118" xfId="0" applyFont="1" applyFill="1" applyBorder="1" applyAlignment="1">
      <alignment vertical="center" wrapText="1"/>
    </xf>
    <xf numFmtId="0" fontId="106" fillId="34" borderId="119" xfId="0" applyFont="1" applyFill="1" applyBorder="1" applyAlignment="1">
      <alignment vertical="center" wrapText="1"/>
    </xf>
    <xf numFmtId="0" fontId="109" fillId="0" borderId="88" xfId="0" applyFont="1" applyBorder="1" applyAlignment="1">
      <alignment horizontal="center" vertical="center" wrapText="1"/>
    </xf>
    <xf numFmtId="0" fontId="109" fillId="0" borderId="43" xfId="0" applyFont="1" applyBorder="1" applyAlignment="1">
      <alignment horizontal="center" vertical="center" wrapText="1"/>
    </xf>
    <xf numFmtId="0" fontId="109" fillId="0" borderId="122" xfId="0" applyFont="1" applyBorder="1" applyAlignment="1">
      <alignment horizontal="center" vertical="center" wrapText="1"/>
    </xf>
    <xf numFmtId="0" fontId="109" fillId="0" borderId="120" xfId="0" applyFont="1" applyBorder="1" applyAlignment="1">
      <alignment horizontal="center" vertical="center" wrapText="1"/>
    </xf>
    <xf numFmtId="0" fontId="109" fillId="0" borderId="40" xfId="0" applyFont="1" applyBorder="1" applyAlignment="1">
      <alignment horizontal="center" vertical="center" wrapText="1"/>
    </xf>
    <xf numFmtId="0" fontId="109" fillId="0" borderId="42" xfId="0" applyFont="1" applyBorder="1" applyAlignment="1">
      <alignment horizontal="center" vertical="center" wrapText="1"/>
    </xf>
    <xf numFmtId="0" fontId="109" fillId="0" borderId="43" xfId="0" applyFont="1" applyBorder="1" applyAlignment="1">
      <alignment vertical="top" wrapText="1"/>
    </xf>
    <xf numFmtId="0" fontId="109" fillId="0" borderId="107" xfId="0" applyFont="1" applyBorder="1" applyAlignment="1">
      <alignment horizontal="center" vertical="center" wrapText="1"/>
    </xf>
    <xf numFmtId="0" fontId="109" fillId="0" borderId="102" xfId="0" applyFont="1" applyBorder="1" applyAlignment="1">
      <alignment horizontal="center" vertical="center" wrapText="1"/>
    </xf>
    <xf numFmtId="0" fontId="109" fillId="0" borderId="0" xfId="0" applyFont="1" applyAlignment="1">
      <alignment horizontal="center" vertical="center" wrapText="1"/>
    </xf>
    <xf numFmtId="0" fontId="109" fillId="0" borderId="129" xfId="0" applyFont="1" applyBorder="1" applyAlignment="1">
      <alignment horizontal="center" vertical="center" wrapText="1"/>
    </xf>
    <xf numFmtId="0" fontId="109" fillId="0" borderId="39" xfId="0" applyFont="1" applyBorder="1" applyAlignment="1">
      <alignment horizontal="center" vertical="center" wrapText="1"/>
    </xf>
    <xf numFmtId="0" fontId="109" fillId="0" borderId="123" xfId="0" applyFont="1" applyBorder="1" applyAlignment="1">
      <alignment horizontal="center" vertical="center" wrapText="1"/>
    </xf>
    <xf numFmtId="0" fontId="109" fillId="0" borderId="118" xfId="0" applyFont="1" applyBorder="1" applyAlignment="1">
      <alignment horizontal="center" vertical="center" wrapText="1"/>
    </xf>
    <xf numFmtId="0" fontId="109" fillId="0" borderId="119" xfId="0" applyFont="1" applyBorder="1" applyAlignment="1">
      <alignment horizontal="center" vertical="center" wrapText="1"/>
    </xf>
    <xf numFmtId="0" fontId="106" fillId="31" borderId="123" xfId="0" applyFont="1" applyFill="1" applyBorder="1" applyAlignment="1">
      <alignment vertical="center" wrapText="1"/>
    </xf>
    <xf numFmtId="0" fontId="106" fillId="31" borderId="118" xfId="0" applyFont="1" applyFill="1" applyBorder="1" applyAlignment="1">
      <alignment vertical="center" wrapText="1"/>
    </xf>
    <xf numFmtId="0" fontId="106" fillId="31" borderId="119" xfId="0" applyFont="1" applyFill="1" applyBorder="1" applyAlignment="1">
      <alignment vertical="center" wrapText="1"/>
    </xf>
    <xf numFmtId="0" fontId="112" fillId="0" borderId="117" xfId="0" applyFont="1" applyBorder="1" applyAlignment="1">
      <alignment vertical="center" wrapText="1"/>
    </xf>
    <xf numFmtId="0" fontId="112" fillId="0" borderId="118" xfId="0" applyFont="1" applyBorder="1" applyAlignment="1">
      <alignment vertical="center" wrapText="1"/>
    </xf>
    <xf numFmtId="0" fontId="112" fillId="0" borderId="119" xfId="0" applyFont="1" applyBorder="1" applyAlignment="1">
      <alignment vertical="center" wrapText="1"/>
    </xf>
    <xf numFmtId="0" fontId="115" fillId="0" borderId="40" xfId="0" applyFont="1" applyBorder="1" applyAlignment="1">
      <alignment vertical="center" wrapText="1"/>
    </xf>
    <xf numFmtId="0" fontId="116" fillId="0" borderId="40" xfId="0" applyFont="1" applyBorder="1" applyAlignment="1">
      <alignment vertical="center" wrapText="1"/>
    </xf>
    <xf numFmtId="0" fontId="106" fillId="33" borderId="40" xfId="0" applyFont="1" applyFill="1" applyBorder="1" applyAlignment="1">
      <alignment vertical="center" wrapText="1"/>
    </xf>
    <xf numFmtId="0" fontId="116" fillId="0" borderId="42" xfId="0" applyFont="1" applyBorder="1" applyAlignment="1">
      <alignment vertical="center" wrapText="1"/>
    </xf>
    <xf numFmtId="0" fontId="107" fillId="0" borderId="118" xfId="0" applyFont="1" applyBorder="1" applyAlignment="1">
      <alignment vertical="center" wrapText="1"/>
    </xf>
    <xf numFmtId="0" fontId="107" fillId="0" borderId="119" xfId="0" applyFont="1" applyBorder="1" applyAlignment="1">
      <alignment vertical="center" wrapText="1"/>
    </xf>
    <xf numFmtId="0" fontId="115" fillId="0" borderId="39" xfId="0" applyFont="1" applyBorder="1" applyAlignment="1">
      <alignment horizontal="center" vertical="top" wrapText="1"/>
    </xf>
    <xf numFmtId="0" fontId="115" fillId="0" borderId="40" xfId="0" applyFont="1" applyBorder="1" applyAlignment="1">
      <alignment horizontal="center" vertical="top" wrapText="1"/>
    </xf>
    <xf numFmtId="0" fontId="115" fillId="0" borderId="42" xfId="0" applyFont="1" applyBorder="1" applyAlignment="1">
      <alignment horizontal="center" vertical="top" wrapText="1"/>
    </xf>
    <xf numFmtId="0" fontId="107" fillId="0" borderId="120" xfId="0" applyFont="1" applyBorder="1" applyAlignment="1">
      <alignment horizontal="right" vertical="top" wrapText="1"/>
    </xf>
    <xf numFmtId="0" fontId="107" fillId="0" borderId="40" xfId="0" applyFont="1" applyBorder="1" applyAlignment="1">
      <alignment horizontal="right" vertical="top" wrapText="1"/>
    </xf>
    <xf numFmtId="0" fontId="107" fillId="0" borderId="42" xfId="0" applyFont="1" applyBorder="1" applyAlignment="1">
      <alignment horizontal="right" vertical="top" wrapText="1"/>
    </xf>
    <xf numFmtId="0" fontId="107" fillId="0" borderId="41" xfId="0" applyFont="1" applyBorder="1" applyAlignment="1">
      <alignment horizontal="right" vertical="top" wrapText="1"/>
    </xf>
    <xf numFmtId="0" fontId="112" fillId="0" borderId="107" xfId="0" applyFont="1" applyBorder="1" applyAlignment="1">
      <alignment vertical="center" wrapText="1"/>
    </xf>
    <xf numFmtId="0" fontId="112" fillId="0" borderId="43" xfId="0" applyFont="1" applyBorder="1" applyAlignment="1">
      <alignment vertical="center" wrapText="1"/>
    </xf>
    <xf numFmtId="0" fontId="112" fillId="0" borderId="122" xfId="0" applyFont="1" applyBorder="1" applyAlignment="1">
      <alignment vertical="center" wrapText="1"/>
    </xf>
    <xf numFmtId="0" fontId="106" fillId="0" borderId="136" xfId="0" applyFont="1" applyBorder="1" applyAlignment="1">
      <alignment vertical="top" wrapText="1"/>
    </xf>
    <xf numFmtId="0" fontId="106" fillId="0" borderId="137" xfId="0" applyFont="1" applyBorder="1" applyAlignment="1">
      <alignment vertical="top" wrapText="1"/>
    </xf>
    <xf numFmtId="0" fontId="106" fillId="0" borderId="138" xfId="0" applyFont="1" applyBorder="1" applyAlignment="1">
      <alignment vertical="top" wrapText="1"/>
    </xf>
    <xf numFmtId="0" fontId="106" fillId="0" borderId="139" xfId="0" applyFont="1" applyBorder="1" applyAlignment="1">
      <alignment vertical="top" wrapText="1"/>
    </xf>
    <xf numFmtId="0" fontId="106" fillId="0" borderId="140" xfId="0" applyFont="1" applyBorder="1" applyAlignment="1">
      <alignment vertical="top" wrapText="1"/>
    </xf>
    <xf numFmtId="0" fontId="106" fillId="0" borderId="141" xfId="0" applyFont="1" applyBorder="1" applyAlignment="1">
      <alignment vertical="top" wrapText="1"/>
    </xf>
    <xf numFmtId="0" fontId="106" fillId="31" borderId="88" xfId="0" applyFont="1" applyFill="1" applyBorder="1" applyAlignment="1">
      <alignment vertical="center" wrapText="1"/>
    </xf>
    <xf numFmtId="0" fontId="106" fillId="31" borderId="43" xfId="0" applyFont="1" applyFill="1" applyBorder="1" applyAlignment="1">
      <alignment vertical="center" wrapText="1"/>
    </xf>
    <xf numFmtId="0" fontId="106" fillId="31" borderId="122" xfId="0" applyFont="1" applyFill="1" applyBorder="1" applyAlignment="1">
      <alignment vertical="center" wrapText="1"/>
    </xf>
    <xf numFmtId="0" fontId="106" fillId="31" borderId="120" xfId="0" applyFont="1" applyFill="1" applyBorder="1" applyAlignment="1">
      <alignment vertical="center" wrapText="1"/>
    </xf>
    <xf numFmtId="0" fontId="106" fillId="31" borderId="40" xfId="0" applyFont="1" applyFill="1" applyBorder="1" applyAlignment="1">
      <alignment vertical="center" wrapText="1"/>
    </xf>
    <xf numFmtId="0" fontId="106" fillId="31" borderId="42" xfId="0" applyFont="1" applyFill="1" applyBorder="1" applyAlignment="1">
      <alignment vertical="center" wrapText="1"/>
    </xf>
    <xf numFmtId="0" fontId="107" fillId="0" borderId="128" xfId="0" applyFont="1" applyBorder="1" applyAlignment="1">
      <alignment horizontal="center" vertical="center" wrapText="1"/>
    </xf>
    <xf numFmtId="0" fontId="107" fillId="0" borderId="133" xfId="0" applyFont="1" applyBorder="1" applyAlignment="1">
      <alignment horizontal="center" vertical="center" wrapText="1"/>
    </xf>
    <xf numFmtId="0" fontId="107" fillId="0" borderId="131" xfId="0" applyFont="1" applyBorder="1" applyAlignment="1">
      <alignment horizontal="center" vertical="center" wrapText="1"/>
    </xf>
    <xf numFmtId="0" fontId="115" fillId="0" borderId="0" xfId="0" applyFont="1" applyAlignment="1">
      <alignment vertical="center" wrapText="1"/>
    </xf>
    <xf numFmtId="0" fontId="116" fillId="0" borderId="0" xfId="0" applyFont="1" applyAlignment="1">
      <alignment vertical="center" wrapText="1"/>
    </xf>
    <xf numFmtId="0" fontId="106" fillId="33" borderId="0" xfId="0" applyFont="1" applyFill="1" applyAlignment="1">
      <alignment vertical="center" wrapText="1"/>
    </xf>
    <xf numFmtId="0" fontId="115" fillId="0" borderId="102" xfId="0" applyFont="1" applyBorder="1" applyAlignment="1">
      <alignment horizontal="center" vertical="center" wrapText="1"/>
    </xf>
    <xf numFmtId="0" fontId="115" fillId="0" borderId="0" xfId="0" applyFont="1" applyAlignment="1">
      <alignment horizontal="center" vertical="center" wrapText="1"/>
    </xf>
    <xf numFmtId="0" fontId="115" fillId="0" borderId="129" xfId="0" applyFont="1" applyBorder="1" applyAlignment="1">
      <alignment horizontal="center" vertical="center" wrapText="1"/>
    </xf>
    <xf numFmtId="0" fontId="112" fillId="0" borderId="34" xfId="0" applyFont="1" applyBorder="1" applyAlignment="1">
      <alignment vertical="center" wrapText="1"/>
    </xf>
    <xf numFmtId="0" fontId="112" fillId="0" borderId="35" xfId="0" applyFont="1" applyBorder="1" applyAlignment="1">
      <alignment vertical="center" wrapText="1"/>
    </xf>
    <xf numFmtId="0" fontId="112" fillId="0" borderId="36" xfId="0" applyFont="1" applyBorder="1" applyAlignment="1">
      <alignment vertical="center" wrapText="1"/>
    </xf>
    <xf numFmtId="0" fontId="112" fillId="0" borderId="102" xfId="0" applyFont="1" applyBorder="1" applyAlignment="1">
      <alignment vertical="center" wrapText="1"/>
    </xf>
    <xf numFmtId="0" fontId="112" fillId="0" borderId="0" xfId="0" applyFont="1" applyAlignment="1">
      <alignment vertical="center" wrapText="1"/>
    </xf>
    <xf numFmtId="0" fontId="107" fillId="0" borderId="88" xfId="0" applyFont="1" applyBorder="1" applyAlignment="1">
      <alignment horizontal="center" vertical="center" wrapText="1"/>
    </xf>
    <xf numFmtId="0" fontId="107" fillId="0" borderId="43" xfId="0" applyFont="1" applyBorder="1" applyAlignment="1">
      <alignment horizontal="center" vertical="center" wrapText="1"/>
    </xf>
    <xf numFmtId="0" fontId="107" fillId="0" borderId="122" xfId="0" applyFont="1" applyBorder="1" applyAlignment="1">
      <alignment horizontal="center" vertical="center" wrapText="1"/>
    </xf>
    <xf numFmtId="0" fontId="107" fillId="0" borderId="116" xfId="0" applyFont="1" applyBorder="1" applyAlignment="1">
      <alignment horizontal="center" vertical="center" wrapText="1"/>
    </xf>
    <xf numFmtId="0" fontId="106" fillId="29" borderId="134" xfId="0" applyFont="1" applyFill="1" applyBorder="1" applyAlignment="1">
      <alignment vertical="center" wrapText="1"/>
    </xf>
    <xf numFmtId="0" fontId="106" fillId="29" borderId="135" xfId="0" applyFont="1" applyFill="1" applyBorder="1" applyAlignment="1">
      <alignment vertical="center" wrapText="1"/>
    </xf>
    <xf numFmtId="0" fontId="106" fillId="31" borderId="124" xfId="0" applyFont="1" applyFill="1" applyBorder="1" applyAlignment="1">
      <alignment vertical="center" wrapText="1"/>
    </xf>
    <xf numFmtId="0" fontId="106" fillId="31" borderId="0" xfId="0" applyFont="1" applyFill="1" applyAlignment="1">
      <alignment vertical="center" wrapText="1"/>
    </xf>
    <xf numFmtId="0" fontId="106" fillId="31" borderId="129" xfId="0" applyFont="1" applyFill="1" applyBorder="1" applyAlignment="1">
      <alignment vertical="center" wrapText="1"/>
    </xf>
    <xf numFmtId="0" fontId="107" fillId="0" borderId="127" xfId="0" applyFont="1" applyBorder="1" applyAlignment="1">
      <alignment vertical="center" wrapText="1"/>
    </xf>
    <xf numFmtId="0" fontId="107" fillId="0" borderId="130" xfId="0" applyFont="1" applyBorder="1" applyAlignment="1">
      <alignment vertical="center" wrapText="1"/>
    </xf>
    <xf numFmtId="0" fontId="107" fillId="0" borderId="132" xfId="0" applyFont="1" applyBorder="1" applyAlignment="1">
      <alignment vertical="center" wrapText="1"/>
    </xf>
    <xf numFmtId="0" fontId="106" fillId="0" borderId="107" xfId="0" applyFont="1" applyBorder="1" applyAlignment="1">
      <alignment vertical="top" wrapText="1"/>
    </xf>
    <xf numFmtId="0" fontId="106" fillId="0" borderId="43" xfId="0" applyFont="1" applyBorder="1" applyAlignment="1">
      <alignment vertical="top" wrapText="1"/>
    </xf>
    <xf numFmtId="0" fontId="106" fillId="0" borderId="122" xfId="0" applyFont="1" applyBorder="1" applyAlignment="1">
      <alignment vertical="top" wrapText="1"/>
    </xf>
    <xf numFmtId="0" fontId="106" fillId="0" borderId="39" xfId="0" applyFont="1" applyBorder="1" applyAlignment="1">
      <alignment vertical="top" wrapText="1"/>
    </xf>
    <xf numFmtId="0" fontId="106" fillId="0" borderId="40" xfId="0" applyFont="1" applyBorder="1" applyAlignment="1">
      <alignment vertical="top" wrapText="1"/>
    </xf>
    <xf numFmtId="0" fontId="106" fillId="0" borderId="42" xfId="0" applyFont="1" applyBorder="1" applyAlignment="1">
      <alignment vertical="top" wrapText="1"/>
    </xf>
    <xf numFmtId="0" fontId="107" fillId="0" borderId="123" xfId="0" applyFont="1" applyBorder="1" applyAlignment="1">
      <alignment horizontal="center" vertical="center" wrapText="1"/>
    </xf>
    <xf numFmtId="0" fontId="107" fillId="0" borderId="118" xfId="0" applyFont="1" applyBorder="1" applyAlignment="1">
      <alignment horizontal="center" vertical="center" wrapText="1"/>
    </xf>
    <xf numFmtId="0" fontId="107" fillId="0" borderId="119" xfId="0" applyFont="1" applyBorder="1" applyAlignment="1">
      <alignment horizontal="center" vertical="center" wrapText="1"/>
    </xf>
    <xf numFmtId="0" fontId="107" fillId="0" borderId="124" xfId="0" applyFont="1" applyBorder="1" applyAlignment="1">
      <alignment horizontal="center" vertical="center" wrapText="1"/>
    </xf>
    <xf numFmtId="0" fontId="107" fillId="0" borderId="0" xfId="0" applyFont="1" applyAlignment="1">
      <alignment horizontal="center" vertical="center" wrapText="1"/>
    </xf>
    <xf numFmtId="0" fontId="107" fillId="0" borderId="41" xfId="0" applyFont="1" applyBorder="1" applyAlignment="1">
      <alignment horizontal="center" vertical="center" wrapText="1"/>
    </xf>
    <xf numFmtId="0" fontId="106" fillId="29" borderId="70" xfId="0" applyFont="1" applyFill="1" applyBorder="1" applyAlignment="1">
      <alignment vertical="center" wrapText="1"/>
    </xf>
    <xf numFmtId="0" fontId="106" fillId="29" borderId="71" xfId="0" applyFont="1" applyFill="1" applyBorder="1" applyAlignment="1">
      <alignment vertical="center" wrapText="1"/>
    </xf>
    <xf numFmtId="0" fontId="106" fillId="29" borderId="72" xfId="0" applyFont="1" applyFill="1" applyBorder="1" applyAlignment="1">
      <alignment vertical="center" wrapText="1"/>
    </xf>
    <xf numFmtId="0" fontId="109" fillId="0" borderId="117" xfId="0" applyFont="1" applyBorder="1" applyAlignment="1">
      <alignment vertical="center" wrapText="1"/>
    </xf>
    <xf numFmtId="0" fontId="110" fillId="0" borderId="118" xfId="0" applyFont="1" applyBorder="1" applyAlignment="1">
      <alignment vertical="center" wrapText="1"/>
    </xf>
    <xf numFmtId="0" fontId="110" fillId="0" borderId="119" xfId="0" applyFont="1" applyBorder="1" applyAlignment="1">
      <alignment vertical="center" wrapText="1"/>
    </xf>
    <xf numFmtId="0" fontId="109" fillId="0" borderId="102" xfId="0" applyFont="1" applyBorder="1" applyAlignment="1">
      <alignment vertical="center" wrapText="1"/>
    </xf>
    <xf numFmtId="0" fontId="110" fillId="0" borderId="0" xfId="0" applyFont="1" applyAlignment="1">
      <alignment vertical="center" wrapText="1"/>
    </xf>
    <xf numFmtId="0" fontId="106" fillId="29" borderId="47" xfId="0" applyFont="1" applyFill="1" applyBorder="1" applyAlignment="1">
      <alignment vertical="center" wrapText="1"/>
    </xf>
    <xf numFmtId="0" fontId="106" fillId="29" borderId="48" xfId="0" applyFont="1" applyFill="1" applyBorder="1" applyAlignment="1">
      <alignment vertical="center" wrapText="1"/>
    </xf>
    <xf numFmtId="0" fontId="106" fillId="29" borderId="51" xfId="0" applyFont="1" applyFill="1" applyBorder="1" applyAlignment="1">
      <alignment vertical="center" wrapText="1"/>
    </xf>
    <xf numFmtId="0" fontId="106" fillId="29" borderId="104" xfId="0" applyFont="1" applyFill="1" applyBorder="1" applyAlignment="1">
      <alignment vertical="center" wrapText="1"/>
    </xf>
    <xf numFmtId="0" fontId="106" fillId="29" borderId="105" xfId="0" applyFont="1" applyFill="1" applyBorder="1" applyAlignment="1">
      <alignment vertical="center" wrapText="1"/>
    </xf>
    <xf numFmtId="0" fontId="106" fillId="29" borderId="106" xfId="0" applyFont="1" applyFill="1" applyBorder="1" applyAlignment="1">
      <alignment vertical="center" wrapText="1"/>
    </xf>
    <xf numFmtId="0" fontId="107" fillId="0" borderId="47" xfId="0" applyFont="1" applyBorder="1" applyAlignment="1">
      <alignment horizontal="center" vertical="center" wrapText="1"/>
    </xf>
    <xf numFmtId="0" fontId="107" fillId="0" borderId="48" xfId="0" applyFont="1" applyBorder="1" applyAlignment="1">
      <alignment horizontal="center" vertical="center" wrapText="1"/>
    </xf>
    <xf numFmtId="0" fontId="107" fillId="0" borderId="61" xfId="0" applyFont="1" applyBorder="1" applyAlignment="1">
      <alignment horizontal="center" vertical="center" wrapText="1"/>
    </xf>
    <xf numFmtId="0" fontId="107" fillId="0" borderId="62" xfId="0" applyFont="1" applyBorder="1" applyAlignment="1">
      <alignment horizontal="center" vertical="center" wrapText="1"/>
    </xf>
    <xf numFmtId="0" fontId="107" fillId="0" borderId="103" xfId="0" applyFont="1" applyBorder="1" applyAlignment="1">
      <alignment horizontal="center" vertical="center" wrapText="1"/>
    </xf>
    <xf numFmtId="0" fontId="107" fillId="0" borderId="37" xfId="0" applyFont="1" applyBorder="1" applyAlignment="1">
      <alignment horizontal="center" vertical="center" wrapText="1"/>
    </xf>
    <xf numFmtId="0" fontId="110" fillId="33" borderId="40" xfId="0" applyFont="1" applyFill="1" applyBorder="1" applyAlignment="1">
      <alignment horizontal="center" vertical="center" wrapText="1"/>
    </xf>
    <xf numFmtId="49" fontId="109" fillId="0" borderId="107" xfId="0" applyNumberFormat="1" applyFont="1" applyBorder="1" applyAlignment="1">
      <alignment horizontal="left" vertical="center" wrapText="1"/>
    </xf>
    <xf numFmtId="49" fontId="110" fillId="0" borderId="43" xfId="0" applyNumberFormat="1" applyFont="1" applyBorder="1" applyAlignment="1">
      <alignment horizontal="left" vertical="center" wrapText="1"/>
    </xf>
    <xf numFmtId="0" fontId="110" fillId="0" borderId="43" xfId="0" applyFont="1" applyBorder="1" applyAlignment="1">
      <alignment horizontal="center" vertical="center" wrapText="1"/>
    </xf>
    <xf numFmtId="0" fontId="106" fillId="29" borderId="108" xfId="0" applyFont="1" applyFill="1" applyBorder="1" applyAlignment="1">
      <alignment vertical="center" wrapText="1"/>
    </xf>
    <xf numFmtId="0" fontId="106" fillId="29" borderId="109" xfId="0" applyFont="1" applyFill="1" applyBorder="1" applyAlignment="1">
      <alignment vertical="center" wrapText="1"/>
    </xf>
    <xf numFmtId="0" fontId="106" fillId="29" borderId="0" xfId="0" applyFont="1" applyFill="1" applyAlignment="1">
      <alignment vertical="center" wrapText="1"/>
    </xf>
    <xf numFmtId="0" fontId="106" fillId="29" borderId="54" xfId="0" applyFont="1" applyFill="1" applyBorder="1" applyAlignment="1">
      <alignment vertical="center" wrapText="1"/>
    </xf>
    <xf numFmtId="0" fontId="106" fillId="29" borderId="111" xfId="0" applyFont="1" applyFill="1" applyBorder="1" applyAlignment="1">
      <alignment vertical="center" wrapText="1"/>
    </xf>
    <xf numFmtId="0" fontId="106" fillId="29" borderId="40" xfId="0" applyFont="1" applyFill="1" applyBorder="1" applyAlignment="1">
      <alignment vertical="center" wrapText="1"/>
    </xf>
    <xf numFmtId="0" fontId="106" fillId="29" borderId="112" xfId="0" applyFont="1" applyFill="1" applyBorder="1" applyAlignment="1">
      <alignment vertical="center" wrapText="1"/>
    </xf>
    <xf numFmtId="0" fontId="107" fillId="0" borderId="110" xfId="0" applyFont="1" applyBorder="1" applyAlignment="1">
      <alignment horizontal="center" vertical="center" wrapText="1"/>
    </xf>
    <xf numFmtId="0" fontId="107" fillId="0" borderId="113" xfId="0" applyFont="1" applyBorder="1" applyAlignment="1">
      <alignment horizontal="center" vertical="center" wrapText="1"/>
    </xf>
    <xf numFmtId="0" fontId="110" fillId="0" borderId="39" xfId="0" applyFont="1" applyBorder="1" applyAlignment="1">
      <alignment horizontal="center" vertical="center" wrapText="1"/>
    </xf>
    <xf numFmtId="0" fontId="110" fillId="0" borderId="40" xfId="0" applyFont="1" applyBorder="1" applyAlignment="1">
      <alignment horizontal="center" vertical="center" wrapText="1"/>
    </xf>
    <xf numFmtId="0" fontId="107" fillId="0" borderId="0" xfId="0" applyFont="1" applyAlignment="1">
      <alignment vertical="center" wrapText="1"/>
    </xf>
    <xf numFmtId="0" fontId="108" fillId="0" borderId="0" xfId="0" applyFont="1" applyAlignment="1">
      <alignment horizontal="center" vertical="center" wrapText="1"/>
    </xf>
    <xf numFmtId="0" fontId="109" fillId="0" borderId="98" xfId="0" applyFont="1" applyBorder="1" applyAlignment="1">
      <alignment horizontal="center" vertical="center" wrapText="1"/>
    </xf>
    <xf numFmtId="0" fontId="109" fillId="0" borderId="99" xfId="0" applyFont="1" applyBorder="1" applyAlignment="1">
      <alignment horizontal="center" vertical="center" wrapText="1"/>
    </xf>
    <xf numFmtId="0" fontId="106" fillId="29" borderId="100" xfId="0" applyFont="1" applyFill="1" applyBorder="1" applyAlignment="1">
      <alignment vertical="center" wrapText="1"/>
    </xf>
    <xf numFmtId="0" fontId="107" fillId="0" borderId="101" xfId="0" applyFont="1" applyBorder="1" applyAlignment="1">
      <alignment horizontal="center" vertical="center" wrapText="1"/>
    </xf>
    <xf numFmtId="0" fontId="107" fillId="0" borderId="35" xfId="0" applyFont="1" applyBorder="1" applyAlignment="1">
      <alignment horizontal="center" vertical="center" wrapText="1"/>
    </xf>
    <xf numFmtId="49" fontId="109" fillId="0" borderId="107" xfId="0" applyNumberFormat="1" applyFont="1" applyBorder="1" applyAlignment="1">
      <alignment vertical="center" wrapText="1"/>
    </xf>
    <xf numFmtId="49" fontId="109" fillId="0" borderId="43" xfId="0" applyNumberFormat="1" applyFont="1" applyBorder="1" applyAlignment="1">
      <alignment vertical="center" wrapText="1"/>
    </xf>
    <xf numFmtId="0" fontId="106" fillId="29" borderId="114" xfId="0" applyFont="1" applyFill="1" applyBorder="1" applyAlignment="1">
      <alignment vertical="center" wrapText="1"/>
    </xf>
    <xf numFmtId="0" fontId="106" fillId="29" borderId="43" xfId="0" applyFont="1" applyFill="1" applyBorder="1" applyAlignment="1">
      <alignment vertical="center" wrapText="1"/>
    </xf>
    <xf numFmtId="0" fontId="106" fillId="29" borderId="115" xfId="0" applyFont="1" applyFill="1" applyBorder="1" applyAlignment="1">
      <alignment vertical="center" wrapText="1"/>
    </xf>
    <xf numFmtId="0" fontId="106" fillId="29" borderId="61" xfId="0" applyFont="1" applyFill="1" applyBorder="1" applyAlignment="1">
      <alignment vertical="center" wrapText="1"/>
    </xf>
    <xf numFmtId="0" fontId="106" fillId="29" borderId="62" xfId="0" applyFont="1" applyFill="1" applyBorder="1" applyAlignment="1">
      <alignment vertical="center" wrapText="1"/>
    </xf>
    <xf numFmtId="0" fontId="106" fillId="29" borderId="64" xfId="0" applyFont="1" applyFill="1" applyBorder="1" applyAlignment="1">
      <alignment vertical="center" wrapText="1"/>
    </xf>
    <xf numFmtId="0" fontId="109" fillId="0" borderId="39" xfId="0" applyFont="1" applyBorder="1" applyAlignment="1">
      <alignment horizontal="left" vertical="center" wrapText="1"/>
    </xf>
    <xf numFmtId="0" fontId="109" fillId="0" borderId="40" xfId="0" applyFont="1" applyBorder="1" applyAlignment="1">
      <alignment horizontal="left" vertical="center" wrapText="1"/>
    </xf>
    <xf numFmtId="0" fontId="161" fillId="40" borderId="0" xfId="130" applyFont="1" applyFill="1" applyAlignment="1">
      <alignment horizontal="center" vertical="center"/>
    </xf>
    <xf numFmtId="0" fontId="155" fillId="0" borderId="0" xfId="130" applyFont="1" applyAlignment="1">
      <alignment horizontal="center" vertical="center"/>
    </xf>
    <xf numFmtId="182" fontId="61" fillId="0" borderId="0" xfId="130" applyNumberFormat="1" applyAlignment="1">
      <alignment horizontal="right" vertical="center"/>
    </xf>
    <xf numFmtId="0" fontId="157" fillId="36" borderId="207" xfId="130" applyFont="1" applyFill="1" applyBorder="1" applyAlignment="1">
      <alignment horizontal="center" vertical="center"/>
    </xf>
    <xf numFmtId="0" fontId="157" fillId="36" borderId="208" xfId="130" applyFont="1" applyFill="1" applyBorder="1" applyAlignment="1">
      <alignment horizontal="center" vertical="center"/>
    </xf>
    <xf numFmtId="0" fontId="157" fillId="36" borderId="209" xfId="130" applyFont="1" applyFill="1" applyBorder="1" applyAlignment="1">
      <alignment horizontal="center" vertical="center"/>
    </xf>
    <xf numFmtId="6" fontId="158" fillId="0" borderId="210" xfId="131" applyFont="1" applyBorder="1" applyAlignment="1">
      <alignment horizontal="center" vertical="center"/>
    </xf>
    <xf numFmtId="6" fontId="158" fillId="0" borderId="211" xfId="131" applyFont="1" applyBorder="1" applyAlignment="1">
      <alignment horizontal="center" vertical="center"/>
    </xf>
    <xf numFmtId="6" fontId="158" fillId="0" borderId="212" xfId="131" applyFont="1" applyBorder="1" applyAlignment="1">
      <alignment horizontal="center" vertical="center"/>
    </xf>
    <xf numFmtId="0" fontId="157" fillId="36" borderId="179" xfId="130" applyFont="1" applyFill="1" applyBorder="1" applyAlignment="1">
      <alignment horizontal="center" vertical="center"/>
    </xf>
    <xf numFmtId="0" fontId="157" fillId="36" borderId="168" xfId="130" applyFont="1" applyFill="1" applyBorder="1" applyAlignment="1">
      <alignment horizontal="center" vertical="center"/>
    </xf>
    <xf numFmtId="184" fontId="61" fillId="0" borderId="183" xfId="130" applyNumberFormat="1" applyBorder="1" applyAlignment="1">
      <alignment horizontal="left" vertical="center"/>
    </xf>
    <xf numFmtId="184" fontId="61" fillId="0" borderId="44" xfId="130" applyNumberFormat="1" applyBorder="1" applyAlignment="1">
      <alignment horizontal="left" vertical="center"/>
    </xf>
    <xf numFmtId="0" fontId="61" fillId="36" borderId="183" xfId="130" applyFill="1" applyBorder="1" applyAlignment="1">
      <alignment horizontal="center" vertical="center"/>
    </xf>
    <xf numFmtId="0" fontId="61" fillId="36" borderId="58" xfId="130" applyFill="1" applyBorder="1" applyAlignment="1">
      <alignment horizontal="center" vertical="center"/>
    </xf>
    <xf numFmtId="0" fontId="61" fillId="0" borderId="0" xfId="130" applyAlignment="1">
      <alignment horizontal="left" vertical="center" shrinkToFit="1"/>
    </xf>
    <xf numFmtId="0" fontId="61" fillId="0" borderId="0" xfId="130" applyAlignment="1">
      <alignment horizontal="left" vertical="center"/>
    </xf>
    <xf numFmtId="182" fontId="61" fillId="0" borderId="0" xfId="130" applyNumberFormat="1" applyAlignment="1" applyProtection="1">
      <alignment horizontal="right" vertical="center"/>
      <protection locked="0"/>
    </xf>
    <xf numFmtId="183" fontId="61" fillId="0" borderId="0" xfId="130" applyNumberFormat="1" applyAlignment="1">
      <alignment horizontal="center" vertical="center"/>
    </xf>
    <xf numFmtId="0" fontId="61" fillId="0" borderId="0" xfId="130">
      <alignment vertical="center"/>
    </xf>
    <xf numFmtId="186" fontId="153" fillId="0" borderId="1" xfId="130" applyNumberFormat="1" applyFont="1" applyBorder="1" applyAlignment="1">
      <alignment horizontal="center" vertical="center" shrinkToFit="1"/>
    </xf>
  </cellXfs>
  <cellStyles count="133">
    <cellStyle name="20% - Accent1" xfId="22"/>
    <cellStyle name="20% - Accent2" xfId="23"/>
    <cellStyle name="20% - Accent3" xfId="24"/>
    <cellStyle name="20% - Accent4" xfId="25"/>
    <cellStyle name="20% - Accent5" xfId="26"/>
    <cellStyle name="20% - Accent6" xfId="27"/>
    <cellStyle name="20% - アクセント 1 2" xfId="28"/>
    <cellStyle name="20% - アクセント 2 2" xfId="29"/>
    <cellStyle name="20% - アクセント 3 2" xfId="30"/>
    <cellStyle name="20% - アクセント 4 2" xfId="31"/>
    <cellStyle name="20% - アクセント 5 2" xfId="32"/>
    <cellStyle name="20% - アクセント 6 2" xfId="33"/>
    <cellStyle name="40% - Accent1" xfId="34"/>
    <cellStyle name="40% - Accent2" xfId="35"/>
    <cellStyle name="40% - Accent3" xfId="36"/>
    <cellStyle name="40% - Accent4" xfId="37"/>
    <cellStyle name="40% - Accent5" xfId="38"/>
    <cellStyle name="40% - Accent6" xfId="39"/>
    <cellStyle name="40% - アクセント 1 2" xfId="40"/>
    <cellStyle name="40% - アクセント 2 2" xfId="41"/>
    <cellStyle name="40% - アクセント 3 2" xfId="42"/>
    <cellStyle name="40% - アクセント 4 2" xfId="43"/>
    <cellStyle name="40% - アクセント 5 2" xfId="44"/>
    <cellStyle name="40% - アクセント 6 2" xfId="45"/>
    <cellStyle name="60% - Accent1" xfId="46"/>
    <cellStyle name="60% - Accent2" xfId="47"/>
    <cellStyle name="60% - Accent3" xfId="48"/>
    <cellStyle name="60% - Accent4" xfId="49"/>
    <cellStyle name="60% - Accent5" xfId="50"/>
    <cellStyle name="60% - Accent6" xfId="51"/>
    <cellStyle name="60% - アクセント 1 2" xfId="52"/>
    <cellStyle name="60% - アクセント 2 2" xfId="53"/>
    <cellStyle name="60% - アクセント 3 2" xfId="54"/>
    <cellStyle name="60% - アクセント 4 2" xfId="55"/>
    <cellStyle name="60% - アクセント 5 2" xfId="56"/>
    <cellStyle name="60% - アクセント 6 2" xfId="57"/>
    <cellStyle name="Accent1" xfId="58"/>
    <cellStyle name="Accent2" xfId="59"/>
    <cellStyle name="Accent3" xfId="60"/>
    <cellStyle name="Accent4" xfId="61"/>
    <cellStyle name="Accent5" xfId="62"/>
    <cellStyle name="Accent6" xfId="63"/>
    <cellStyle name="Background" xfId="64"/>
    <cellStyle name="Bad" xfId="65"/>
    <cellStyle name="Calculation" xfId="66"/>
    <cellStyle name="Check Cell" xfId="67"/>
    <cellStyle name="Comma [0]_FON95-03" xfId="68"/>
    <cellStyle name="Comma_FON95-03" xfId="69"/>
    <cellStyle name="Currency [0]_FON95-03" xfId="70"/>
    <cellStyle name="Currency_FON95-03" xfId="71"/>
    <cellStyle name="date" xfId="72"/>
    <cellStyle name="Explanatory Text" xfId="73"/>
    <cellStyle name="Good" xfId="74"/>
    <cellStyle name="Heading 1" xfId="75"/>
    <cellStyle name="Heading 2" xfId="76"/>
    <cellStyle name="Heading 3" xfId="77"/>
    <cellStyle name="Heading 4" xfId="78"/>
    <cellStyle name="IBM(401K)" xfId="123"/>
    <cellStyle name="Input" xfId="79"/>
    <cellStyle name="J401K" xfId="124"/>
    <cellStyle name="Linked Cell" xfId="80"/>
    <cellStyle name="Milliers [0]_AR1194" xfId="81"/>
    <cellStyle name="Milliers_AR1194" xfId="82"/>
    <cellStyle name="Mon騁aire [0]_AR1194" xfId="83"/>
    <cellStyle name="Mon騁aire_AR1194" xfId="84"/>
    <cellStyle name="Neutral" xfId="85"/>
    <cellStyle name="Normal_AR1194" xfId="86"/>
    <cellStyle name="Note" xfId="87"/>
    <cellStyle name="Output" xfId="88"/>
    <cellStyle name="Title" xfId="89"/>
    <cellStyle name="Total" xfId="90"/>
    <cellStyle name="Warning Text" xfId="91"/>
    <cellStyle name="アクセント 1 2" xfId="92"/>
    <cellStyle name="アクセント 2 2" xfId="93"/>
    <cellStyle name="アクセント 3 2" xfId="94"/>
    <cellStyle name="アクセント 4 2" xfId="95"/>
    <cellStyle name="アクセント 5 2" xfId="96"/>
    <cellStyle name="アクセント 6 2" xfId="97"/>
    <cellStyle name="タイトル 2" xfId="98"/>
    <cellStyle name="チェック セル 2" xfId="99"/>
    <cellStyle name="データパイロットの数値" xfId="100"/>
    <cellStyle name="データパイロットの分類項目" xfId="101"/>
    <cellStyle name="どちらでもない 2" xfId="102"/>
    <cellStyle name="ハイパーリンク 2" xfId="17"/>
    <cellStyle name="ハイパーリンク 3" xfId="10"/>
    <cellStyle name="フェンスチャート" xfId="103"/>
    <cellStyle name="メモ 2" xfId="104"/>
    <cellStyle name="リンク セル 2" xfId="105"/>
    <cellStyle name="悪い 2" xfId="106"/>
    <cellStyle name="計算 2" xfId="107"/>
    <cellStyle name="警告文 2" xfId="108"/>
    <cellStyle name="桁区切り 2" xfId="4"/>
    <cellStyle name="桁区切り 2 2" xfId="129"/>
    <cellStyle name="桁区切り 3" xfId="18"/>
    <cellStyle name="桁区切り 4" xfId="20"/>
    <cellStyle name="桁区切り 5" xfId="132"/>
    <cellStyle name="見出し 1 2" xfId="109"/>
    <cellStyle name="見出し 2 2" xfId="110"/>
    <cellStyle name="見出し 3 2" xfId="111"/>
    <cellStyle name="見出し 4 2" xfId="112"/>
    <cellStyle name="集計 2" xfId="113"/>
    <cellStyle name="出力 2" xfId="114"/>
    <cellStyle name="状態遷移図" xfId="115"/>
    <cellStyle name="説明文 2" xfId="116"/>
    <cellStyle name="通貨 2" xfId="131"/>
    <cellStyle name="入力 2" xfId="117"/>
    <cellStyle name="標準" xfId="0" builtinId="0"/>
    <cellStyle name="標準 2" xfId="1"/>
    <cellStyle name="標準 2 2" xfId="2"/>
    <cellStyle name="標準 2 2 2" xfId="14"/>
    <cellStyle name="標準 2 2 3" xfId="13"/>
    <cellStyle name="標準 2 2 4" xfId="122"/>
    <cellStyle name="標準 2 3" xfId="12"/>
    <cellStyle name="標準 2 3 2" xfId="128"/>
    <cellStyle name="標準 2 4" xfId="6"/>
    <cellStyle name="標準 2 5" xfId="126"/>
    <cellStyle name="標準 2_デモ／空メールエントリーシステム＿メモ" xfId="125"/>
    <cellStyle name="標準 3" xfId="3"/>
    <cellStyle name="標準 3 2" xfId="7"/>
    <cellStyle name="標準 3 3" xfId="118"/>
    <cellStyle name="標準 4" xfId="5"/>
    <cellStyle name="標準 4 2" xfId="8"/>
    <cellStyle name="標準 4 3" xfId="119"/>
    <cellStyle name="標準 5" xfId="11"/>
    <cellStyle name="標準 5 2" xfId="15"/>
    <cellStyle name="標準 5 3" xfId="21"/>
    <cellStyle name="標準 6" xfId="16"/>
    <cellStyle name="標準 7" xfId="19"/>
    <cellStyle name="標準 8" xfId="9"/>
    <cellStyle name="標準 9" xfId="127"/>
    <cellStyle name="標準 9 2" xfId="130"/>
    <cellStyle name="未定義" xfId="120"/>
    <cellStyle name="良い 2" xfId="121"/>
  </cellStyles>
  <dxfs count="0"/>
  <tableStyles count="0" defaultTableStyle="TableStyleMedium2" defaultPivotStyle="PivotStyleLight16"/>
  <colors>
    <mruColors>
      <color rgb="FFFEF4EC"/>
      <color rgb="FFF1F5F9"/>
      <color rgb="FFEAF0F6"/>
      <color rgb="FFFEF1E6"/>
      <color rgb="FFFBFAF7"/>
      <color rgb="FFFDEAD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drawings/_rels/drawing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13</xdr:col>
      <xdr:colOff>1428751</xdr:colOff>
      <xdr:row>6</xdr:row>
      <xdr:rowOff>202405</xdr:rowOff>
    </xdr:from>
    <xdr:ext cx="325730" cy="275717"/>
    <xdr:sp macro="" textlink="">
      <xdr:nvSpPr>
        <xdr:cNvPr id="3" name="テキスト ボックス 2">
          <a:extLst>
            <a:ext uri="{FF2B5EF4-FFF2-40B4-BE49-F238E27FC236}">
              <a16:creationId xmlns:a16="http://schemas.microsoft.com/office/drawing/2014/main" xmlns="" id="{00000000-0008-0000-0300-000003000000}"/>
            </a:ext>
          </a:extLst>
        </xdr:cNvPr>
        <xdr:cNvSpPr txBox="1"/>
      </xdr:nvSpPr>
      <xdr:spPr>
        <a:xfrm>
          <a:off x="9786939" y="2035968"/>
          <a:ext cx="325730"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a:t>
          </a:r>
        </a:p>
      </xdr:txBody>
    </xdr:sp>
    <xdr:clientData/>
  </xdr:oneCellAnchor>
  <xdr:oneCellAnchor>
    <xdr:from>
      <xdr:col>13</xdr:col>
      <xdr:colOff>1428751</xdr:colOff>
      <xdr:row>11</xdr:row>
      <xdr:rowOff>178593</xdr:rowOff>
    </xdr:from>
    <xdr:ext cx="325730" cy="275717"/>
    <xdr:sp macro="" textlink="">
      <xdr:nvSpPr>
        <xdr:cNvPr id="4" name="テキスト ボックス 3">
          <a:extLst>
            <a:ext uri="{FF2B5EF4-FFF2-40B4-BE49-F238E27FC236}">
              <a16:creationId xmlns:a16="http://schemas.microsoft.com/office/drawing/2014/main" xmlns="" id="{00000000-0008-0000-0300-000004000000}"/>
            </a:ext>
          </a:extLst>
        </xdr:cNvPr>
        <xdr:cNvSpPr txBox="1"/>
      </xdr:nvSpPr>
      <xdr:spPr>
        <a:xfrm>
          <a:off x="9786939" y="3595687"/>
          <a:ext cx="325730" cy="2757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a:t>
          </a:r>
        </a:p>
      </xdr:txBody>
    </xdr:sp>
    <xdr:clientData/>
  </xdr:oneCellAnchor>
  <xdr:twoCellAnchor>
    <xdr:from>
      <xdr:col>8</xdr:col>
      <xdr:colOff>642938</xdr:colOff>
      <xdr:row>8</xdr:row>
      <xdr:rowOff>35720</xdr:rowOff>
    </xdr:from>
    <xdr:to>
      <xdr:col>13</xdr:col>
      <xdr:colOff>1821656</xdr:colOff>
      <xdr:row>8</xdr:row>
      <xdr:rowOff>702470</xdr:rowOff>
    </xdr:to>
    <xdr:sp macro="" textlink="">
      <xdr:nvSpPr>
        <xdr:cNvPr id="5" name="大かっこ 4">
          <a:extLst>
            <a:ext uri="{FF2B5EF4-FFF2-40B4-BE49-F238E27FC236}">
              <a16:creationId xmlns:a16="http://schemas.microsoft.com/office/drawing/2014/main" xmlns="" id="{00000000-0008-0000-0300-000005000000}"/>
            </a:ext>
          </a:extLst>
        </xdr:cNvPr>
        <xdr:cNvSpPr/>
      </xdr:nvSpPr>
      <xdr:spPr>
        <a:xfrm>
          <a:off x="5167313" y="2321720"/>
          <a:ext cx="5012531" cy="666750"/>
        </a:xfrm>
        <a:prstGeom prst="bracketPair">
          <a:avLst>
            <a:gd name="adj" fmla="val 14881"/>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396240</xdr:colOff>
      <xdr:row>66</xdr:row>
      <xdr:rowOff>46315</xdr:rowOff>
    </xdr:from>
    <xdr:to>
      <xdr:col>13</xdr:col>
      <xdr:colOff>540240</xdr:colOff>
      <xdr:row>66</xdr:row>
      <xdr:rowOff>190315</xdr:rowOff>
    </xdr:to>
    <xdr:sp macro="" textlink="">
      <xdr:nvSpPr>
        <xdr:cNvPr id="12" name="円/楕円 23">
          <a:extLst>
            <a:ext uri="{FF2B5EF4-FFF2-40B4-BE49-F238E27FC236}">
              <a16:creationId xmlns:a16="http://schemas.microsoft.com/office/drawing/2014/main" xmlns="" id="{00000000-0008-0000-0400-00000C000000}"/>
            </a:ext>
          </a:extLst>
        </xdr:cNvPr>
        <xdr:cNvSpPr/>
      </xdr:nvSpPr>
      <xdr:spPr>
        <a:xfrm>
          <a:off x="6858000" y="11270575"/>
          <a:ext cx="144000" cy="144000"/>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0</xdr:col>
      <xdr:colOff>299924</xdr:colOff>
      <xdr:row>50</xdr:row>
      <xdr:rowOff>35891</xdr:rowOff>
    </xdr:from>
    <xdr:to>
      <xdr:col>0</xdr:col>
      <xdr:colOff>541326</xdr:colOff>
      <xdr:row>50</xdr:row>
      <xdr:rowOff>247651</xdr:rowOff>
    </xdr:to>
    <xdr:sp macro="" textlink="">
      <xdr:nvSpPr>
        <xdr:cNvPr id="3073" name="AutoShape 1">
          <a:extLst>
            <a:ext uri="{FF2B5EF4-FFF2-40B4-BE49-F238E27FC236}">
              <a16:creationId xmlns:a16="http://schemas.microsoft.com/office/drawing/2014/main" xmlns="" id="{00000000-0008-0000-0400-0000010C0000}"/>
            </a:ext>
          </a:extLst>
        </xdr:cNvPr>
        <xdr:cNvSpPr>
          <a:spLocks noChangeArrowheads="1"/>
        </xdr:cNvSpPr>
      </xdr:nvSpPr>
      <xdr:spPr bwMode="auto">
        <a:xfrm>
          <a:off x="299924" y="10408616"/>
          <a:ext cx="241402" cy="211760"/>
        </a:xfrm>
        <a:prstGeom prst="rightArrow">
          <a:avLst>
            <a:gd name="adj1" fmla="val 50000"/>
            <a:gd name="adj2" fmla="val 26613"/>
          </a:avLst>
        </a:prstGeom>
        <a:solidFill>
          <a:srgbClr val="000000"/>
        </a:solidFill>
        <a:ln w="9525">
          <a:solidFill>
            <a:srgbClr val="000000"/>
          </a:solidFill>
          <a:miter lim="800000"/>
          <a:headEnd/>
          <a:tailEnd/>
        </a:ln>
      </xdr:spPr>
    </xdr:sp>
    <xdr:clientData/>
  </xdr:twoCellAnchor>
  <xdr:twoCellAnchor>
    <xdr:from>
      <xdr:col>13</xdr:col>
      <xdr:colOff>396240</xdr:colOff>
      <xdr:row>72</xdr:row>
      <xdr:rowOff>46315</xdr:rowOff>
    </xdr:from>
    <xdr:to>
      <xdr:col>13</xdr:col>
      <xdr:colOff>540240</xdr:colOff>
      <xdr:row>72</xdr:row>
      <xdr:rowOff>190315</xdr:rowOff>
    </xdr:to>
    <xdr:sp macro="" textlink="">
      <xdr:nvSpPr>
        <xdr:cNvPr id="4" name="円/楕円 23">
          <a:extLst>
            <a:ext uri="{FF2B5EF4-FFF2-40B4-BE49-F238E27FC236}">
              <a16:creationId xmlns:a16="http://schemas.microsoft.com/office/drawing/2014/main" xmlns="" id="{00000000-0008-0000-0400-000004000000}"/>
            </a:ext>
          </a:extLst>
        </xdr:cNvPr>
        <xdr:cNvSpPr/>
      </xdr:nvSpPr>
      <xdr:spPr>
        <a:xfrm>
          <a:off x="6950659" y="14471889"/>
          <a:ext cx="144000" cy="144000"/>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13</xdr:col>
      <xdr:colOff>396240</xdr:colOff>
      <xdr:row>91</xdr:row>
      <xdr:rowOff>46315</xdr:rowOff>
    </xdr:from>
    <xdr:to>
      <xdr:col>13</xdr:col>
      <xdr:colOff>540240</xdr:colOff>
      <xdr:row>91</xdr:row>
      <xdr:rowOff>190315</xdr:rowOff>
    </xdr:to>
    <xdr:sp macro="" textlink="">
      <xdr:nvSpPr>
        <xdr:cNvPr id="5" name="円/楕円 23">
          <a:extLst>
            <a:ext uri="{FF2B5EF4-FFF2-40B4-BE49-F238E27FC236}">
              <a16:creationId xmlns:a16="http://schemas.microsoft.com/office/drawing/2014/main" xmlns="" id="{00000000-0008-0000-0400-000005000000}"/>
            </a:ext>
          </a:extLst>
        </xdr:cNvPr>
        <xdr:cNvSpPr/>
      </xdr:nvSpPr>
      <xdr:spPr>
        <a:xfrm>
          <a:off x="6950659" y="16008081"/>
          <a:ext cx="144000" cy="144000"/>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12</xdr:col>
      <xdr:colOff>59531</xdr:colOff>
      <xdr:row>20</xdr:row>
      <xdr:rowOff>488155</xdr:rowOff>
    </xdr:from>
    <xdr:to>
      <xdr:col>14</xdr:col>
      <xdr:colOff>154781</xdr:colOff>
      <xdr:row>24</xdr:row>
      <xdr:rowOff>0</xdr:rowOff>
    </xdr:to>
    <xdr:sp macro="" textlink="">
      <xdr:nvSpPr>
        <xdr:cNvPr id="2" name="大かっこ 1">
          <a:extLst>
            <a:ext uri="{FF2B5EF4-FFF2-40B4-BE49-F238E27FC236}">
              <a16:creationId xmlns:a16="http://schemas.microsoft.com/office/drawing/2014/main" xmlns="" id="{00000000-0008-0000-0400-000002000000}"/>
            </a:ext>
          </a:extLst>
        </xdr:cNvPr>
        <xdr:cNvSpPr/>
      </xdr:nvSpPr>
      <xdr:spPr>
        <a:xfrm>
          <a:off x="6631781" y="5679280"/>
          <a:ext cx="1119188" cy="92868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12</xdr:col>
      <xdr:colOff>59531</xdr:colOff>
      <xdr:row>31</xdr:row>
      <xdr:rowOff>202405</xdr:rowOff>
    </xdr:from>
    <xdr:to>
      <xdr:col>14</xdr:col>
      <xdr:colOff>154781</xdr:colOff>
      <xdr:row>38</xdr:row>
      <xdr:rowOff>202406</xdr:rowOff>
    </xdr:to>
    <xdr:sp macro="" textlink="">
      <xdr:nvSpPr>
        <xdr:cNvPr id="9" name="大かっこ 8">
          <a:extLst>
            <a:ext uri="{FF2B5EF4-FFF2-40B4-BE49-F238E27FC236}">
              <a16:creationId xmlns:a16="http://schemas.microsoft.com/office/drawing/2014/main" xmlns="" id="{00000000-0008-0000-0400-000009000000}"/>
            </a:ext>
          </a:extLst>
        </xdr:cNvPr>
        <xdr:cNvSpPr/>
      </xdr:nvSpPr>
      <xdr:spPr>
        <a:xfrm>
          <a:off x="6631781" y="8596311"/>
          <a:ext cx="1119188" cy="92868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18</xdr:col>
      <xdr:colOff>321945</xdr:colOff>
      <xdr:row>40</xdr:row>
      <xdr:rowOff>30480</xdr:rowOff>
    </xdr:from>
    <xdr:to>
      <xdr:col>18</xdr:col>
      <xdr:colOff>407670</xdr:colOff>
      <xdr:row>40</xdr:row>
      <xdr:rowOff>114300</xdr:rowOff>
    </xdr:to>
    <xdr:sp macro="" textlink="">
      <xdr:nvSpPr>
        <xdr:cNvPr id="2" name="下矢印 2">
          <a:extLst>
            <a:ext uri="{FF2B5EF4-FFF2-40B4-BE49-F238E27FC236}">
              <a16:creationId xmlns:a16="http://schemas.microsoft.com/office/drawing/2014/main" xmlns="" id="{00000000-0008-0000-0500-000002000000}"/>
            </a:ext>
          </a:extLst>
        </xdr:cNvPr>
        <xdr:cNvSpPr/>
      </xdr:nvSpPr>
      <xdr:spPr>
        <a:xfrm>
          <a:off x="7999095" y="7298055"/>
          <a:ext cx="85725" cy="83820"/>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19</xdr:col>
      <xdr:colOff>306705</xdr:colOff>
      <xdr:row>40</xdr:row>
      <xdr:rowOff>38100</xdr:rowOff>
    </xdr:from>
    <xdr:to>
      <xdr:col>19</xdr:col>
      <xdr:colOff>392430</xdr:colOff>
      <xdr:row>40</xdr:row>
      <xdr:rowOff>121920</xdr:rowOff>
    </xdr:to>
    <xdr:sp macro="" textlink="">
      <xdr:nvSpPr>
        <xdr:cNvPr id="3" name="下矢印 3">
          <a:extLst>
            <a:ext uri="{FF2B5EF4-FFF2-40B4-BE49-F238E27FC236}">
              <a16:creationId xmlns:a16="http://schemas.microsoft.com/office/drawing/2014/main" xmlns="" id="{00000000-0008-0000-0500-000003000000}"/>
            </a:ext>
          </a:extLst>
        </xdr:cNvPr>
        <xdr:cNvSpPr/>
      </xdr:nvSpPr>
      <xdr:spPr>
        <a:xfrm>
          <a:off x="8679180" y="7305675"/>
          <a:ext cx="85725" cy="83820"/>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20</xdr:col>
      <xdr:colOff>314325</xdr:colOff>
      <xdr:row>40</xdr:row>
      <xdr:rowOff>38100</xdr:rowOff>
    </xdr:from>
    <xdr:to>
      <xdr:col>20</xdr:col>
      <xdr:colOff>400050</xdr:colOff>
      <xdr:row>40</xdr:row>
      <xdr:rowOff>121920</xdr:rowOff>
    </xdr:to>
    <xdr:sp macro="" textlink="">
      <xdr:nvSpPr>
        <xdr:cNvPr id="4" name="下矢印 4">
          <a:extLst>
            <a:ext uri="{FF2B5EF4-FFF2-40B4-BE49-F238E27FC236}">
              <a16:creationId xmlns:a16="http://schemas.microsoft.com/office/drawing/2014/main" xmlns="" id="{00000000-0008-0000-0500-000004000000}"/>
            </a:ext>
          </a:extLst>
        </xdr:cNvPr>
        <xdr:cNvSpPr/>
      </xdr:nvSpPr>
      <xdr:spPr>
        <a:xfrm>
          <a:off x="9382125" y="7305675"/>
          <a:ext cx="85725" cy="83820"/>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6</xdr:col>
          <xdr:colOff>83820</xdr:colOff>
          <xdr:row>2</xdr:row>
          <xdr:rowOff>22860</xdr:rowOff>
        </xdr:from>
        <xdr:to>
          <xdr:col>6</xdr:col>
          <xdr:colOff>335280</xdr:colOff>
          <xdr:row>3</xdr:row>
          <xdr:rowOff>7620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xmlns="" id="{00000000-0008-0000-05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83820</xdr:colOff>
          <xdr:row>3</xdr:row>
          <xdr:rowOff>38100</xdr:rowOff>
        </xdr:from>
        <xdr:to>
          <xdr:col>6</xdr:col>
          <xdr:colOff>266700</xdr:colOff>
          <xdr:row>3</xdr:row>
          <xdr:rowOff>228600</xdr:rowOff>
        </xdr:to>
        <xdr:sp macro="" textlink="">
          <xdr:nvSpPr>
            <xdr:cNvPr id="9218" name="Check Box 2" hidden="1">
              <a:extLst>
                <a:ext uri="{63B3BB69-23CF-44E3-9099-C40C66FF867C}">
                  <a14:compatExt spid="_x0000_s9218"/>
                </a:ext>
                <a:ext uri="{FF2B5EF4-FFF2-40B4-BE49-F238E27FC236}">
                  <a16:creationId xmlns:a16="http://schemas.microsoft.com/office/drawing/2014/main" xmlns="" id="{00000000-0008-0000-0500-00000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17</xdr:col>
      <xdr:colOff>321945</xdr:colOff>
      <xdr:row>40</xdr:row>
      <xdr:rowOff>30480</xdr:rowOff>
    </xdr:from>
    <xdr:to>
      <xdr:col>17</xdr:col>
      <xdr:colOff>407670</xdr:colOff>
      <xdr:row>40</xdr:row>
      <xdr:rowOff>114300</xdr:rowOff>
    </xdr:to>
    <xdr:sp macro="" textlink="">
      <xdr:nvSpPr>
        <xdr:cNvPr id="7" name="下矢印 7">
          <a:extLst>
            <a:ext uri="{FF2B5EF4-FFF2-40B4-BE49-F238E27FC236}">
              <a16:creationId xmlns:a16="http://schemas.microsoft.com/office/drawing/2014/main" xmlns="" id="{00000000-0008-0000-0500-000007000000}"/>
            </a:ext>
          </a:extLst>
        </xdr:cNvPr>
        <xdr:cNvSpPr/>
      </xdr:nvSpPr>
      <xdr:spPr>
        <a:xfrm>
          <a:off x="7303770" y="7298055"/>
          <a:ext cx="85725" cy="83820"/>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19</xdr:col>
      <xdr:colOff>295275</xdr:colOff>
      <xdr:row>44</xdr:row>
      <xdr:rowOff>66675</xdr:rowOff>
    </xdr:from>
    <xdr:to>
      <xdr:col>19</xdr:col>
      <xdr:colOff>381000</xdr:colOff>
      <xdr:row>44</xdr:row>
      <xdr:rowOff>150495</xdr:rowOff>
    </xdr:to>
    <xdr:sp macro="" textlink="">
      <xdr:nvSpPr>
        <xdr:cNvPr id="8" name="下矢印 9">
          <a:extLst>
            <a:ext uri="{FF2B5EF4-FFF2-40B4-BE49-F238E27FC236}">
              <a16:creationId xmlns:a16="http://schemas.microsoft.com/office/drawing/2014/main" xmlns="" id="{00000000-0008-0000-0500-000008000000}"/>
            </a:ext>
          </a:extLst>
        </xdr:cNvPr>
        <xdr:cNvSpPr/>
      </xdr:nvSpPr>
      <xdr:spPr>
        <a:xfrm>
          <a:off x="8667750" y="8239125"/>
          <a:ext cx="85725" cy="83820"/>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12</xdr:col>
          <xdr:colOff>266700</xdr:colOff>
          <xdr:row>42</xdr:row>
          <xdr:rowOff>0</xdr:rowOff>
        </xdr:from>
        <xdr:to>
          <xdr:col>13</xdr:col>
          <xdr:colOff>99060</xdr:colOff>
          <xdr:row>43</xdr:row>
          <xdr:rowOff>0</xdr:rowOff>
        </xdr:to>
        <xdr:sp macro="" textlink="">
          <xdr:nvSpPr>
            <xdr:cNvPr id="9219" name="Check Box 3" hidden="1">
              <a:extLst>
                <a:ext uri="{63B3BB69-23CF-44E3-9099-C40C66FF867C}">
                  <a14:compatExt spid="_x0000_s9219"/>
                </a:ext>
                <a:ext uri="{FF2B5EF4-FFF2-40B4-BE49-F238E27FC236}">
                  <a16:creationId xmlns:a16="http://schemas.microsoft.com/office/drawing/2014/main" xmlns="" id="{00000000-0008-0000-0500-00000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219075</xdr:colOff>
      <xdr:row>10</xdr:row>
      <xdr:rowOff>180974</xdr:rowOff>
    </xdr:from>
    <xdr:to>
      <xdr:col>19</xdr:col>
      <xdr:colOff>228601</xdr:colOff>
      <xdr:row>34</xdr:row>
      <xdr:rowOff>42334</xdr:rowOff>
    </xdr:to>
    <xdr:sp macro="" textlink="">
      <xdr:nvSpPr>
        <xdr:cNvPr id="11" name="四角形: 角を丸くする 10">
          <a:extLst>
            <a:ext uri="{FF2B5EF4-FFF2-40B4-BE49-F238E27FC236}">
              <a16:creationId xmlns:a16="http://schemas.microsoft.com/office/drawing/2014/main" xmlns="" id="{00000000-0008-0000-0500-00000B000000}"/>
            </a:ext>
          </a:extLst>
        </xdr:cNvPr>
        <xdr:cNvSpPr/>
      </xdr:nvSpPr>
      <xdr:spPr>
        <a:xfrm>
          <a:off x="1044575" y="2498724"/>
          <a:ext cx="7587193" cy="3840693"/>
        </a:xfrm>
        <a:prstGeom prst="roundRect">
          <a:avLst>
            <a:gd name="adj" fmla="val 9812"/>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2000" b="1">
              <a:solidFill>
                <a:sysClr val="windowText" lastClr="000000"/>
              </a:solidFill>
              <a:latin typeface="メイリオ" panose="020B0604030504040204" pitchFamily="50" charset="-128"/>
              <a:ea typeface="メイリオ" panose="020B0604030504040204" pitchFamily="50" charset="-128"/>
            </a:rPr>
            <a:t>⑥欄「教育訓練（日）」欄については、別ファイル「</a:t>
          </a:r>
          <a:r>
            <a:rPr kumimoji="1" lang="en-US" altLang="ja-JP" sz="2000" b="1">
              <a:solidFill>
                <a:sysClr val="windowText" lastClr="000000"/>
              </a:solidFill>
              <a:latin typeface="メイリオ" panose="020B0604030504040204" pitchFamily="50" charset="-128"/>
              <a:ea typeface="メイリオ" panose="020B0604030504040204" pitchFamily="50" charset="-128"/>
            </a:rPr>
            <a:t>【</a:t>
          </a:r>
          <a:r>
            <a:rPr kumimoji="1" lang="ja-JP" altLang="en-US" sz="2000" b="1">
              <a:solidFill>
                <a:sysClr val="windowText" lastClr="000000"/>
              </a:solidFill>
              <a:latin typeface="メイリオ" panose="020B0604030504040204" pitchFamily="50" charset="-128"/>
              <a:ea typeface="メイリオ" panose="020B0604030504040204" pitchFamily="50" charset="-128"/>
            </a:rPr>
            <a:t>支給申請</a:t>
          </a:r>
          <a:r>
            <a:rPr kumimoji="1" lang="en-US" altLang="ja-JP" sz="2000" b="1">
              <a:solidFill>
                <a:sysClr val="windowText" lastClr="000000"/>
              </a:solidFill>
              <a:latin typeface="メイリオ" panose="020B0604030504040204" pitchFamily="50" charset="-128"/>
              <a:ea typeface="メイリオ" panose="020B0604030504040204" pitchFamily="50" charset="-128"/>
            </a:rPr>
            <a:t>】</a:t>
          </a:r>
          <a:r>
            <a:rPr kumimoji="1" lang="ja-JP" altLang="en-US" sz="2000" b="1">
              <a:solidFill>
                <a:sysClr val="windowText" lastClr="000000"/>
              </a:solidFill>
              <a:latin typeface="メイリオ" panose="020B0604030504040204" pitchFamily="50" charset="-128"/>
              <a:ea typeface="メイリオ" panose="020B0604030504040204" pitchFamily="50" charset="-128"/>
            </a:rPr>
            <a:t>受講状況</a:t>
          </a:r>
          <a:r>
            <a:rPr kumimoji="1" lang="en-US" altLang="ja-JP" sz="2000" b="1">
              <a:solidFill>
                <a:sysClr val="windowText" lastClr="000000"/>
              </a:solidFill>
              <a:latin typeface="メイリオ" panose="020B0604030504040204" pitchFamily="50" charset="-128"/>
              <a:ea typeface="メイリオ" panose="020B0604030504040204" pitchFamily="50" charset="-128"/>
            </a:rPr>
            <a:t>.xlsm</a:t>
          </a:r>
          <a:r>
            <a:rPr kumimoji="1" lang="ja-JP" altLang="en-US" sz="2000" b="1">
              <a:solidFill>
                <a:sysClr val="windowText" lastClr="000000"/>
              </a:solidFill>
              <a:latin typeface="メイリオ" panose="020B0604030504040204" pitchFamily="50" charset="-128"/>
              <a:ea typeface="メイリオ" panose="020B0604030504040204" pitchFamily="50" charset="-128"/>
            </a:rPr>
            <a:t>」をご確認の上、記入してください。  　　各社様で教育訓練以外に休業も行っている場合、④欄「全日休業」⑤欄「短時間休業」もご記入ください。                         </a:t>
          </a:r>
          <a:r>
            <a:rPr kumimoji="1" lang="en-US" altLang="ja-JP" sz="2000" b="0" i="0" u="none" strike="noStrike" kern="0" cap="none" spc="0" normalizeH="0" baseline="0" noProof="0">
              <a:ln>
                <a:noFill/>
              </a:ln>
              <a:solidFill>
                <a:sysClr val="windowText" lastClr="000000"/>
              </a:solidFill>
              <a:effectLst/>
              <a:uLnTx/>
              <a:uFillTx/>
              <a:latin typeface="メイリオ" panose="020B0604030504040204" pitchFamily="50" charset="-128"/>
              <a:ea typeface="メイリオ" panose="020B0604030504040204" pitchFamily="50" charset="-128"/>
              <a:cs typeface="+mn-cs"/>
            </a:rPr>
            <a:t>10</a:t>
          </a:r>
          <a:r>
            <a:rPr kumimoji="1" lang="ja-JP" altLang="en-US" sz="2000" b="0" i="0" u="none" strike="noStrike" kern="0" cap="none" spc="0" normalizeH="0" baseline="0" noProof="0">
              <a:ln>
                <a:noFill/>
              </a:ln>
              <a:solidFill>
                <a:sysClr val="windowText" lastClr="000000"/>
              </a:solidFill>
              <a:effectLst/>
              <a:uLnTx/>
              <a:uFillTx/>
              <a:latin typeface="メイリオ" panose="020B0604030504040204" pitchFamily="50" charset="-128"/>
              <a:ea typeface="メイリオ" panose="020B0604030504040204" pitchFamily="50" charset="-128"/>
              <a:cs typeface="+mn-cs"/>
            </a:rPr>
            <a:t>名様を超えてご受講されている場合は</a:t>
          </a:r>
          <a:r>
            <a:rPr kumimoji="1" lang="en-US" altLang="ja-JP" sz="2000" b="0" i="0" u="none" strike="noStrike" kern="0" cap="none" spc="0" normalizeH="0" baseline="0" noProof="0">
              <a:ln>
                <a:noFill/>
              </a:ln>
              <a:solidFill>
                <a:sysClr val="windowText" lastClr="000000"/>
              </a:solidFill>
              <a:effectLst/>
              <a:uLnTx/>
              <a:uFillTx/>
              <a:latin typeface="メイリオ" panose="020B0604030504040204" pitchFamily="50" charset="-128"/>
              <a:ea typeface="メイリオ" panose="020B0604030504040204" pitchFamily="50" charset="-128"/>
              <a:cs typeface="+mn-cs"/>
            </a:rPr>
            <a:t>2</a:t>
          </a:r>
          <a:r>
            <a:rPr kumimoji="1" lang="ja-JP" altLang="en-US" sz="2000" b="0" i="0" u="none" strike="noStrike" kern="0" cap="none" spc="0" normalizeH="0" baseline="0" noProof="0">
              <a:ln>
                <a:noFill/>
              </a:ln>
              <a:solidFill>
                <a:sysClr val="windowText" lastClr="000000"/>
              </a:solidFill>
              <a:effectLst/>
              <a:uLnTx/>
              <a:uFillTx/>
              <a:latin typeface="メイリオ" panose="020B0604030504040204" pitchFamily="50" charset="-128"/>
              <a:ea typeface="メイリオ" panose="020B0604030504040204" pitchFamily="50" charset="-128"/>
              <a:cs typeface="+mn-cs"/>
            </a:rPr>
            <a:t>シート目もご利用ください。詳しくは下の</a:t>
          </a:r>
          <a:r>
            <a:rPr kumimoji="1" lang="en-US" altLang="ja-JP" sz="2000" b="0" i="0" u="none" strike="noStrike" kern="0" cap="none" spc="0" normalizeH="0" baseline="0" noProof="0">
              <a:ln>
                <a:noFill/>
              </a:ln>
              <a:solidFill>
                <a:sysClr val="windowText" lastClr="000000"/>
              </a:solidFill>
              <a:effectLst/>
              <a:uLnTx/>
              <a:uFillTx/>
              <a:latin typeface="メイリオ" panose="020B0604030504040204" pitchFamily="50" charset="-128"/>
              <a:ea typeface="メイリオ" panose="020B0604030504040204" pitchFamily="50" charset="-128"/>
              <a:cs typeface="+mn-cs"/>
            </a:rPr>
            <a:t>【</a:t>
          </a:r>
          <a:r>
            <a:rPr kumimoji="1" lang="ja-JP" altLang="en-US" sz="2000" b="0" i="0" u="none" strike="noStrike" kern="0" cap="none" spc="0" normalizeH="0" baseline="0" noProof="0">
              <a:ln>
                <a:noFill/>
              </a:ln>
              <a:solidFill>
                <a:sysClr val="windowText" lastClr="000000"/>
              </a:solidFill>
              <a:effectLst/>
              <a:uLnTx/>
              <a:uFillTx/>
              <a:latin typeface="メイリオ" panose="020B0604030504040204" pitchFamily="50" charset="-128"/>
              <a:ea typeface="メイリオ" panose="020B0604030504040204" pitchFamily="50" charset="-128"/>
              <a:cs typeface="+mn-cs"/>
            </a:rPr>
            <a:t>記載要領</a:t>
          </a:r>
          <a:r>
            <a:rPr kumimoji="1" lang="en-US" altLang="ja-JP" sz="2000" b="0" i="0" u="none" strike="noStrike" kern="0" cap="none" spc="0" normalizeH="0" baseline="0" noProof="0">
              <a:ln>
                <a:noFill/>
              </a:ln>
              <a:solidFill>
                <a:sysClr val="windowText" lastClr="000000"/>
              </a:solidFill>
              <a:effectLst/>
              <a:uLnTx/>
              <a:uFillTx/>
              <a:latin typeface="メイリオ" panose="020B0604030504040204" pitchFamily="50" charset="-128"/>
              <a:ea typeface="メイリオ" panose="020B0604030504040204" pitchFamily="50" charset="-128"/>
              <a:cs typeface="+mn-cs"/>
            </a:rPr>
            <a:t>】</a:t>
          </a:r>
          <a:r>
            <a:rPr kumimoji="1" lang="ja-JP" altLang="en-US" sz="2000" b="0" i="0" u="none" strike="noStrike" kern="0" cap="none" spc="0" normalizeH="0" baseline="0" noProof="0">
              <a:ln>
                <a:noFill/>
              </a:ln>
              <a:solidFill>
                <a:sysClr val="windowText" lastClr="000000"/>
              </a:solidFill>
              <a:effectLst/>
              <a:uLnTx/>
              <a:uFillTx/>
              <a:latin typeface="メイリオ" panose="020B0604030504040204" pitchFamily="50" charset="-128"/>
              <a:ea typeface="メイリオ" panose="020B0604030504040204" pitchFamily="50" charset="-128"/>
              <a:cs typeface="+mn-cs"/>
            </a:rPr>
            <a:t>をご確認ください。　      </a:t>
          </a:r>
          <a:r>
            <a:rPr kumimoji="1" lang="en-US" altLang="ja-JP" sz="2000" b="0" i="0" u="none" strike="noStrike" kern="0" cap="none" spc="0" normalizeH="0" baseline="0" noProof="0">
              <a:ln>
                <a:noFill/>
              </a:ln>
              <a:solidFill>
                <a:sysClr val="windowText" lastClr="000000"/>
              </a:solidFill>
              <a:effectLst/>
              <a:uLnTx/>
              <a:uFillTx/>
              <a:latin typeface="メイリオ" panose="020B0604030504040204" pitchFamily="50" charset="-128"/>
              <a:ea typeface="メイリオ" panose="020B0604030504040204" pitchFamily="50" charset="-128"/>
              <a:cs typeface="+mn-cs"/>
            </a:rPr>
            <a:t>【</a:t>
          </a:r>
          <a:r>
            <a:rPr kumimoji="1" lang="ja-JP" altLang="en-US" sz="2000" b="0" i="0" u="none" strike="noStrike" kern="0" cap="none" spc="0" normalizeH="0" baseline="0" noProof="0">
              <a:ln>
                <a:noFill/>
              </a:ln>
              <a:solidFill>
                <a:sysClr val="windowText" lastClr="000000"/>
              </a:solidFill>
              <a:effectLst/>
              <a:uLnTx/>
              <a:uFillTx/>
              <a:latin typeface="メイリオ" panose="020B0604030504040204" pitchFamily="50" charset="-128"/>
              <a:ea typeface="メイリオ" panose="020B0604030504040204" pitchFamily="50" charset="-128"/>
              <a:cs typeface="+mn-cs"/>
            </a:rPr>
            <a:t>東京</a:t>
          </a:r>
          <a:r>
            <a:rPr kumimoji="1" lang="en-US" altLang="ja-JP" sz="2000" b="0" i="0" u="none" strike="noStrike" kern="0" cap="none" spc="0" normalizeH="0" baseline="0" noProof="0">
              <a:ln>
                <a:noFill/>
              </a:ln>
              <a:solidFill>
                <a:sysClr val="windowText" lastClr="000000"/>
              </a:solidFill>
              <a:effectLst/>
              <a:uLnTx/>
              <a:uFillTx/>
              <a:latin typeface="メイリオ" panose="020B0604030504040204" pitchFamily="50" charset="-128"/>
              <a:ea typeface="メイリオ" panose="020B0604030504040204" pitchFamily="50" charset="-128"/>
              <a:cs typeface="+mn-cs"/>
            </a:rPr>
            <a:t>IT</a:t>
          </a:r>
          <a:r>
            <a:rPr kumimoji="1" lang="ja-JP" altLang="en-US" sz="2000" b="0" i="0" u="none" strike="noStrike" kern="0" cap="none" spc="0" normalizeH="0" baseline="0" noProof="0">
              <a:ln>
                <a:noFill/>
              </a:ln>
              <a:solidFill>
                <a:sysClr val="windowText" lastClr="000000"/>
              </a:solidFill>
              <a:effectLst/>
              <a:uLnTx/>
              <a:uFillTx/>
              <a:latin typeface="メイリオ" panose="020B0604030504040204" pitchFamily="50" charset="-128"/>
              <a:ea typeface="メイリオ" panose="020B0604030504040204" pitchFamily="50" charset="-128"/>
              <a:cs typeface="+mn-cs"/>
            </a:rPr>
            <a:t>スクール</a:t>
          </a:r>
          <a:r>
            <a:rPr kumimoji="1" lang="en-US" altLang="ja-JP" sz="2000" b="0" i="0" u="none" strike="noStrike" kern="0" cap="none" spc="0" normalizeH="0" baseline="0" noProof="0">
              <a:ln>
                <a:noFill/>
              </a:ln>
              <a:solidFill>
                <a:sysClr val="windowText" lastClr="000000"/>
              </a:solidFill>
              <a:effectLst/>
              <a:uLnTx/>
              <a:uFillTx/>
              <a:latin typeface="メイリオ" panose="020B0604030504040204" pitchFamily="50" charset="-128"/>
              <a:ea typeface="メイリオ" panose="020B0604030504040204" pitchFamily="50" charset="-128"/>
              <a:cs typeface="+mn-cs"/>
            </a:rPr>
            <a:t>】</a:t>
          </a:r>
          <a:endParaRPr kumimoji="1" lang="ja-JP" altLang="en-US" sz="2000">
            <a:solidFill>
              <a:sysClr val="windowText" lastClr="000000"/>
            </a:solidFill>
            <a:latin typeface="メイリオ" panose="020B0604030504040204" pitchFamily="50" charset="-128"/>
            <a:ea typeface="メイリオ" panose="020B060403050404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321945</xdr:colOff>
      <xdr:row>40</xdr:row>
      <xdr:rowOff>30480</xdr:rowOff>
    </xdr:from>
    <xdr:to>
      <xdr:col>18</xdr:col>
      <xdr:colOff>407670</xdr:colOff>
      <xdr:row>40</xdr:row>
      <xdr:rowOff>114300</xdr:rowOff>
    </xdr:to>
    <xdr:sp macro="" textlink="">
      <xdr:nvSpPr>
        <xdr:cNvPr id="2" name="下矢印 2">
          <a:extLst>
            <a:ext uri="{FF2B5EF4-FFF2-40B4-BE49-F238E27FC236}">
              <a16:creationId xmlns:a16="http://schemas.microsoft.com/office/drawing/2014/main" xmlns="" id="{00000000-0008-0000-0600-000002000000}"/>
            </a:ext>
          </a:extLst>
        </xdr:cNvPr>
        <xdr:cNvSpPr/>
      </xdr:nvSpPr>
      <xdr:spPr>
        <a:xfrm>
          <a:off x="7999095" y="7298055"/>
          <a:ext cx="85725" cy="83820"/>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19</xdr:col>
      <xdr:colOff>306705</xdr:colOff>
      <xdr:row>40</xdr:row>
      <xdr:rowOff>38100</xdr:rowOff>
    </xdr:from>
    <xdr:to>
      <xdr:col>19</xdr:col>
      <xdr:colOff>392430</xdr:colOff>
      <xdr:row>40</xdr:row>
      <xdr:rowOff>121920</xdr:rowOff>
    </xdr:to>
    <xdr:sp macro="" textlink="">
      <xdr:nvSpPr>
        <xdr:cNvPr id="3" name="下矢印 3">
          <a:extLst>
            <a:ext uri="{FF2B5EF4-FFF2-40B4-BE49-F238E27FC236}">
              <a16:creationId xmlns:a16="http://schemas.microsoft.com/office/drawing/2014/main" xmlns="" id="{00000000-0008-0000-0600-000003000000}"/>
            </a:ext>
          </a:extLst>
        </xdr:cNvPr>
        <xdr:cNvSpPr/>
      </xdr:nvSpPr>
      <xdr:spPr>
        <a:xfrm>
          <a:off x="8679180" y="7305675"/>
          <a:ext cx="85725" cy="83820"/>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20</xdr:col>
      <xdr:colOff>314325</xdr:colOff>
      <xdr:row>40</xdr:row>
      <xdr:rowOff>38100</xdr:rowOff>
    </xdr:from>
    <xdr:to>
      <xdr:col>20</xdr:col>
      <xdr:colOff>400050</xdr:colOff>
      <xdr:row>40</xdr:row>
      <xdr:rowOff>121920</xdr:rowOff>
    </xdr:to>
    <xdr:sp macro="" textlink="">
      <xdr:nvSpPr>
        <xdr:cNvPr id="4" name="下矢印 4">
          <a:extLst>
            <a:ext uri="{FF2B5EF4-FFF2-40B4-BE49-F238E27FC236}">
              <a16:creationId xmlns:a16="http://schemas.microsoft.com/office/drawing/2014/main" xmlns="" id="{00000000-0008-0000-0600-000004000000}"/>
            </a:ext>
          </a:extLst>
        </xdr:cNvPr>
        <xdr:cNvSpPr/>
      </xdr:nvSpPr>
      <xdr:spPr>
        <a:xfrm>
          <a:off x="9382125" y="7305675"/>
          <a:ext cx="85725" cy="83820"/>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6</xdr:col>
          <xdr:colOff>83820</xdr:colOff>
          <xdr:row>2</xdr:row>
          <xdr:rowOff>22860</xdr:rowOff>
        </xdr:from>
        <xdr:to>
          <xdr:col>6</xdr:col>
          <xdr:colOff>335280</xdr:colOff>
          <xdr:row>3</xdr:row>
          <xdr:rowOff>7620</xdr:rowOff>
        </xdr:to>
        <xdr:sp macro="" textlink="">
          <xdr:nvSpPr>
            <xdr:cNvPr id="10241" name="Check Box 1" hidden="1">
              <a:extLst>
                <a:ext uri="{63B3BB69-23CF-44E3-9099-C40C66FF867C}">
                  <a14:compatExt spid="_x0000_s10241"/>
                </a:ext>
                <a:ext uri="{FF2B5EF4-FFF2-40B4-BE49-F238E27FC236}">
                  <a16:creationId xmlns:a16="http://schemas.microsoft.com/office/drawing/2014/main" xmlns="" id="{00000000-0008-0000-0600-00000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83820</xdr:colOff>
          <xdr:row>3</xdr:row>
          <xdr:rowOff>38100</xdr:rowOff>
        </xdr:from>
        <xdr:to>
          <xdr:col>6</xdr:col>
          <xdr:colOff>266700</xdr:colOff>
          <xdr:row>3</xdr:row>
          <xdr:rowOff>228600</xdr:rowOff>
        </xdr:to>
        <xdr:sp macro="" textlink="">
          <xdr:nvSpPr>
            <xdr:cNvPr id="10242" name="Check Box 2" hidden="1">
              <a:extLst>
                <a:ext uri="{63B3BB69-23CF-44E3-9099-C40C66FF867C}">
                  <a14:compatExt spid="_x0000_s10242"/>
                </a:ext>
                <a:ext uri="{FF2B5EF4-FFF2-40B4-BE49-F238E27FC236}">
                  <a16:creationId xmlns:a16="http://schemas.microsoft.com/office/drawing/2014/main" xmlns="" id="{00000000-0008-0000-0600-000002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17</xdr:col>
      <xdr:colOff>321945</xdr:colOff>
      <xdr:row>40</xdr:row>
      <xdr:rowOff>30480</xdr:rowOff>
    </xdr:from>
    <xdr:to>
      <xdr:col>17</xdr:col>
      <xdr:colOff>407670</xdr:colOff>
      <xdr:row>40</xdr:row>
      <xdr:rowOff>114300</xdr:rowOff>
    </xdr:to>
    <xdr:sp macro="" textlink="">
      <xdr:nvSpPr>
        <xdr:cNvPr id="7" name="下矢印 7">
          <a:extLst>
            <a:ext uri="{FF2B5EF4-FFF2-40B4-BE49-F238E27FC236}">
              <a16:creationId xmlns:a16="http://schemas.microsoft.com/office/drawing/2014/main" xmlns="" id="{00000000-0008-0000-0600-000007000000}"/>
            </a:ext>
          </a:extLst>
        </xdr:cNvPr>
        <xdr:cNvSpPr/>
      </xdr:nvSpPr>
      <xdr:spPr>
        <a:xfrm>
          <a:off x="7303770" y="7298055"/>
          <a:ext cx="85725" cy="83820"/>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19</xdr:col>
      <xdr:colOff>295275</xdr:colOff>
      <xdr:row>44</xdr:row>
      <xdr:rowOff>66675</xdr:rowOff>
    </xdr:from>
    <xdr:to>
      <xdr:col>19</xdr:col>
      <xdr:colOff>381000</xdr:colOff>
      <xdr:row>44</xdr:row>
      <xdr:rowOff>150495</xdr:rowOff>
    </xdr:to>
    <xdr:sp macro="" textlink="">
      <xdr:nvSpPr>
        <xdr:cNvPr id="8" name="下矢印 9">
          <a:extLst>
            <a:ext uri="{FF2B5EF4-FFF2-40B4-BE49-F238E27FC236}">
              <a16:creationId xmlns:a16="http://schemas.microsoft.com/office/drawing/2014/main" xmlns="" id="{00000000-0008-0000-0600-000008000000}"/>
            </a:ext>
          </a:extLst>
        </xdr:cNvPr>
        <xdr:cNvSpPr/>
      </xdr:nvSpPr>
      <xdr:spPr>
        <a:xfrm>
          <a:off x="8667750" y="8239125"/>
          <a:ext cx="85725" cy="83820"/>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12</xdr:col>
          <xdr:colOff>266700</xdr:colOff>
          <xdr:row>42</xdr:row>
          <xdr:rowOff>0</xdr:rowOff>
        </xdr:from>
        <xdr:to>
          <xdr:col>13</xdr:col>
          <xdr:colOff>99060</xdr:colOff>
          <xdr:row>43</xdr:row>
          <xdr:rowOff>0</xdr:rowOff>
        </xdr:to>
        <xdr:sp macro="" textlink="">
          <xdr:nvSpPr>
            <xdr:cNvPr id="10243" name="Check Box 3" hidden="1">
              <a:extLst>
                <a:ext uri="{63B3BB69-23CF-44E3-9099-C40C66FF867C}">
                  <a14:compatExt spid="_x0000_s10243"/>
                </a:ext>
                <a:ext uri="{FF2B5EF4-FFF2-40B4-BE49-F238E27FC236}">
                  <a16:creationId xmlns:a16="http://schemas.microsoft.com/office/drawing/2014/main" xmlns="" id="{00000000-0008-0000-0600-000003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219073</xdr:colOff>
      <xdr:row>10</xdr:row>
      <xdr:rowOff>152400</xdr:rowOff>
    </xdr:from>
    <xdr:to>
      <xdr:col>19</xdr:col>
      <xdr:colOff>228599</xdr:colOff>
      <xdr:row>31</xdr:row>
      <xdr:rowOff>161925</xdr:rowOff>
    </xdr:to>
    <xdr:sp macro="" textlink="">
      <xdr:nvSpPr>
        <xdr:cNvPr id="10" name="四角形: 角を丸くする 9">
          <a:extLst>
            <a:ext uri="{FF2B5EF4-FFF2-40B4-BE49-F238E27FC236}">
              <a16:creationId xmlns:a16="http://schemas.microsoft.com/office/drawing/2014/main" xmlns="" id="{00000000-0008-0000-0600-00000A000000}"/>
            </a:ext>
          </a:extLst>
        </xdr:cNvPr>
        <xdr:cNvSpPr/>
      </xdr:nvSpPr>
      <xdr:spPr>
        <a:xfrm>
          <a:off x="1038223" y="2466975"/>
          <a:ext cx="7562851" cy="3476625"/>
        </a:xfrm>
        <a:prstGeom prst="roundRect">
          <a:avLst>
            <a:gd name="adj" fmla="val 9812"/>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2000">
              <a:solidFill>
                <a:sysClr val="windowText" lastClr="000000"/>
              </a:solidFill>
              <a:latin typeface="メイリオ" panose="020B0604030504040204" pitchFamily="50" charset="-128"/>
              <a:ea typeface="メイリオ" panose="020B0604030504040204" pitchFamily="50" charset="-128"/>
            </a:rPr>
            <a:t>受講人数</a:t>
          </a:r>
          <a:r>
            <a:rPr kumimoji="1" lang="en-US" altLang="ja-JP" sz="2000">
              <a:solidFill>
                <a:sysClr val="windowText" lastClr="000000"/>
              </a:solidFill>
              <a:latin typeface="メイリオ" panose="020B0604030504040204" pitchFamily="50" charset="-128"/>
              <a:ea typeface="メイリオ" panose="020B0604030504040204" pitchFamily="50" charset="-128"/>
            </a:rPr>
            <a:t>11</a:t>
          </a:r>
          <a:r>
            <a:rPr kumimoji="1" lang="ja-JP" altLang="en-US" sz="2000">
              <a:solidFill>
                <a:sysClr val="windowText" lastClr="000000"/>
              </a:solidFill>
              <a:latin typeface="メイリオ" panose="020B0604030504040204" pitchFamily="50" charset="-128"/>
              <a:ea typeface="メイリオ" panose="020B0604030504040204" pitchFamily="50" charset="-128"/>
            </a:rPr>
            <a:t>人目</a:t>
          </a:r>
          <a:r>
            <a:rPr kumimoji="1" lang="en-US" altLang="ja-JP" sz="2000">
              <a:solidFill>
                <a:sysClr val="windowText" lastClr="000000"/>
              </a:solidFill>
              <a:latin typeface="メイリオ" panose="020B0604030504040204" pitchFamily="50" charset="-128"/>
              <a:ea typeface="メイリオ" panose="020B0604030504040204" pitchFamily="50" charset="-128"/>
            </a:rPr>
            <a:t>〜</a:t>
          </a:r>
          <a:r>
            <a:rPr kumimoji="1" lang="ja-JP" altLang="en-US" sz="2000">
              <a:solidFill>
                <a:sysClr val="windowText" lastClr="000000"/>
              </a:solidFill>
              <a:latin typeface="メイリオ" panose="020B0604030504040204" pitchFamily="50" charset="-128"/>
              <a:ea typeface="メイリオ" panose="020B0604030504040204" pitchFamily="50" charset="-128"/>
            </a:rPr>
            <a:t>記入いただくシートになります。</a:t>
          </a:r>
          <a:r>
            <a:rPr kumimoji="1" lang="en-US" altLang="ja-JP" sz="2000">
              <a:solidFill>
                <a:sysClr val="windowText" lastClr="000000"/>
              </a:solidFill>
              <a:latin typeface="メイリオ" panose="020B0604030504040204" pitchFamily="50" charset="-128"/>
              <a:ea typeface="メイリオ" panose="020B0604030504040204" pitchFamily="50" charset="-128"/>
            </a:rPr>
            <a:t>1</a:t>
          </a:r>
          <a:r>
            <a:rPr kumimoji="1" lang="ja-JP" altLang="en-US" sz="2000">
              <a:solidFill>
                <a:sysClr val="windowText" lastClr="000000"/>
              </a:solidFill>
              <a:latin typeface="メイリオ" panose="020B0604030504040204" pitchFamily="50" charset="-128"/>
              <a:ea typeface="メイリオ" panose="020B0604030504040204" pitchFamily="50" charset="-128"/>
            </a:rPr>
            <a:t>名</a:t>
          </a:r>
          <a:r>
            <a:rPr kumimoji="1" lang="en-US" altLang="ja-JP" sz="2000">
              <a:solidFill>
                <a:sysClr val="windowText" lastClr="000000"/>
              </a:solidFill>
              <a:latin typeface="メイリオ" panose="020B0604030504040204" pitchFamily="50" charset="-128"/>
              <a:ea typeface="メイリオ" panose="020B0604030504040204" pitchFamily="50" charset="-128"/>
            </a:rPr>
            <a:t>〜10</a:t>
          </a:r>
          <a:r>
            <a:rPr kumimoji="1" lang="ja-JP" altLang="en-US" sz="2000">
              <a:solidFill>
                <a:sysClr val="windowText" lastClr="000000"/>
              </a:solidFill>
              <a:latin typeface="メイリオ" panose="020B0604030504040204" pitchFamily="50" charset="-128"/>
              <a:ea typeface="メイリオ" panose="020B0604030504040204" pitchFamily="50" charset="-128"/>
            </a:rPr>
            <a:t>名はもう</a:t>
          </a:r>
          <a:r>
            <a:rPr kumimoji="1" lang="en-US" altLang="ja-JP" sz="2000">
              <a:solidFill>
                <a:sysClr val="windowText" lastClr="000000"/>
              </a:solidFill>
              <a:latin typeface="メイリオ" panose="020B0604030504040204" pitchFamily="50" charset="-128"/>
              <a:ea typeface="メイリオ" panose="020B0604030504040204" pitchFamily="50" charset="-128"/>
            </a:rPr>
            <a:t>1</a:t>
          </a:r>
          <a:r>
            <a:rPr kumimoji="1" lang="ja-JP" altLang="en-US" sz="2000">
              <a:solidFill>
                <a:sysClr val="windowText" lastClr="000000"/>
              </a:solidFill>
              <a:latin typeface="メイリオ" panose="020B0604030504040204" pitchFamily="50" charset="-128"/>
              <a:ea typeface="メイリオ" panose="020B0604030504040204" pitchFamily="50" charset="-128"/>
            </a:rPr>
            <a:t>枚のシートをご利用ください。</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31</xdr:col>
      <xdr:colOff>95250</xdr:colOff>
      <xdr:row>24</xdr:row>
      <xdr:rowOff>77015</xdr:rowOff>
    </xdr:from>
    <xdr:to>
      <xdr:col>65</xdr:col>
      <xdr:colOff>44630</xdr:colOff>
      <xdr:row>25</xdr:row>
      <xdr:rowOff>462642</xdr:rowOff>
    </xdr:to>
    <xdr:sp macro="" textlink="">
      <xdr:nvSpPr>
        <xdr:cNvPr id="2" name="大かっこ 1">
          <a:extLst>
            <a:ext uri="{FF2B5EF4-FFF2-40B4-BE49-F238E27FC236}">
              <a16:creationId xmlns:a16="http://schemas.microsoft.com/office/drawing/2014/main" xmlns="" id="{00000000-0008-0000-0700-000002000000}"/>
            </a:ext>
          </a:extLst>
        </xdr:cNvPr>
        <xdr:cNvSpPr/>
      </xdr:nvSpPr>
      <xdr:spPr>
        <a:xfrm>
          <a:off x="8953500" y="5896790"/>
          <a:ext cx="9664880" cy="652327"/>
        </a:xfrm>
        <a:prstGeom prst="bracketPair">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365125</xdr:colOff>
      <xdr:row>2</xdr:row>
      <xdr:rowOff>79375</xdr:rowOff>
    </xdr:from>
    <xdr:to>
      <xdr:col>2</xdr:col>
      <xdr:colOff>2444750</xdr:colOff>
      <xdr:row>2</xdr:row>
      <xdr:rowOff>968375</xdr:rowOff>
    </xdr:to>
    <xdr:sp macro="" textlink="">
      <xdr:nvSpPr>
        <xdr:cNvPr id="2" name="正方形/長方形 1">
          <a:extLst>
            <a:ext uri="{FF2B5EF4-FFF2-40B4-BE49-F238E27FC236}">
              <a16:creationId xmlns:a16="http://schemas.microsoft.com/office/drawing/2014/main" xmlns="" id="{00000000-0008-0000-0900-000002000000}"/>
            </a:ext>
          </a:extLst>
        </xdr:cNvPr>
        <xdr:cNvSpPr/>
      </xdr:nvSpPr>
      <xdr:spPr>
        <a:xfrm>
          <a:off x="1631950" y="955675"/>
          <a:ext cx="2079625" cy="88900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492125</xdr:colOff>
      <xdr:row>8</xdr:row>
      <xdr:rowOff>317501</xdr:rowOff>
    </xdr:from>
    <xdr:to>
      <xdr:col>9</xdr:col>
      <xdr:colOff>254000</xdr:colOff>
      <xdr:row>15</xdr:row>
      <xdr:rowOff>47626</xdr:rowOff>
    </xdr:to>
    <xdr:sp macro="" textlink="">
      <xdr:nvSpPr>
        <xdr:cNvPr id="3" name="吹き出し: 角を丸めた四角形 2">
          <a:extLst>
            <a:ext uri="{FF2B5EF4-FFF2-40B4-BE49-F238E27FC236}">
              <a16:creationId xmlns:a16="http://schemas.microsoft.com/office/drawing/2014/main" xmlns="" id="{00000000-0008-0000-0900-000003000000}"/>
            </a:ext>
          </a:extLst>
        </xdr:cNvPr>
        <xdr:cNvSpPr/>
      </xdr:nvSpPr>
      <xdr:spPr>
        <a:xfrm>
          <a:off x="5746750" y="5064126"/>
          <a:ext cx="2492375" cy="1111250"/>
        </a:xfrm>
        <a:prstGeom prst="wedgeRoundRectCallout">
          <a:avLst>
            <a:gd name="adj1" fmla="val -66056"/>
            <a:gd name="adj2" fmla="val -53021"/>
            <a:gd name="adj3" fmla="val 16667"/>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直筆での記名および押印をお願いいたします。</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47624</xdr:colOff>
      <xdr:row>1</xdr:row>
      <xdr:rowOff>9525</xdr:rowOff>
    </xdr:from>
    <xdr:to>
      <xdr:col>3</xdr:col>
      <xdr:colOff>1710545</xdr:colOff>
      <xdr:row>2</xdr:row>
      <xdr:rowOff>153367</xdr:rowOff>
    </xdr:to>
    <xdr:pic>
      <xdr:nvPicPr>
        <xdr:cNvPr id="2" name="Picture 2" descr="C:\Users\大地\Desktop\TIS_logo.png">
          <a:extLst>
            <a:ext uri="{FF2B5EF4-FFF2-40B4-BE49-F238E27FC236}">
              <a16:creationId xmlns:a16="http://schemas.microsoft.com/office/drawing/2014/main" xmlns="" id="{00000000-0008-0000-0A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49" y="247650"/>
          <a:ext cx="1901046" cy="381967"/>
        </a:xfrm>
        <a:prstGeom prst="rect">
          <a:avLst/>
        </a:prstGeom>
        <a:noFill/>
      </xdr:spPr>
    </xdr:pic>
    <xdr:clientData/>
  </xdr:twoCellAnchor>
  <xdr:twoCellAnchor editAs="oneCell">
    <xdr:from>
      <xdr:col>8</xdr:col>
      <xdr:colOff>1068019</xdr:colOff>
      <xdr:row>6</xdr:row>
      <xdr:rowOff>212141</xdr:rowOff>
    </xdr:from>
    <xdr:to>
      <xdr:col>9</xdr:col>
      <xdr:colOff>607161</xdr:colOff>
      <xdr:row>11</xdr:row>
      <xdr:rowOff>65837</xdr:rowOff>
    </xdr:to>
    <xdr:pic>
      <xdr:nvPicPr>
        <xdr:cNvPr id="3" name="図 2">
          <a:extLst>
            <a:ext uri="{FF2B5EF4-FFF2-40B4-BE49-F238E27FC236}">
              <a16:creationId xmlns:a16="http://schemas.microsoft.com/office/drawing/2014/main" xmlns=""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87869" y="1793291"/>
          <a:ext cx="1034567" cy="106337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1068019</xdr:colOff>
      <xdr:row>6</xdr:row>
      <xdr:rowOff>212141</xdr:rowOff>
    </xdr:from>
    <xdr:to>
      <xdr:col>9</xdr:col>
      <xdr:colOff>607161</xdr:colOff>
      <xdr:row>11</xdr:row>
      <xdr:rowOff>65837</xdr:rowOff>
    </xdr:to>
    <xdr:pic>
      <xdr:nvPicPr>
        <xdr:cNvPr id="4" name="図 3">
          <a:extLst>
            <a:ext uri="{FF2B5EF4-FFF2-40B4-BE49-F238E27FC236}">
              <a16:creationId xmlns:a16="http://schemas.microsoft.com/office/drawing/2014/main" xmlns="" id="{056A350F-90B9-42E2-A4EC-EBA22E7AF0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87019" y="2355266"/>
          <a:ext cx="1034567" cy="106337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Y2"/>
  <sheetViews>
    <sheetView tabSelected="1" workbookViewId="0"/>
  </sheetViews>
  <sheetFormatPr defaultRowHeight="13.2"/>
  <cols>
    <col min="31" max="31" width="9.44140625" bestFit="1" customWidth="1" collapsed="1"/>
  </cols>
  <sheetData>
    <row r="1" spans="1:51">
      <c r="A1" s="11" t="s">
        <v>14</v>
      </c>
      <c r="B1" s="12" t="s">
        <v>15</v>
      </c>
      <c r="C1" s="12" t="s">
        <v>16</v>
      </c>
      <c r="D1" s="13" t="s">
        <v>17</v>
      </c>
      <c r="E1" s="13" t="s">
        <v>18</v>
      </c>
      <c r="F1" s="13" t="s">
        <v>19</v>
      </c>
      <c r="G1" s="13" t="s">
        <v>20</v>
      </c>
      <c r="H1" s="13" t="s">
        <v>21</v>
      </c>
      <c r="I1" s="13" t="s">
        <v>22</v>
      </c>
      <c r="J1" s="13" t="s">
        <v>23</v>
      </c>
      <c r="K1" s="13" t="s">
        <v>24</v>
      </c>
      <c r="L1" s="13" t="s">
        <v>25</v>
      </c>
      <c r="M1" s="13" t="s">
        <v>26</v>
      </c>
      <c r="N1" s="13" t="s">
        <v>27</v>
      </c>
      <c r="O1" s="13" t="s">
        <v>28</v>
      </c>
      <c r="P1" s="13" t="s">
        <v>29</v>
      </c>
      <c r="Q1" s="13" t="s">
        <v>30</v>
      </c>
      <c r="R1" s="13" t="s">
        <v>31</v>
      </c>
      <c r="S1" s="13" t="s">
        <v>32</v>
      </c>
      <c r="T1" s="13" t="s">
        <v>58</v>
      </c>
      <c r="U1" s="12" t="s">
        <v>59</v>
      </c>
      <c r="V1" s="12" t="s">
        <v>60</v>
      </c>
      <c r="W1" s="12" t="s">
        <v>61</v>
      </c>
      <c r="X1" s="12" t="s">
        <v>62</v>
      </c>
      <c r="Y1" s="13" t="s">
        <v>63</v>
      </c>
      <c r="Z1" s="13" t="s">
        <v>33</v>
      </c>
      <c r="AA1" s="13" t="s">
        <v>34</v>
      </c>
      <c r="AB1" s="13" t="s">
        <v>35</v>
      </c>
      <c r="AC1" s="13" t="s">
        <v>36</v>
      </c>
      <c r="AD1" s="13" t="s">
        <v>37</v>
      </c>
      <c r="AE1" s="13" t="s">
        <v>38</v>
      </c>
      <c r="AF1" s="13" t="s">
        <v>39</v>
      </c>
      <c r="AG1" s="12" t="s">
        <v>40</v>
      </c>
      <c r="AH1" s="12" t="s">
        <v>41</v>
      </c>
      <c r="AI1" s="13" t="s">
        <v>42</v>
      </c>
      <c r="AJ1" s="13" t="s">
        <v>43</v>
      </c>
      <c r="AK1" s="13" t="s">
        <v>44</v>
      </c>
      <c r="AL1" s="13" t="s">
        <v>45</v>
      </c>
      <c r="AM1" s="12" t="s">
        <v>46</v>
      </c>
      <c r="AN1" s="12" t="s">
        <v>47</v>
      </c>
      <c r="AO1" s="12" t="s">
        <v>48</v>
      </c>
      <c r="AP1" s="13" t="s">
        <v>64</v>
      </c>
      <c r="AQ1" s="13" t="s">
        <v>49</v>
      </c>
      <c r="AR1" s="12" t="s">
        <v>50</v>
      </c>
      <c r="AS1" s="12" t="s">
        <v>51</v>
      </c>
      <c r="AT1" s="12" t="s">
        <v>52</v>
      </c>
      <c r="AU1" s="12" t="s">
        <v>53</v>
      </c>
      <c r="AV1" s="12" t="s">
        <v>54</v>
      </c>
      <c r="AW1" s="12" t="s">
        <v>55</v>
      </c>
      <c r="AX1" s="12" t="s">
        <v>56</v>
      </c>
      <c r="AY1" s="12" t="s">
        <v>57</v>
      </c>
    </row>
    <row r="2" spans="1:51">
      <c r="F2" s="78"/>
      <c r="L2" s="78"/>
      <c r="AE2" s="77"/>
      <c r="AF2" s="77"/>
    </row>
  </sheetData>
  <phoneticPr fontId="2"/>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B1:E15"/>
  <sheetViews>
    <sheetView view="pageBreakPreview" zoomScaleSheetLayoutView="100" workbookViewId="0"/>
  </sheetViews>
  <sheetFormatPr defaultColWidth="9" defaultRowHeight="14.4"/>
  <cols>
    <col min="1" max="1" width="3.109375" style="19" customWidth="1" collapsed="1"/>
    <col min="2" max="2" width="11.88671875" style="19" customWidth="1" collapsed="1"/>
    <col min="3" max="3" width="11.33203125" style="19" customWidth="1" collapsed="1"/>
    <col min="4" max="4" width="59.21875" style="19" customWidth="1" collapsed="1"/>
    <col min="5" max="5" width="9" style="19" collapsed="1"/>
    <col min="6" max="6" width="2" style="19" customWidth="1" collapsed="1"/>
    <col min="7" max="16384" width="9" style="19" collapsed="1"/>
  </cols>
  <sheetData>
    <row r="1" spans="2:5">
      <c r="B1" s="358" t="str">
        <f ca="1">REPLACE(LEFT(CELL("filename",$A$1),FIND("]",CELL("filename",$A$1))-1),1,FIND("[",CELL("filename",$A$1)),)</f>
        <v>【大企業・中小企業】【支給申請】雇調金_様式4・6・7・8・9号_v1.1_株式会社システムシェアード (1).xlsm</v>
      </c>
      <c r="C1" s="358"/>
      <c r="D1" s="358"/>
    </row>
    <row r="2" spans="2:5" ht="16.2">
      <c r="D2" s="20" t="s">
        <v>65</v>
      </c>
    </row>
    <row r="3" spans="2:5" ht="15" thickBot="1"/>
    <row r="4" spans="2:5" ht="21" customHeight="1" thickBot="1">
      <c r="B4" s="21" t="s">
        <v>66</v>
      </c>
      <c r="C4" s="22" t="s">
        <v>67</v>
      </c>
      <c r="D4" s="22" t="s">
        <v>68</v>
      </c>
      <c r="E4" s="23" t="s">
        <v>69</v>
      </c>
    </row>
    <row r="5" spans="2:5" ht="21" customHeight="1" thickTop="1">
      <c r="B5" s="24">
        <v>43605</v>
      </c>
      <c r="C5" s="25" t="s">
        <v>70</v>
      </c>
      <c r="D5" s="26" t="s">
        <v>71</v>
      </c>
      <c r="E5" s="27" t="s">
        <v>72</v>
      </c>
    </row>
    <row r="6" spans="2:5" ht="34.65" customHeight="1">
      <c r="B6" s="28">
        <v>43621</v>
      </c>
      <c r="C6" s="29" t="s">
        <v>102</v>
      </c>
      <c r="D6" s="30" t="s">
        <v>104</v>
      </c>
      <c r="E6" s="31" t="s">
        <v>103</v>
      </c>
    </row>
    <row r="7" spans="2:5" ht="34.65" customHeight="1">
      <c r="B7" s="28">
        <v>43740</v>
      </c>
      <c r="C7" s="29" t="s">
        <v>110</v>
      </c>
      <c r="D7" s="30" t="s">
        <v>111</v>
      </c>
      <c r="E7" s="31" t="s">
        <v>112</v>
      </c>
    </row>
    <row r="8" spans="2:5" ht="54.75" customHeight="1">
      <c r="B8" s="28">
        <v>43759</v>
      </c>
      <c r="C8" s="29">
        <v>1.3</v>
      </c>
      <c r="D8" s="30" t="s">
        <v>113</v>
      </c>
      <c r="E8" s="31" t="s">
        <v>114</v>
      </c>
    </row>
    <row r="9" spans="2:5" ht="54.75" customHeight="1">
      <c r="B9" s="28">
        <v>43770</v>
      </c>
      <c r="C9" s="29">
        <v>1.4</v>
      </c>
      <c r="D9" s="30" t="s">
        <v>115</v>
      </c>
      <c r="E9" s="31" t="s">
        <v>116</v>
      </c>
    </row>
    <row r="10" spans="2:5" ht="48.9" customHeight="1">
      <c r="B10" s="28"/>
      <c r="C10" s="29"/>
      <c r="D10" s="30"/>
      <c r="E10" s="31"/>
    </row>
    <row r="11" spans="2:5" ht="88.65" customHeight="1">
      <c r="B11" s="28"/>
      <c r="C11" s="29"/>
      <c r="D11" s="30"/>
      <c r="E11" s="31"/>
    </row>
    <row r="12" spans="2:5" ht="115.5" customHeight="1">
      <c r="B12" s="28"/>
      <c r="C12" s="29"/>
      <c r="D12" s="30"/>
      <c r="E12" s="31"/>
    </row>
    <row r="13" spans="2:5" ht="51" customHeight="1">
      <c r="B13" s="28"/>
      <c r="C13" s="29"/>
      <c r="D13" s="30"/>
      <c r="E13" s="31"/>
    </row>
    <row r="14" spans="2:5" ht="62.25" customHeight="1">
      <c r="B14" s="28"/>
      <c r="C14" s="29"/>
      <c r="D14" s="30"/>
      <c r="E14" s="31"/>
    </row>
    <row r="15" spans="2:5" ht="56.25" customHeight="1">
      <c r="B15" s="32"/>
      <c r="C15" s="33"/>
      <c r="D15" s="34"/>
      <c r="E15" s="35"/>
    </row>
  </sheetData>
  <mergeCells count="1">
    <mergeCell ref="B1:D1"/>
  </mergeCells>
  <phoneticPr fontId="2"/>
  <pageMargins left="0.70866141732283472" right="0.70866141732283472" top="0.74803149606299213" bottom="0.74803149606299213" header="0.31496062992125984" footer="0.31496062992125984"/>
  <pageSetup paperSize="9" fitToHeight="0" orientation="landscape" r:id="rId1"/>
  <headerFooter>
    <oddFooter>&amp;C&amp;12&amp;P /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5"/>
  <sheetViews>
    <sheetView view="pageBreakPreview" zoomScaleNormal="100" zoomScaleSheetLayoutView="100" workbookViewId="0"/>
  </sheetViews>
  <sheetFormatPr defaultColWidth="9" defaultRowHeight="17.399999999999999"/>
  <cols>
    <col min="1" max="1" width="4.6640625" style="325" customWidth="1" collapsed="1"/>
    <col min="2" max="2" width="11.88671875" style="325" customWidth="1" collapsed="1"/>
    <col min="3" max="3" width="4.44140625" style="325" customWidth="1" collapsed="1"/>
    <col min="4" max="4" width="82.109375" style="325" customWidth="1" collapsed="1"/>
    <col min="5" max="5" width="14.88671875" style="325" customWidth="1" collapsed="1"/>
    <col min="6" max="6" width="46.33203125" style="325" customWidth="1" collapsed="1"/>
    <col min="7" max="16384" width="9" style="325" collapsed="1"/>
  </cols>
  <sheetData>
    <row r="1" spans="1:6" ht="48.75" customHeight="1" thickBot="1">
      <c r="A1" s="324" t="s">
        <v>514</v>
      </c>
      <c r="B1" s="324"/>
      <c r="F1" s="354" t="s">
        <v>571</v>
      </c>
    </row>
    <row r="2" spans="1:6" ht="31.5" customHeight="1" thickBot="1">
      <c r="B2" s="326"/>
      <c r="C2" s="367" t="s">
        <v>549</v>
      </c>
      <c r="D2" s="368"/>
      <c r="E2" s="327" t="s">
        <v>550</v>
      </c>
      <c r="F2" s="327" t="s">
        <v>555</v>
      </c>
    </row>
    <row r="3" spans="1:6" ht="33.75" customHeight="1">
      <c r="B3" s="365" t="s">
        <v>559</v>
      </c>
      <c r="C3" s="328" t="s">
        <v>520</v>
      </c>
      <c r="D3" s="329"/>
      <c r="E3" s="369" t="s">
        <v>551</v>
      </c>
      <c r="F3" s="359" t="s">
        <v>572</v>
      </c>
    </row>
    <row r="4" spans="1:6" ht="33.75" customHeight="1">
      <c r="B4" s="365"/>
      <c r="C4" s="330" t="s">
        <v>516</v>
      </c>
      <c r="D4" s="331"/>
      <c r="E4" s="370"/>
      <c r="F4" s="360"/>
    </row>
    <row r="5" spans="1:6" ht="33.75" customHeight="1">
      <c r="B5" s="365"/>
      <c r="C5" s="330" t="s">
        <v>515</v>
      </c>
      <c r="D5" s="331"/>
      <c r="E5" s="370"/>
      <c r="F5" s="360"/>
    </row>
    <row r="6" spans="1:6" ht="33.75" customHeight="1">
      <c r="B6" s="365"/>
      <c r="C6" s="330" t="s">
        <v>517</v>
      </c>
      <c r="D6" s="331"/>
      <c r="E6" s="370"/>
      <c r="F6" s="360"/>
    </row>
    <row r="7" spans="1:6" ht="33.75" customHeight="1">
      <c r="B7" s="365"/>
      <c r="C7" s="330" t="s">
        <v>518</v>
      </c>
      <c r="D7" s="331"/>
      <c r="E7" s="370"/>
      <c r="F7" s="360"/>
    </row>
    <row r="8" spans="1:6" ht="33.75" customHeight="1">
      <c r="B8" s="365"/>
      <c r="C8" s="330" t="s">
        <v>519</v>
      </c>
      <c r="D8" s="331"/>
      <c r="E8" s="370"/>
      <c r="F8" s="360"/>
    </row>
    <row r="9" spans="1:6" ht="33.75" customHeight="1">
      <c r="B9" s="365"/>
      <c r="C9" s="330" t="s">
        <v>521</v>
      </c>
      <c r="D9" s="331"/>
      <c r="E9" s="370"/>
      <c r="F9" s="360"/>
    </row>
    <row r="10" spans="1:6" ht="30.75" customHeight="1">
      <c r="B10" s="365"/>
      <c r="C10" s="329"/>
      <c r="D10" s="332" t="s">
        <v>546</v>
      </c>
      <c r="E10" s="370"/>
      <c r="F10" s="361"/>
    </row>
    <row r="11" spans="1:6" ht="30.75" customHeight="1">
      <c r="B11" s="365"/>
      <c r="C11" s="329"/>
      <c r="D11" s="333" t="s">
        <v>545</v>
      </c>
      <c r="E11" s="342" t="s">
        <v>551</v>
      </c>
      <c r="F11" s="343" t="s">
        <v>568</v>
      </c>
    </row>
    <row r="12" spans="1:6" ht="33.75" customHeight="1">
      <c r="B12" s="365"/>
      <c r="C12" s="330" t="s">
        <v>522</v>
      </c>
      <c r="D12" s="331"/>
      <c r="E12" s="344"/>
      <c r="F12" s="345"/>
    </row>
    <row r="13" spans="1:6" ht="30.75" customHeight="1">
      <c r="B13" s="365"/>
      <c r="C13" s="329"/>
      <c r="D13" s="332" t="s">
        <v>547</v>
      </c>
      <c r="E13" s="346" t="s">
        <v>552</v>
      </c>
      <c r="F13" s="347"/>
    </row>
    <row r="14" spans="1:6" ht="30.75" customHeight="1">
      <c r="B14" s="365"/>
      <c r="C14" s="329"/>
      <c r="D14" s="333" t="s">
        <v>548</v>
      </c>
      <c r="E14" s="348" t="s">
        <v>553</v>
      </c>
      <c r="F14" s="345"/>
    </row>
    <row r="15" spans="1:6" ht="33.75" customHeight="1">
      <c r="B15" s="365"/>
      <c r="C15" s="330" t="s">
        <v>523</v>
      </c>
      <c r="D15" s="331"/>
      <c r="E15" s="348" t="s">
        <v>554</v>
      </c>
      <c r="F15" s="345"/>
    </row>
    <row r="16" spans="1:6" ht="33.75" customHeight="1">
      <c r="B16" s="365"/>
      <c r="C16" s="330" t="s">
        <v>556</v>
      </c>
      <c r="D16" s="331"/>
      <c r="E16" s="348"/>
      <c r="F16" s="345"/>
    </row>
    <row r="17" spans="2:6" ht="30.75" customHeight="1">
      <c r="B17" s="365"/>
      <c r="C17" s="329"/>
      <c r="D17" s="332" t="s">
        <v>557</v>
      </c>
      <c r="E17" s="344" t="s">
        <v>551</v>
      </c>
      <c r="F17" s="349" t="s">
        <v>570</v>
      </c>
    </row>
    <row r="18" spans="2:6" ht="47.1" customHeight="1" thickBot="1">
      <c r="B18" s="366"/>
      <c r="C18" s="334"/>
      <c r="D18" s="333" t="s">
        <v>558</v>
      </c>
      <c r="E18" s="348" t="s">
        <v>551</v>
      </c>
      <c r="F18" s="349" t="s">
        <v>569</v>
      </c>
    </row>
    <row r="19" spans="2:6" ht="33.75" customHeight="1">
      <c r="B19" s="362" t="s">
        <v>560</v>
      </c>
      <c r="C19" s="335" t="s">
        <v>561</v>
      </c>
      <c r="D19" s="336"/>
      <c r="E19" s="350"/>
      <c r="F19" s="351"/>
    </row>
    <row r="20" spans="2:6" ht="51.75" customHeight="1">
      <c r="B20" s="363"/>
      <c r="C20" s="336"/>
      <c r="D20" s="337" t="s">
        <v>564</v>
      </c>
      <c r="E20" s="350"/>
      <c r="F20" s="351"/>
    </row>
    <row r="21" spans="2:6" ht="33.75" customHeight="1">
      <c r="B21" s="363"/>
      <c r="C21" s="338" t="s">
        <v>562</v>
      </c>
      <c r="D21" s="339"/>
      <c r="E21" s="350"/>
      <c r="F21" s="351"/>
    </row>
    <row r="22" spans="2:6" ht="51.75" customHeight="1">
      <c r="B22" s="363"/>
      <c r="C22" s="336"/>
      <c r="D22" s="340" t="s">
        <v>565</v>
      </c>
      <c r="E22" s="350"/>
      <c r="F22" s="351"/>
    </row>
    <row r="23" spans="2:6" ht="51.75" customHeight="1">
      <c r="B23" s="363"/>
      <c r="C23" s="336"/>
      <c r="D23" s="337" t="s">
        <v>566</v>
      </c>
      <c r="E23" s="350"/>
      <c r="F23" s="351"/>
    </row>
    <row r="24" spans="2:6" ht="33.75" customHeight="1">
      <c r="B24" s="363"/>
      <c r="C24" s="338" t="s">
        <v>563</v>
      </c>
      <c r="D24" s="339"/>
      <c r="E24" s="350"/>
      <c r="F24" s="351"/>
    </row>
    <row r="25" spans="2:6" ht="51.75" customHeight="1" thickBot="1">
      <c r="B25" s="364"/>
      <c r="C25" s="341"/>
      <c r="D25" s="337" t="s">
        <v>567</v>
      </c>
      <c r="E25" s="352"/>
      <c r="F25" s="353"/>
    </row>
  </sheetData>
  <mergeCells count="5">
    <mergeCell ref="F3:F10"/>
    <mergeCell ref="B19:B25"/>
    <mergeCell ref="B3:B18"/>
    <mergeCell ref="C2:D2"/>
    <mergeCell ref="E3:E10"/>
  </mergeCells>
  <phoneticPr fontId="2"/>
  <pageMargins left="0.7" right="0.7" top="0.75" bottom="0.75" header="0.3" footer="0.3"/>
  <pageSetup paperSize="9" scale="79" orientation="landscape" verticalDpi="360" r:id="rId1"/>
  <rowBreaks count="1" manualBreakCount="1">
    <brk id="18"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pageSetUpPr fitToPage="1"/>
  </sheetPr>
  <dimension ref="B1:Q86"/>
  <sheetViews>
    <sheetView view="pageBreakPreview" zoomScale="80" zoomScaleNormal="100" zoomScaleSheetLayoutView="80" workbookViewId="0">
      <selection activeCell="E1" sqref="E1"/>
    </sheetView>
  </sheetViews>
  <sheetFormatPr defaultColWidth="9" defaultRowHeight="13.2"/>
  <cols>
    <col min="1" max="1" width="1.88671875" style="100" customWidth="1" collapsed="1"/>
    <col min="2" max="3" width="8.77734375" style="100" hidden="1" customWidth="1" collapsed="1"/>
    <col min="4" max="4" width="2.21875" style="100" hidden="1" customWidth="1" collapsed="1"/>
    <col min="5" max="5" width="24.6640625" style="100" customWidth="1" collapsed="1"/>
    <col min="6" max="6" width="21" style="100" customWidth="1" collapsed="1"/>
    <col min="7" max="8" width="5.88671875" style="100" customWidth="1" collapsed="1"/>
    <col min="9" max="9" width="13.21875" style="100" customWidth="1" collapsed="1"/>
    <col min="10" max="10" width="5.44140625" style="100" customWidth="1" collapsed="1"/>
    <col min="11" max="11" width="11" style="100" customWidth="1" collapsed="1"/>
    <col min="12" max="12" width="7.6640625" style="100" customWidth="1" collapsed="1"/>
    <col min="13" max="13" width="13" style="100" customWidth="1" collapsed="1"/>
    <col min="14" max="14" width="33.88671875" style="100" customWidth="1" collapsed="1"/>
    <col min="15" max="15" width="23.44140625" style="100" customWidth="1" collapsed="1"/>
    <col min="16" max="16" width="2.6640625" style="100" customWidth="1" collapsed="1"/>
    <col min="17" max="16384" width="9" style="100" collapsed="1"/>
  </cols>
  <sheetData>
    <row r="1" spans="4:17" ht="29.4" customHeight="1">
      <c r="D1" s="99"/>
      <c r="E1" s="253" t="s">
        <v>458</v>
      </c>
      <c r="F1" s="182"/>
      <c r="G1" s="182"/>
      <c r="H1" s="182"/>
      <c r="I1" s="182"/>
      <c r="J1" s="182"/>
      <c r="K1" s="182"/>
      <c r="L1" s="182"/>
      <c r="M1" s="182"/>
      <c r="N1" s="182"/>
      <c r="O1" s="182"/>
      <c r="P1" s="99"/>
      <c r="Q1" s="99"/>
    </row>
    <row r="2" spans="4:17" ht="23.4">
      <c r="D2" s="99"/>
      <c r="E2" s="425" t="s">
        <v>237</v>
      </c>
      <c r="F2" s="425"/>
      <c r="G2" s="425"/>
      <c r="H2" s="425"/>
      <c r="I2" s="425"/>
      <c r="J2" s="425"/>
      <c r="K2" s="425"/>
      <c r="L2" s="425"/>
      <c r="M2" s="425"/>
      <c r="N2" s="425"/>
      <c r="O2" s="254"/>
      <c r="P2" s="99"/>
      <c r="Q2" s="99"/>
    </row>
    <row r="3" spans="4:17" ht="23.4">
      <c r="D3" s="99"/>
      <c r="E3" s="425" t="s">
        <v>238</v>
      </c>
      <c r="F3" s="425"/>
      <c r="G3" s="425"/>
      <c r="H3" s="425"/>
      <c r="I3" s="425"/>
      <c r="J3" s="425"/>
      <c r="K3" s="425"/>
      <c r="L3" s="425"/>
      <c r="M3" s="425"/>
      <c r="N3" s="425"/>
      <c r="O3" s="254"/>
      <c r="P3" s="99"/>
      <c r="Q3" s="99"/>
    </row>
    <row r="4" spans="4:17" ht="6.6" customHeight="1">
      <c r="D4" s="99"/>
      <c r="E4" s="426" t="s">
        <v>239</v>
      </c>
      <c r="F4" s="426"/>
      <c r="G4" s="426"/>
      <c r="H4" s="426"/>
      <c r="I4" s="426"/>
      <c r="J4" s="426"/>
      <c r="K4" s="426"/>
      <c r="L4" s="426"/>
      <c r="M4" s="426"/>
      <c r="N4" s="426"/>
      <c r="O4" s="182"/>
      <c r="P4" s="99"/>
      <c r="Q4" s="99"/>
    </row>
    <row r="5" spans="4:17" ht="43.95" customHeight="1">
      <c r="D5" s="99"/>
      <c r="E5" s="427" t="s">
        <v>240</v>
      </c>
      <c r="F5" s="427"/>
      <c r="G5" s="427"/>
      <c r="H5" s="427"/>
      <c r="I5" s="427"/>
      <c r="J5" s="427"/>
      <c r="K5" s="427"/>
      <c r="L5" s="427"/>
      <c r="M5" s="427"/>
      <c r="N5" s="427"/>
      <c r="O5" s="255"/>
      <c r="P5" s="99"/>
      <c r="Q5" s="99"/>
    </row>
    <row r="6" spans="4:17" ht="18" customHeight="1">
      <c r="D6" s="99"/>
      <c r="E6" s="428" t="s">
        <v>459</v>
      </c>
      <c r="F6" s="428"/>
      <c r="G6" s="256"/>
      <c r="H6" s="256"/>
      <c r="I6" s="256"/>
      <c r="J6" s="429" t="s">
        <v>460</v>
      </c>
      <c r="K6" s="429"/>
      <c r="L6" s="429"/>
      <c r="M6" s="430" t="str">
        <f>dataSheet!E2&amp;"-"&amp;dataSheet!F2&amp;" "&amp;dataSheet!G2</f>
        <v xml:space="preserve">- </v>
      </c>
      <c r="N6" s="430"/>
      <c r="O6" s="256"/>
      <c r="P6" s="99"/>
      <c r="Q6" s="99"/>
    </row>
    <row r="7" spans="4:17" ht="18" customHeight="1">
      <c r="D7" s="99"/>
      <c r="E7" s="256"/>
      <c r="F7" s="256"/>
      <c r="G7" s="256"/>
      <c r="H7" s="256"/>
      <c r="I7" s="256"/>
      <c r="J7" s="429" t="s">
        <v>461</v>
      </c>
      <c r="K7" s="429"/>
      <c r="L7" s="429"/>
      <c r="M7" s="428">
        <f>dataSheet!H2</f>
        <v>0</v>
      </c>
      <c r="N7" s="428"/>
      <c r="O7" s="256"/>
      <c r="P7" s="99"/>
      <c r="Q7" s="99"/>
    </row>
    <row r="8" spans="4:17" ht="18" customHeight="1">
      <c r="D8" s="99"/>
      <c r="E8" s="256"/>
      <c r="F8" s="256"/>
      <c r="G8" s="256"/>
      <c r="H8" s="256"/>
      <c r="I8" s="256"/>
      <c r="J8" s="429" t="s">
        <v>462</v>
      </c>
      <c r="K8" s="429"/>
      <c r="L8" s="429"/>
      <c r="M8" s="428" t="str">
        <f>dataSheet!J2&amp;" "&amp;dataSheet!K2</f>
        <v xml:space="preserve"> </v>
      </c>
      <c r="N8" s="428"/>
      <c r="O8" s="257"/>
      <c r="P8" s="99"/>
      <c r="Q8" s="99"/>
    </row>
    <row r="9" spans="4:17" ht="58.95" customHeight="1">
      <c r="D9" s="99"/>
      <c r="E9" s="258"/>
      <c r="F9" s="258"/>
      <c r="G9" s="258"/>
      <c r="H9" s="258"/>
      <c r="I9" s="431" t="s">
        <v>574</v>
      </c>
      <c r="J9" s="431"/>
      <c r="K9" s="431"/>
      <c r="L9" s="431"/>
      <c r="M9" s="431"/>
      <c r="N9" s="431"/>
      <c r="O9" s="181"/>
      <c r="P9" s="99"/>
      <c r="Q9" s="99"/>
    </row>
    <row r="10" spans="4:17">
      <c r="D10" s="99"/>
      <c r="E10" s="432" t="s">
        <v>241</v>
      </c>
      <c r="F10" s="432"/>
      <c r="G10" s="432"/>
      <c r="H10" s="432"/>
      <c r="I10" s="432"/>
      <c r="J10" s="432"/>
      <c r="K10" s="432"/>
      <c r="L10" s="432"/>
      <c r="M10" s="432"/>
      <c r="N10" s="432"/>
      <c r="O10" s="183"/>
      <c r="P10" s="99"/>
      <c r="Q10" s="99"/>
    </row>
    <row r="11" spans="4:17" ht="18" customHeight="1">
      <c r="D11" s="99"/>
      <c r="E11" s="259" t="s">
        <v>463</v>
      </c>
      <c r="G11" s="397" t="s">
        <v>464</v>
      </c>
      <c r="H11" s="397"/>
      <c r="I11" s="397"/>
      <c r="K11" s="260"/>
      <c r="L11" s="261" t="s">
        <v>465</v>
      </c>
      <c r="M11" s="261" t="s">
        <v>466</v>
      </c>
      <c r="N11" s="261"/>
      <c r="O11" s="261"/>
      <c r="P11" s="99"/>
      <c r="Q11" s="99"/>
    </row>
    <row r="12" spans="4:17" ht="15.6">
      <c r="D12" s="99"/>
      <c r="E12" s="298"/>
      <c r="F12" s="259" t="s">
        <v>467</v>
      </c>
      <c r="G12" s="397" t="s">
        <v>468</v>
      </c>
      <c r="H12" s="397"/>
      <c r="I12" s="397"/>
      <c r="K12" s="260"/>
      <c r="L12" s="261" t="s">
        <v>469</v>
      </c>
      <c r="M12" s="261"/>
      <c r="N12" s="261"/>
      <c r="O12" s="261"/>
      <c r="P12" s="101"/>
      <c r="Q12" s="101"/>
    </row>
    <row r="13" spans="4:17" ht="18" customHeight="1">
      <c r="D13" s="99"/>
      <c r="E13" s="396" t="s">
        <v>470</v>
      </c>
      <c r="F13" s="396"/>
      <c r="G13" s="397" t="s">
        <v>471</v>
      </c>
      <c r="H13" s="397"/>
      <c r="I13" s="397"/>
      <c r="K13" s="260"/>
      <c r="L13" s="261" t="s">
        <v>472</v>
      </c>
      <c r="M13" s="261"/>
      <c r="N13" s="257" t="s">
        <v>513</v>
      </c>
      <c r="O13" s="257"/>
      <c r="P13" s="101"/>
      <c r="Q13" s="101"/>
    </row>
    <row r="14" spans="4:17" ht="10.199999999999999" customHeight="1">
      <c r="D14" s="99"/>
      <c r="E14" s="102"/>
      <c r="F14" s="99"/>
      <c r="G14" s="99"/>
      <c r="H14" s="99"/>
      <c r="I14" s="99"/>
      <c r="J14" s="99"/>
      <c r="K14" s="99"/>
      <c r="L14" s="99"/>
      <c r="M14" s="99"/>
      <c r="N14" s="99"/>
      <c r="O14" s="99"/>
      <c r="P14" s="99"/>
      <c r="Q14" s="99"/>
    </row>
    <row r="15" spans="4:17" ht="9.6" customHeight="1">
      <c r="D15" s="99"/>
      <c r="E15" s="102"/>
      <c r="F15" s="99"/>
      <c r="G15" s="99"/>
      <c r="H15" s="99"/>
      <c r="I15" s="99"/>
      <c r="J15" s="99"/>
      <c r="K15" s="99"/>
      <c r="L15" s="99"/>
      <c r="M15" s="99"/>
      <c r="N15" s="99"/>
      <c r="O15" s="99"/>
      <c r="P15" s="99"/>
      <c r="Q15" s="99"/>
    </row>
    <row r="16" spans="4:17" ht="18" customHeight="1">
      <c r="D16" s="99"/>
      <c r="E16" s="398"/>
      <c r="F16" s="262" t="s">
        <v>242</v>
      </c>
      <c r="G16" s="400" t="s">
        <v>473</v>
      </c>
      <c r="H16" s="401"/>
      <c r="I16" s="402"/>
      <c r="J16" s="263" t="s">
        <v>474</v>
      </c>
      <c r="K16" s="264"/>
      <c r="L16" s="403" t="s">
        <v>243</v>
      </c>
      <c r="M16" s="404"/>
      <c r="N16" s="404" t="s">
        <v>244</v>
      </c>
      <c r="O16" s="265"/>
      <c r="P16" s="99"/>
      <c r="Q16" s="99"/>
    </row>
    <row r="17" spans="4:17" ht="30" customHeight="1">
      <c r="D17" s="99"/>
      <c r="E17" s="399"/>
      <c r="F17" s="266" t="s">
        <v>475</v>
      </c>
      <c r="G17" s="407" t="s">
        <v>476</v>
      </c>
      <c r="H17" s="408"/>
      <c r="I17" s="409"/>
      <c r="J17" s="410" t="s">
        <v>245</v>
      </c>
      <c r="K17" s="411"/>
      <c r="L17" s="405"/>
      <c r="M17" s="406"/>
      <c r="N17" s="406"/>
      <c r="O17" s="265"/>
      <c r="P17" s="99"/>
      <c r="Q17" s="99"/>
    </row>
    <row r="18" spans="4:17" ht="18" customHeight="1">
      <c r="D18" s="99"/>
      <c r="E18" s="412" t="s">
        <v>477</v>
      </c>
      <c r="F18" s="414"/>
      <c r="G18" s="416"/>
      <c r="H18" s="417"/>
      <c r="I18" s="394"/>
      <c r="J18" s="420"/>
      <c r="K18" s="421"/>
      <c r="L18" s="416"/>
      <c r="M18" s="394"/>
      <c r="N18" s="394"/>
      <c r="O18" s="267"/>
      <c r="P18" s="99"/>
      <c r="Q18" s="99"/>
    </row>
    <row r="19" spans="4:17" ht="19.2" customHeight="1">
      <c r="D19" s="99"/>
      <c r="E19" s="413"/>
      <c r="F19" s="415"/>
      <c r="G19" s="418"/>
      <c r="H19" s="419"/>
      <c r="I19" s="395"/>
      <c r="J19" s="422"/>
      <c r="K19" s="423"/>
      <c r="L19" s="418"/>
      <c r="M19" s="395"/>
      <c r="N19" s="395"/>
      <c r="O19" s="267"/>
      <c r="P19" s="99"/>
      <c r="Q19" s="99"/>
    </row>
    <row r="20" spans="4:17" ht="18.600000000000001" customHeight="1">
      <c r="D20" s="99"/>
      <c r="E20" s="184"/>
      <c r="F20" s="267"/>
      <c r="G20" s="267"/>
      <c r="H20" s="267"/>
      <c r="I20" s="267"/>
      <c r="J20" s="268"/>
      <c r="K20" s="268"/>
      <c r="L20" s="267"/>
      <c r="M20" s="267"/>
      <c r="N20" s="267"/>
      <c r="O20" s="267"/>
      <c r="P20" s="99"/>
      <c r="Q20" s="99"/>
    </row>
    <row r="21" spans="4:17" ht="21" customHeight="1">
      <c r="D21" s="269"/>
      <c r="E21" s="424" t="s">
        <v>478</v>
      </c>
      <c r="F21" s="424"/>
      <c r="G21" s="424"/>
      <c r="H21" s="424"/>
      <c r="I21" s="424"/>
      <c r="J21" s="424"/>
      <c r="K21" s="424"/>
      <c r="L21" s="424"/>
      <c r="M21" s="424"/>
      <c r="N21" s="424"/>
      <c r="O21" s="424"/>
      <c r="P21" s="424"/>
      <c r="Q21" s="99"/>
    </row>
    <row r="22" spans="4:17" ht="21" customHeight="1">
      <c r="D22" s="269"/>
      <c r="E22" s="270"/>
      <c r="F22" s="270"/>
      <c r="G22" s="270"/>
      <c r="H22" s="270"/>
      <c r="I22" s="270"/>
      <c r="J22" s="270"/>
      <c r="K22" s="270"/>
      <c r="L22" s="270"/>
      <c r="M22" s="270"/>
      <c r="N22" s="270"/>
      <c r="O22" s="270"/>
      <c r="P22" s="270"/>
      <c r="Q22" s="99"/>
    </row>
    <row r="23" spans="4:17" ht="75" customHeight="1">
      <c r="D23" s="269"/>
      <c r="E23" s="374" t="s">
        <v>479</v>
      </c>
      <c r="F23" s="374"/>
      <c r="G23" s="374"/>
      <c r="H23" s="374"/>
      <c r="I23" s="374"/>
      <c r="J23" s="374"/>
      <c r="K23" s="374"/>
      <c r="L23" s="374"/>
      <c r="M23" s="374"/>
      <c r="N23" s="374"/>
      <c r="O23" s="271"/>
      <c r="P23" s="269"/>
      <c r="Q23" s="99"/>
    </row>
    <row r="24" spans="4:17" ht="18" customHeight="1">
      <c r="D24" s="269"/>
      <c r="E24" s="272"/>
      <c r="F24" s="269"/>
      <c r="G24" s="269"/>
      <c r="H24" s="269"/>
      <c r="I24" s="269"/>
      <c r="J24" s="269"/>
      <c r="K24" s="269"/>
      <c r="L24" s="269"/>
      <c r="M24" s="269"/>
      <c r="N24" s="269"/>
      <c r="O24" s="269"/>
      <c r="P24" s="269"/>
      <c r="Q24" s="99"/>
    </row>
    <row r="25" spans="4:17" ht="63.6" customHeight="1">
      <c r="D25" s="269"/>
      <c r="E25" s="375" t="s">
        <v>480</v>
      </c>
      <c r="F25" s="375"/>
      <c r="G25" s="375"/>
      <c r="H25" s="375"/>
      <c r="I25" s="375"/>
      <c r="J25" s="375"/>
      <c r="K25" s="375"/>
      <c r="L25" s="375"/>
      <c r="M25" s="375"/>
      <c r="N25" s="375"/>
      <c r="O25" s="273"/>
      <c r="P25" s="269"/>
      <c r="Q25" s="99"/>
    </row>
    <row r="26" spans="4:17" ht="18" customHeight="1">
      <c r="D26" s="269"/>
      <c r="E26" s="274"/>
      <c r="F26" s="274"/>
      <c r="G26" s="274"/>
      <c r="H26" s="274"/>
      <c r="I26" s="274"/>
      <c r="J26" s="274"/>
      <c r="K26" s="274"/>
      <c r="L26" s="274"/>
      <c r="M26" s="274"/>
      <c r="N26" s="274"/>
      <c r="O26" s="274"/>
      <c r="P26" s="269"/>
      <c r="Q26" s="99"/>
    </row>
    <row r="27" spans="4:17" ht="18">
      <c r="D27" s="269"/>
      <c r="E27" s="376" t="s">
        <v>481</v>
      </c>
      <c r="F27" s="376"/>
      <c r="G27" s="376"/>
      <c r="H27" s="376"/>
      <c r="I27" s="376"/>
      <c r="J27" s="376"/>
      <c r="K27" s="376"/>
      <c r="L27" s="376"/>
      <c r="M27" s="376"/>
      <c r="N27" s="376"/>
      <c r="O27" s="275"/>
      <c r="P27" s="269"/>
      <c r="Q27" s="99"/>
    </row>
    <row r="28" spans="4:17" ht="18">
      <c r="D28" s="269"/>
      <c r="E28" s="377" t="s">
        <v>482</v>
      </c>
      <c r="F28" s="377"/>
      <c r="G28" s="377"/>
      <c r="H28" s="377"/>
      <c r="I28" s="377"/>
      <c r="J28" s="377"/>
      <c r="K28" s="377"/>
      <c r="L28" s="377"/>
      <c r="M28" s="377"/>
      <c r="N28" s="377"/>
      <c r="O28" s="276"/>
      <c r="P28" s="269"/>
      <c r="Q28" s="99"/>
    </row>
    <row r="29" spans="4:17" ht="70.95" customHeight="1">
      <c r="D29" s="269"/>
      <c r="E29" s="378" t="s">
        <v>483</v>
      </c>
      <c r="F29" s="378"/>
      <c r="G29" s="378"/>
      <c r="H29" s="378"/>
      <c r="I29" s="378"/>
      <c r="J29" s="378"/>
      <c r="K29" s="378"/>
      <c r="L29" s="378"/>
      <c r="M29" s="378"/>
      <c r="N29" s="378"/>
      <c r="O29" s="277"/>
      <c r="P29" s="269"/>
      <c r="Q29" s="99"/>
    </row>
    <row r="30" spans="4:17" ht="18" customHeight="1">
      <c r="D30" s="269"/>
      <c r="E30" s="278"/>
      <c r="F30" s="278"/>
      <c r="G30" s="278"/>
      <c r="H30" s="278"/>
      <c r="I30" s="278"/>
      <c r="J30" s="278"/>
      <c r="K30" s="278"/>
      <c r="L30" s="278"/>
      <c r="M30" s="278"/>
      <c r="N30" s="278"/>
      <c r="O30" s="278"/>
      <c r="P30" s="269"/>
      <c r="Q30" s="99"/>
    </row>
    <row r="31" spans="4:17" ht="39" customHeight="1">
      <c r="D31" s="269"/>
      <c r="E31" s="380" t="s">
        <v>484</v>
      </c>
      <c r="F31" s="380"/>
      <c r="G31" s="380"/>
      <c r="H31" s="380"/>
      <c r="I31" s="380"/>
      <c r="J31" s="380"/>
      <c r="K31" s="380"/>
      <c r="L31" s="380"/>
      <c r="M31" s="380"/>
      <c r="N31" s="380"/>
      <c r="O31" s="275"/>
      <c r="P31" s="269"/>
      <c r="Q31" s="99"/>
    </row>
    <row r="32" spans="4:17" ht="34.200000000000003" customHeight="1">
      <c r="D32" s="269"/>
      <c r="E32" s="381" t="s">
        <v>485</v>
      </c>
      <c r="F32" s="381"/>
      <c r="G32" s="381"/>
      <c r="H32" s="381"/>
      <c r="I32" s="381"/>
      <c r="J32" s="381"/>
      <c r="K32" s="381"/>
      <c r="L32" s="381"/>
      <c r="M32" s="381"/>
      <c r="N32" s="381"/>
      <c r="O32" s="259"/>
      <c r="P32" s="269"/>
      <c r="Q32" s="99"/>
    </row>
    <row r="33" spans="4:17" ht="18" customHeight="1">
      <c r="D33" s="269"/>
      <c r="E33" s="279"/>
      <c r="F33" s="279"/>
      <c r="G33" s="279"/>
      <c r="H33" s="279"/>
      <c r="I33" s="279"/>
      <c r="J33" s="279"/>
      <c r="K33" s="279"/>
      <c r="L33" s="279"/>
      <c r="M33" s="279"/>
      <c r="N33" s="279"/>
      <c r="O33" s="279"/>
      <c r="P33" s="269"/>
      <c r="Q33" s="99"/>
    </row>
    <row r="34" spans="4:17" ht="22.95" customHeight="1">
      <c r="D34" s="382" t="s">
        <v>486</v>
      </c>
      <c r="E34" s="382"/>
      <c r="F34" s="382"/>
      <c r="G34" s="382"/>
      <c r="H34" s="382"/>
      <c r="I34" s="382"/>
      <c r="J34" s="382"/>
      <c r="K34" s="382"/>
      <c r="L34" s="382"/>
      <c r="M34" s="382"/>
      <c r="N34" s="382"/>
      <c r="O34" s="382"/>
      <c r="P34" s="382"/>
      <c r="Q34" s="99"/>
    </row>
    <row r="35" spans="4:17" ht="78.900000000000006" customHeight="1">
      <c r="D35" s="99"/>
      <c r="E35" s="383"/>
      <c r="F35" s="384"/>
      <c r="G35" s="384"/>
      <c r="H35" s="384"/>
      <c r="I35" s="384"/>
      <c r="J35" s="384"/>
      <c r="K35" s="384"/>
      <c r="L35" s="384"/>
      <c r="M35" s="384"/>
      <c r="N35" s="385"/>
      <c r="O35" s="280"/>
      <c r="P35" s="99"/>
      <c r="Q35" s="99"/>
    </row>
    <row r="36" spans="4:17" ht="78.900000000000006" customHeight="1">
      <c r="D36" s="99"/>
      <c r="E36" s="386"/>
      <c r="F36" s="387"/>
      <c r="G36" s="387"/>
      <c r="H36" s="387"/>
      <c r="I36" s="387"/>
      <c r="J36" s="387"/>
      <c r="K36" s="387"/>
      <c r="L36" s="387"/>
      <c r="M36" s="387"/>
      <c r="N36" s="388"/>
      <c r="O36" s="280"/>
      <c r="P36" s="99"/>
      <c r="Q36" s="99"/>
    </row>
    <row r="37" spans="4:17">
      <c r="D37" s="99"/>
      <c r="E37" s="386"/>
      <c r="F37" s="387"/>
      <c r="G37" s="387"/>
      <c r="H37" s="387"/>
      <c r="I37" s="387"/>
      <c r="J37" s="387"/>
      <c r="K37" s="387"/>
      <c r="L37" s="387"/>
      <c r="M37" s="387"/>
      <c r="N37" s="388"/>
      <c r="O37" s="280"/>
      <c r="P37" s="99"/>
      <c r="Q37" s="99"/>
    </row>
    <row r="38" spans="4:17">
      <c r="D38" s="99"/>
      <c r="E38" s="386"/>
      <c r="F38" s="387"/>
      <c r="G38" s="387"/>
      <c r="H38" s="387"/>
      <c r="I38" s="387"/>
      <c r="J38" s="387"/>
      <c r="K38" s="387"/>
      <c r="L38" s="387"/>
      <c r="M38" s="387"/>
      <c r="N38" s="388"/>
      <c r="O38" s="280"/>
      <c r="P38" s="99"/>
      <c r="Q38" s="99"/>
    </row>
    <row r="39" spans="4:17">
      <c r="D39" s="99"/>
      <c r="E39" s="386"/>
      <c r="F39" s="387"/>
      <c r="G39" s="387"/>
      <c r="H39" s="387"/>
      <c r="I39" s="387"/>
      <c r="J39" s="387"/>
      <c r="K39" s="387"/>
      <c r="L39" s="387"/>
      <c r="M39" s="387"/>
      <c r="N39" s="388"/>
      <c r="O39" s="280"/>
      <c r="P39" s="99"/>
      <c r="Q39" s="99"/>
    </row>
    <row r="40" spans="4:17">
      <c r="D40" s="99"/>
      <c r="E40" s="389"/>
      <c r="F40" s="390"/>
      <c r="G40" s="390"/>
      <c r="H40" s="390"/>
      <c r="I40" s="390"/>
      <c r="J40" s="390"/>
      <c r="K40" s="390"/>
      <c r="L40" s="390"/>
      <c r="M40" s="390"/>
      <c r="N40" s="391"/>
      <c r="O40" s="280"/>
      <c r="P40" s="99"/>
      <c r="Q40" s="99"/>
    </row>
    <row r="41" spans="4:17">
      <c r="D41" s="99"/>
      <c r="E41" s="281"/>
      <c r="F41" s="280"/>
      <c r="G41" s="280"/>
      <c r="H41" s="280"/>
      <c r="I41" s="280"/>
      <c r="J41" s="280"/>
      <c r="K41" s="280"/>
      <c r="L41" s="280"/>
      <c r="M41" s="280"/>
      <c r="N41" s="282" t="s">
        <v>487</v>
      </c>
      <c r="O41" s="283"/>
      <c r="P41" s="99"/>
      <c r="Q41" s="99"/>
    </row>
    <row r="42" spans="4:17">
      <c r="D42" s="99"/>
      <c r="E42" s="280"/>
      <c r="F42" s="280"/>
      <c r="G42" s="280"/>
      <c r="H42" s="280"/>
      <c r="I42" s="280"/>
      <c r="J42" s="280"/>
      <c r="K42" s="280"/>
      <c r="L42" s="280"/>
      <c r="M42" s="280"/>
      <c r="N42" s="280"/>
      <c r="O42" s="280"/>
      <c r="P42" s="99"/>
      <c r="Q42" s="99"/>
    </row>
    <row r="43" spans="4:17">
      <c r="D43" s="99"/>
      <c r="E43" s="99"/>
      <c r="F43" s="99"/>
      <c r="G43" s="99"/>
      <c r="H43" s="99"/>
      <c r="I43" s="99"/>
      <c r="J43" s="99"/>
      <c r="K43" s="99"/>
      <c r="L43" s="99"/>
      <c r="M43" s="99"/>
      <c r="N43" s="99"/>
      <c r="O43" s="99"/>
      <c r="P43" s="99"/>
      <c r="Q43" s="99"/>
    </row>
    <row r="44" spans="4:17" ht="13.8">
      <c r="D44" s="99"/>
      <c r="E44" s="103"/>
      <c r="F44" s="99"/>
      <c r="G44" s="99"/>
      <c r="H44" s="99"/>
      <c r="I44" s="99"/>
      <c r="J44" s="99"/>
      <c r="K44" s="99"/>
      <c r="L44" s="99"/>
      <c r="M44" s="99"/>
      <c r="N44" s="99"/>
      <c r="O44" s="99"/>
      <c r="P44" s="99"/>
      <c r="Q44" s="99"/>
    </row>
    <row r="45" spans="4:17" ht="18" customHeight="1">
      <c r="D45" s="99"/>
      <c r="E45" s="284" t="s">
        <v>488</v>
      </c>
      <c r="G45" s="285"/>
      <c r="H45" s="285"/>
      <c r="I45" s="285"/>
      <c r="J45" s="285"/>
      <c r="K45" s="285"/>
      <c r="L45" s="285"/>
      <c r="M45" s="285"/>
      <c r="N45" s="285"/>
      <c r="O45" s="285"/>
      <c r="P45" s="99"/>
      <c r="Q45" s="99"/>
    </row>
    <row r="46" spans="4:17" ht="18" customHeight="1">
      <c r="D46" s="99"/>
      <c r="E46" s="104"/>
      <c r="F46" s="99"/>
      <c r="G46" s="99"/>
      <c r="H46" s="99"/>
      <c r="I46" s="99"/>
      <c r="J46" s="99"/>
      <c r="K46" s="99"/>
      <c r="L46" s="99"/>
      <c r="M46" s="99"/>
      <c r="N46" s="99"/>
      <c r="O46" s="99"/>
      <c r="P46" s="99"/>
      <c r="Q46" s="99"/>
    </row>
    <row r="47" spans="4:17" ht="18" customHeight="1">
      <c r="D47" s="99"/>
      <c r="E47" s="392" t="s">
        <v>489</v>
      </c>
      <c r="F47" s="392"/>
      <c r="G47" s="392"/>
      <c r="H47" s="392"/>
      <c r="I47" s="392"/>
      <c r="J47" s="392"/>
      <c r="K47" s="392"/>
      <c r="L47" s="392"/>
      <c r="M47" s="392"/>
      <c r="N47" s="392"/>
      <c r="O47" s="286"/>
      <c r="P47" s="287"/>
      <c r="Q47" s="99"/>
    </row>
    <row r="48" spans="4:17" ht="18" customHeight="1">
      <c r="D48" s="99"/>
      <c r="E48" s="372" t="s">
        <v>490</v>
      </c>
      <c r="F48" s="372"/>
      <c r="G48" s="372"/>
      <c r="H48" s="372"/>
      <c r="I48" s="372"/>
      <c r="J48" s="372"/>
      <c r="K48" s="372"/>
      <c r="L48" s="372"/>
      <c r="M48" s="372"/>
      <c r="N48" s="372"/>
      <c r="O48" s="288"/>
      <c r="P48" s="287"/>
      <c r="Q48" s="99"/>
    </row>
    <row r="49" spans="4:17" ht="18" customHeight="1">
      <c r="D49" s="99"/>
      <c r="E49" s="372" t="s">
        <v>491</v>
      </c>
      <c r="F49" s="372"/>
      <c r="G49" s="372"/>
      <c r="H49" s="372"/>
      <c r="I49" s="372"/>
      <c r="J49" s="372"/>
      <c r="K49" s="372"/>
      <c r="L49" s="372"/>
      <c r="M49" s="372"/>
      <c r="N49" s="372"/>
      <c r="O49" s="288"/>
      <c r="P49" s="287"/>
      <c r="Q49" s="99"/>
    </row>
    <row r="50" spans="4:17" ht="16.2">
      <c r="D50" s="99"/>
      <c r="E50" s="289"/>
      <c r="F50" s="290"/>
      <c r="G50" s="290"/>
      <c r="H50" s="290"/>
      <c r="I50" s="290"/>
      <c r="J50" s="290"/>
      <c r="K50" s="290"/>
      <c r="L50" s="290"/>
      <c r="M50" s="290"/>
      <c r="N50" s="290"/>
      <c r="O50" s="290"/>
      <c r="P50" s="287"/>
      <c r="Q50" s="99"/>
    </row>
    <row r="51" spans="4:17" ht="18" customHeight="1">
      <c r="D51" s="99"/>
      <c r="E51" s="372" t="s">
        <v>492</v>
      </c>
      <c r="F51" s="372"/>
      <c r="G51" s="372"/>
      <c r="H51" s="372"/>
      <c r="I51" s="372"/>
      <c r="J51" s="372"/>
      <c r="K51" s="372"/>
      <c r="L51" s="372"/>
      <c r="M51" s="372"/>
      <c r="N51" s="372"/>
      <c r="O51" s="288"/>
      <c r="P51" s="287"/>
      <c r="Q51" s="99"/>
    </row>
    <row r="52" spans="4:17" ht="18" customHeight="1">
      <c r="D52" s="99"/>
      <c r="E52" s="372" t="s">
        <v>493</v>
      </c>
      <c r="F52" s="372"/>
      <c r="G52" s="372"/>
      <c r="H52" s="372"/>
      <c r="I52" s="372"/>
      <c r="J52" s="372"/>
      <c r="K52" s="372"/>
      <c r="L52" s="372"/>
      <c r="M52" s="372"/>
      <c r="N52" s="372"/>
      <c r="O52" s="288"/>
      <c r="P52" s="287"/>
      <c r="Q52" s="99"/>
    </row>
    <row r="53" spans="4:17" ht="18" customHeight="1">
      <c r="D53" s="99"/>
      <c r="E53" s="372" t="s">
        <v>494</v>
      </c>
      <c r="F53" s="372"/>
      <c r="G53" s="372"/>
      <c r="H53" s="372"/>
      <c r="I53" s="372"/>
      <c r="J53" s="372"/>
      <c r="K53" s="372"/>
      <c r="L53" s="372"/>
      <c r="M53" s="372"/>
      <c r="N53" s="372"/>
      <c r="O53" s="288"/>
      <c r="P53" s="287"/>
      <c r="Q53" s="99"/>
    </row>
    <row r="54" spans="4:17" ht="16.2">
      <c r="D54" s="99"/>
      <c r="E54" s="289"/>
      <c r="F54" s="290"/>
      <c r="G54" s="290"/>
      <c r="H54" s="290"/>
      <c r="I54" s="290"/>
      <c r="J54" s="290"/>
      <c r="K54" s="290"/>
      <c r="L54" s="290"/>
      <c r="M54" s="290"/>
      <c r="N54" s="290"/>
      <c r="O54" s="290"/>
      <c r="P54" s="287"/>
      <c r="Q54" s="99"/>
    </row>
    <row r="55" spans="4:17" ht="18" customHeight="1">
      <c r="D55" s="99"/>
      <c r="E55" s="393" t="s">
        <v>495</v>
      </c>
      <c r="F55" s="393"/>
      <c r="G55" s="393"/>
      <c r="H55" s="393"/>
      <c r="I55" s="393"/>
      <c r="J55" s="393"/>
      <c r="K55" s="393"/>
      <c r="L55" s="393"/>
      <c r="M55" s="393"/>
      <c r="N55" s="393"/>
      <c r="O55" s="291"/>
      <c r="P55" s="287"/>
      <c r="Q55" s="99"/>
    </row>
    <row r="56" spans="4:17" ht="18" customHeight="1">
      <c r="D56" s="99"/>
      <c r="E56" s="379" t="s">
        <v>496</v>
      </c>
      <c r="F56" s="379"/>
      <c r="G56" s="379"/>
      <c r="H56" s="379"/>
      <c r="I56" s="379"/>
      <c r="J56" s="379"/>
      <c r="K56" s="379"/>
      <c r="L56" s="379"/>
      <c r="M56" s="379"/>
      <c r="N56" s="379"/>
      <c r="O56" s="292"/>
      <c r="P56" s="287"/>
      <c r="Q56" s="99"/>
    </row>
    <row r="57" spans="4:17" ht="18" customHeight="1">
      <c r="D57" s="99"/>
      <c r="E57" s="372" t="s">
        <v>497</v>
      </c>
      <c r="F57" s="372"/>
      <c r="G57" s="372"/>
      <c r="H57" s="372"/>
      <c r="I57" s="372"/>
      <c r="J57" s="372"/>
      <c r="K57" s="372"/>
      <c r="L57" s="372"/>
      <c r="M57" s="372"/>
      <c r="N57" s="372"/>
      <c r="O57" s="288"/>
      <c r="P57" s="287"/>
      <c r="Q57" s="99"/>
    </row>
    <row r="58" spans="4:17" ht="16.2">
      <c r="D58" s="99"/>
      <c r="E58" s="289"/>
      <c r="F58" s="290"/>
      <c r="G58" s="290"/>
      <c r="H58" s="290"/>
      <c r="I58" s="290"/>
      <c r="J58" s="290"/>
      <c r="K58" s="290"/>
      <c r="L58" s="290"/>
      <c r="M58" s="290"/>
      <c r="N58" s="290"/>
      <c r="O58" s="290"/>
      <c r="P58" s="287"/>
      <c r="Q58" s="99"/>
    </row>
    <row r="59" spans="4:17" ht="18" customHeight="1">
      <c r="D59" s="99"/>
      <c r="E59" s="372" t="s">
        <v>498</v>
      </c>
      <c r="F59" s="372"/>
      <c r="G59" s="372"/>
      <c r="H59" s="372"/>
      <c r="I59" s="372"/>
      <c r="J59" s="372"/>
      <c r="K59" s="372"/>
      <c r="L59" s="372"/>
      <c r="M59" s="372"/>
      <c r="N59" s="372"/>
      <c r="O59" s="288"/>
      <c r="P59" s="293"/>
      <c r="Q59" s="99"/>
    </row>
    <row r="60" spans="4:17" ht="18" customHeight="1">
      <c r="D60" s="99"/>
      <c r="E60" s="373" t="s">
        <v>499</v>
      </c>
      <c r="F60" s="373"/>
      <c r="G60" s="373"/>
      <c r="H60" s="373"/>
      <c r="I60" s="373"/>
      <c r="J60" s="373"/>
      <c r="K60" s="373"/>
      <c r="L60" s="373"/>
      <c r="M60" s="373"/>
      <c r="N60" s="373"/>
      <c r="O60" s="294"/>
      <c r="P60" s="287"/>
      <c r="Q60" s="99"/>
    </row>
    <row r="61" spans="4:17" ht="18" customHeight="1">
      <c r="D61" s="99"/>
      <c r="E61" s="372" t="s">
        <v>500</v>
      </c>
      <c r="F61" s="372"/>
      <c r="G61" s="372"/>
      <c r="H61" s="372"/>
      <c r="I61" s="372"/>
      <c r="J61" s="372"/>
      <c r="K61" s="372"/>
      <c r="L61" s="372"/>
      <c r="M61" s="372"/>
      <c r="N61" s="372"/>
      <c r="O61" s="288"/>
      <c r="P61" s="287"/>
      <c r="Q61" s="99"/>
    </row>
    <row r="62" spans="4:17" ht="18" customHeight="1">
      <c r="D62" s="99"/>
      <c r="E62" s="372" t="s">
        <v>501</v>
      </c>
      <c r="F62" s="372"/>
      <c r="G62" s="372"/>
      <c r="H62" s="372"/>
      <c r="I62" s="372"/>
      <c r="J62" s="372"/>
      <c r="K62" s="372"/>
      <c r="L62" s="372"/>
      <c r="M62" s="372"/>
      <c r="N62" s="372"/>
      <c r="O62" s="288"/>
      <c r="P62" s="287"/>
      <c r="Q62" s="99"/>
    </row>
    <row r="63" spans="4:17" ht="18" customHeight="1">
      <c r="D63" s="99"/>
      <c r="E63" s="372" t="s">
        <v>502</v>
      </c>
      <c r="F63" s="372"/>
      <c r="G63" s="372"/>
      <c r="H63" s="372"/>
      <c r="I63" s="372"/>
      <c r="J63" s="372"/>
      <c r="K63" s="372"/>
      <c r="L63" s="372"/>
      <c r="M63" s="372"/>
      <c r="N63" s="372"/>
      <c r="O63" s="288"/>
      <c r="P63" s="287"/>
      <c r="Q63" s="99"/>
    </row>
    <row r="64" spans="4:17" ht="18" customHeight="1">
      <c r="D64" s="99"/>
      <c r="E64" s="372" t="s">
        <v>503</v>
      </c>
      <c r="F64" s="372"/>
      <c r="G64" s="372"/>
      <c r="H64" s="372"/>
      <c r="I64" s="372"/>
      <c r="J64" s="372"/>
      <c r="K64" s="372"/>
      <c r="L64" s="372"/>
      <c r="M64" s="372"/>
      <c r="N64" s="372"/>
      <c r="O64" s="288"/>
      <c r="P64" s="287"/>
      <c r="Q64" s="99"/>
    </row>
    <row r="65" spans="4:17" ht="18" customHeight="1">
      <c r="D65" s="99"/>
      <c r="E65" s="372" t="s">
        <v>504</v>
      </c>
      <c r="F65" s="372"/>
      <c r="G65" s="372"/>
      <c r="H65" s="372"/>
      <c r="I65" s="372"/>
      <c r="J65" s="372"/>
      <c r="K65" s="372"/>
      <c r="L65" s="372"/>
      <c r="M65" s="372"/>
      <c r="N65" s="372"/>
      <c r="O65" s="288"/>
      <c r="P65" s="287"/>
      <c r="Q65" s="99"/>
    </row>
    <row r="66" spans="4:17" ht="18" customHeight="1">
      <c r="D66" s="99"/>
      <c r="E66" s="372" t="s">
        <v>505</v>
      </c>
      <c r="F66" s="372"/>
      <c r="G66" s="372"/>
      <c r="H66" s="372"/>
      <c r="I66" s="372"/>
      <c r="J66" s="372"/>
      <c r="K66" s="372"/>
      <c r="L66" s="372"/>
      <c r="M66" s="372"/>
      <c r="N66" s="372"/>
      <c r="O66" s="288"/>
      <c r="P66" s="287"/>
      <c r="Q66" s="99"/>
    </row>
    <row r="67" spans="4:17" ht="18" customHeight="1">
      <c r="D67" s="99"/>
      <c r="E67" s="289"/>
      <c r="F67" s="290"/>
      <c r="G67" s="290"/>
      <c r="H67" s="290"/>
      <c r="I67" s="290"/>
      <c r="J67" s="290"/>
      <c r="K67" s="290"/>
      <c r="L67" s="290"/>
      <c r="M67" s="290"/>
      <c r="N67" s="290"/>
      <c r="O67" s="290"/>
      <c r="P67" s="287"/>
      <c r="Q67" s="99"/>
    </row>
    <row r="68" spans="4:17" ht="18" customHeight="1">
      <c r="D68" s="99"/>
      <c r="E68" s="372" t="s">
        <v>506</v>
      </c>
      <c r="F68" s="372"/>
      <c r="G68" s="372"/>
      <c r="H68" s="372"/>
      <c r="I68" s="372"/>
      <c r="J68" s="372"/>
      <c r="K68" s="372"/>
      <c r="L68" s="372"/>
      <c r="M68" s="372"/>
      <c r="N68" s="372"/>
      <c r="O68" s="288"/>
      <c r="P68" s="287"/>
      <c r="Q68" s="99"/>
    </row>
    <row r="69" spans="4:17" ht="15.6" customHeight="1">
      <c r="D69" s="99"/>
      <c r="E69" s="289"/>
      <c r="F69" s="290"/>
      <c r="G69" s="290"/>
      <c r="H69" s="290"/>
      <c r="I69" s="290"/>
      <c r="J69" s="290"/>
      <c r="K69" s="290"/>
      <c r="L69" s="290"/>
      <c r="M69" s="290"/>
      <c r="N69" s="290"/>
      <c r="O69" s="290"/>
      <c r="P69" s="287"/>
      <c r="Q69" s="99"/>
    </row>
    <row r="70" spans="4:17" ht="18" customHeight="1">
      <c r="D70" s="99"/>
      <c r="E70" s="372" t="s">
        <v>507</v>
      </c>
      <c r="F70" s="372"/>
      <c r="G70" s="372"/>
      <c r="H70" s="372"/>
      <c r="I70" s="372"/>
      <c r="J70" s="372"/>
      <c r="K70" s="372"/>
      <c r="L70" s="372"/>
      <c r="M70" s="372"/>
      <c r="N70" s="372"/>
      <c r="O70" s="288"/>
      <c r="P70" s="287"/>
      <c r="Q70" s="99"/>
    </row>
    <row r="71" spans="4:17" ht="18" customHeight="1">
      <c r="D71" s="99"/>
      <c r="E71" s="372" t="s">
        <v>508</v>
      </c>
      <c r="F71" s="372"/>
      <c r="G71" s="372"/>
      <c r="H71" s="372"/>
      <c r="I71" s="372"/>
      <c r="J71" s="372"/>
      <c r="K71" s="372"/>
      <c r="L71" s="372"/>
      <c r="M71" s="372"/>
      <c r="N71" s="372"/>
      <c r="O71" s="288"/>
      <c r="P71" s="287"/>
      <c r="Q71" s="99"/>
    </row>
    <row r="72" spans="4:17" ht="16.2">
      <c r="D72" s="99"/>
      <c r="E72" s="289"/>
      <c r="F72" s="290"/>
      <c r="G72" s="290"/>
      <c r="H72" s="290"/>
      <c r="I72" s="290"/>
      <c r="J72" s="290"/>
      <c r="K72" s="290"/>
      <c r="L72" s="290"/>
      <c r="M72" s="290"/>
      <c r="N72" s="290"/>
      <c r="O72" s="290"/>
      <c r="P72" s="287"/>
      <c r="Q72" s="99"/>
    </row>
    <row r="73" spans="4:17" ht="18" customHeight="1">
      <c r="D73" s="99"/>
      <c r="E73" s="372" t="s">
        <v>509</v>
      </c>
      <c r="F73" s="372"/>
      <c r="G73" s="372"/>
      <c r="H73" s="372"/>
      <c r="I73" s="372"/>
      <c r="J73" s="372"/>
      <c r="K73" s="372"/>
      <c r="L73" s="372"/>
      <c r="M73" s="372"/>
      <c r="N73" s="372"/>
      <c r="O73" s="288"/>
      <c r="P73" s="287"/>
      <c r="Q73" s="99"/>
    </row>
    <row r="74" spans="4:17" ht="18" customHeight="1">
      <c r="D74" s="99"/>
      <c r="E74" s="372" t="s">
        <v>510</v>
      </c>
      <c r="F74" s="372"/>
      <c r="G74" s="372"/>
      <c r="H74" s="372"/>
      <c r="I74" s="372"/>
      <c r="J74" s="372"/>
      <c r="K74" s="372"/>
      <c r="L74" s="372"/>
      <c r="M74" s="372"/>
      <c r="N74" s="372"/>
      <c r="O74" s="288"/>
      <c r="P74" s="287"/>
      <c r="Q74" s="99"/>
    </row>
    <row r="75" spans="4:17" ht="18" customHeight="1">
      <c r="D75" s="99"/>
      <c r="E75" s="372" t="s">
        <v>511</v>
      </c>
      <c r="F75" s="372"/>
      <c r="G75" s="372"/>
      <c r="H75" s="372"/>
      <c r="I75" s="372"/>
      <c r="J75" s="372"/>
      <c r="K75" s="372"/>
      <c r="L75" s="372"/>
      <c r="M75" s="372"/>
      <c r="N75" s="372"/>
      <c r="O75" s="288"/>
      <c r="P75" s="287"/>
      <c r="Q75" s="99"/>
    </row>
    <row r="76" spans="4:17" ht="16.2">
      <c r="D76" s="99"/>
      <c r="E76" s="289"/>
      <c r="F76" s="290"/>
      <c r="G76" s="290"/>
      <c r="H76" s="290"/>
      <c r="I76" s="290"/>
      <c r="J76" s="290"/>
      <c r="K76" s="290"/>
      <c r="L76" s="290"/>
      <c r="M76" s="290"/>
      <c r="N76" s="290"/>
      <c r="O76" s="290"/>
      <c r="P76" s="287"/>
      <c r="Q76" s="99"/>
    </row>
    <row r="77" spans="4:17" ht="18" customHeight="1">
      <c r="D77" s="99"/>
      <c r="E77" s="372" t="s">
        <v>512</v>
      </c>
      <c r="F77" s="372"/>
      <c r="G77" s="372"/>
      <c r="H77" s="372"/>
      <c r="I77" s="372"/>
      <c r="J77" s="372"/>
      <c r="K77" s="372"/>
      <c r="L77" s="372"/>
      <c r="M77" s="372"/>
      <c r="N77" s="372"/>
      <c r="O77" s="288"/>
      <c r="P77" s="287"/>
      <c r="Q77" s="99"/>
    </row>
    <row r="78" spans="4:17" ht="18" customHeight="1">
      <c r="D78" s="99"/>
      <c r="E78" s="288"/>
      <c r="F78" s="288"/>
      <c r="G78" s="288"/>
      <c r="H78" s="288"/>
      <c r="I78" s="288"/>
      <c r="J78" s="288"/>
      <c r="K78" s="288"/>
      <c r="L78" s="288"/>
      <c r="M78" s="288"/>
      <c r="N78" s="288"/>
      <c r="O78" s="288"/>
      <c r="P78" s="287"/>
      <c r="Q78" s="99"/>
    </row>
    <row r="79" spans="4:17" ht="18" customHeight="1">
      <c r="D79" s="99"/>
      <c r="E79" s="288"/>
      <c r="F79" s="288"/>
      <c r="G79" s="288"/>
      <c r="H79" s="288"/>
      <c r="I79" s="288"/>
      <c r="J79" s="288"/>
      <c r="K79" s="288"/>
      <c r="L79" s="288"/>
      <c r="M79" s="288"/>
      <c r="N79" s="288"/>
      <c r="O79" s="288"/>
      <c r="P79" s="287"/>
      <c r="Q79" s="99"/>
    </row>
    <row r="80" spans="4:17" ht="18" customHeight="1">
      <c r="D80" s="99"/>
      <c r="E80" s="288"/>
      <c r="F80" s="288"/>
      <c r="G80" s="288"/>
      <c r="H80" s="288"/>
      <c r="I80" s="288"/>
      <c r="J80" s="288"/>
      <c r="K80" s="288"/>
      <c r="L80" s="288"/>
      <c r="M80" s="288"/>
      <c r="N80" s="288"/>
      <c r="O80" s="288"/>
      <c r="P80" s="287"/>
      <c r="Q80" s="99"/>
    </row>
    <row r="81" spans="4:17" ht="18" customHeight="1">
      <c r="D81" s="99"/>
      <c r="E81" s="288"/>
      <c r="F81" s="288"/>
      <c r="G81" s="288"/>
      <c r="H81" s="288"/>
      <c r="I81" s="288"/>
      <c r="J81" s="288"/>
      <c r="K81" s="288"/>
      <c r="L81" s="288"/>
      <c r="M81" s="288"/>
      <c r="N81" s="288"/>
      <c r="O81" s="288"/>
      <c r="P81" s="287"/>
      <c r="Q81" s="99"/>
    </row>
    <row r="82" spans="4:17" ht="16.8">
      <c r="D82" s="99"/>
      <c r="E82" s="295"/>
      <c r="F82" s="296"/>
      <c r="G82" s="296"/>
      <c r="H82" s="296"/>
      <c r="I82" s="296"/>
      <c r="J82" s="296"/>
      <c r="K82" s="296"/>
      <c r="L82" s="296"/>
      <c r="M82" s="296"/>
      <c r="N82" s="296"/>
      <c r="O82" s="296"/>
      <c r="P82" s="296"/>
      <c r="Q82" s="99"/>
    </row>
    <row r="83" spans="4:17" ht="17.399999999999999">
      <c r="D83" s="99"/>
      <c r="E83" s="105"/>
      <c r="F83" s="99"/>
      <c r="G83" s="99"/>
      <c r="H83" s="99"/>
      <c r="I83" s="99"/>
      <c r="J83" s="99"/>
      <c r="K83" s="99"/>
      <c r="L83" s="99"/>
      <c r="M83" s="99"/>
      <c r="N83" s="99"/>
      <c r="O83" s="99"/>
      <c r="P83" s="99"/>
      <c r="Q83" s="99"/>
    </row>
    <row r="84" spans="4:17" ht="17.399999999999999">
      <c r="D84" s="99"/>
      <c r="E84" s="105"/>
      <c r="F84" s="99"/>
      <c r="G84" s="99"/>
      <c r="H84" s="99"/>
      <c r="I84" s="99"/>
      <c r="J84" s="99"/>
      <c r="K84" s="99"/>
      <c r="L84" s="99"/>
      <c r="M84" s="99"/>
      <c r="N84" s="99"/>
      <c r="O84" s="99"/>
      <c r="P84" s="99"/>
      <c r="Q84" s="99"/>
    </row>
    <row r="85" spans="4:17" ht="17.399999999999999">
      <c r="D85" s="99"/>
      <c r="E85" s="105"/>
      <c r="F85" s="99"/>
      <c r="G85" s="99"/>
      <c r="H85" s="99"/>
      <c r="I85" s="99"/>
      <c r="J85" s="99"/>
      <c r="K85" s="99"/>
      <c r="L85" s="99"/>
      <c r="M85" s="99"/>
      <c r="N85" s="99"/>
      <c r="O85" s="99"/>
      <c r="P85" s="99"/>
      <c r="Q85" s="99"/>
    </row>
    <row r="86" spans="4:17">
      <c r="D86" s="99"/>
      <c r="E86" s="371" t="s">
        <v>246</v>
      </c>
      <c r="F86" s="371"/>
      <c r="G86" s="371"/>
      <c r="H86" s="371"/>
      <c r="I86" s="371"/>
      <c r="J86" s="371"/>
      <c r="K86" s="371"/>
      <c r="L86" s="371"/>
      <c r="M86" s="371"/>
      <c r="N86" s="371"/>
      <c r="O86" s="297"/>
      <c r="P86" s="99"/>
      <c r="Q86" s="99"/>
    </row>
  </sheetData>
  <mergeCells count="64">
    <mergeCell ref="E21:P21"/>
    <mergeCell ref="G12:I12"/>
    <mergeCell ref="E2:N2"/>
    <mergeCell ref="E3:N3"/>
    <mergeCell ref="E4:N4"/>
    <mergeCell ref="E5:N5"/>
    <mergeCell ref="E6:F6"/>
    <mergeCell ref="J6:L6"/>
    <mergeCell ref="M6:N6"/>
    <mergeCell ref="J7:L7"/>
    <mergeCell ref="J8:L8"/>
    <mergeCell ref="I9:N9"/>
    <mergeCell ref="E10:N10"/>
    <mergeCell ref="G11:I11"/>
    <mergeCell ref="M7:N7"/>
    <mergeCell ref="M8:N8"/>
    <mergeCell ref="N18:N19"/>
    <mergeCell ref="E13:F13"/>
    <mergeCell ref="G13:I13"/>
    <mergeCell ref="E16:E17"/>
    <mergeCell ref="G16:I16"/>
    <mergeCell ref="L16:M17"/>
    <mergeCell ref="N16:N17"/>
    <mergeCell ref="G17:I17"/>
    <mergeCell ref="J17:K17"/>
    <mergeCell ref="E18:E19"/>
    <mergeCell ref="F18:F19"/>
    <mergeCell ref="G18:I19"/>
    <mergeCell ref="J18:K19"/>
    <mergeCell ref="L18:M19"/>
    <mergeCell ref="E68:N68"/>
    <mergeCell ref="E56:N56"/>
    <mergeCell ref="E31:N31"/>
    <mergeCell ref="E32:N32"/>
    <mergeCell ref="D34:P34"/>
    <mergeCell ref="E35:N40"/>
    <mergeCell ref="E47:N47"/>
    <mergeCell ref="E49:N49"/>
    <mergeCell ref="E51:N51"/>
    <mergeCell ref="E52:N52"/>
    <mergeCell ref="E53:N53"/>
    <mergeCell ref="E55:N55"/>
    <mergeCell ref="E66:N66"/>
    <mergeCell ref="E23:N23"/>
    <mergeCell ref="E25:N25"/>
    <mergeCell ref="E27:N27"/>
    <mergeCell ref="E28:N28"/>
    <mergeCell ref="E29:N29"/>
    <mergeCell ref="E86:N86"/>
    <mergeCell ref="E48:N48"/>
    <mergeCell ref="E73:N73"/>
    <mergeCell ref="E74:N74"/>
    <mergeCell ref="E75:N75"/>
    <mergeCell ref="E77:N77"/>
    <mergeCell ref="E70:N70"/>
    <mergeCell ref="E71:N71"/>
    <mergeCell ref="E57:N57"/>
    <mergeCell ref="E59:N59"/>
    <mergeCell ref="E60:N60"/>
    <mergeCell ref="E61:N61"/>
    <mergeCell ref="E62:N62"/>
    <mergeCell ref="E63:N63"/>
    <mergeCell ref="E64:N64"/>
    <mergeCell ref="E65:N65"/>
  </mergeCells>
  <phoneticPr fontId="2"/>
  <pageMargins left="0.51181102362204722" right="0.51181102362204722" top="0.35433070866141736" bottom="0.35433070866141736" header="0.11811023622047245" footer="0.11811023622047245"/>
  <pageSetup paperSize="9" scale="66" fitToHeight="0" orientation="portrait" verticalDpi="360" r:id="rId1"/>
  <rowBreaks count="1" manualBreakCount="1">
    <brk id="42" min="4" max="1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9"/>
  </sheetPr>
  <dimension ref="A2:R201"/>
  <sheetViews>
    <sheetView view="pageBreakPreview" zoomScaleNormal="100" zoomScaleSheetLayoutView="100" workbookViewId="0">
      <selection activeCell="A2" sqref="A2"/>
    </sheetView>
  </sheetViews>
  <sheetFormatPr defaultColWidth="9" defaultRowHeight="13.2"/>
  <cols>
    <col min="1" max="9" width="7.44140625" customWidth="1" collapsed="1"/>
    <col min="10" max="10" width="4.44140625" customWidth="1" collapsed="1"/>
    <col min="11" max="11" width="7.33203125" customWidth="1" collapsed="1"/>
    <col min="12" max="12" width="7.109375" style="1" customWidth="1" collapsed="1"/>
    <col min="13" max="13" width="5.21875" customWidth="1" collapsed="1"/>
    <col min="14" max="14" width="8.109375" customWidth="1" collapsed="1"/>
    <col min="15" max="15" width="2.6640625" customWidth="1" collapsed="1"/>
  </cols>
  <sheetData>
    <row r="2" spans="1:15" ht="30.75" customHeight="1">
      <c r="A2" s="8"/>
      <c r="B2" s="8"/>
      <c r="C2" s="8"/>
      <c r="D2" s="8"/>
      <c r="E2" s="8"/>
      <c r="F2" s="8"/>
      <c r="G2" s="8"/>
      <c r="H2" s="8"/>
      <c r="I2" s="494"/>
      <c r="J2" s="494"/>
      <c r="K2" s="494"/>
      <c r="L2" s="494"/>
      <c r="M2" s="494"/>
      <c r="N2" s="494"/>
      <c r="O2" s="494"/>
    </row>
    <row r="3" spans="1:15" s="97" customFormat="1" ht="24.75" customHeight="1">
      <c r="A3" s="511" t="s">
        <v>235</v>
      </c>
      <c r="B3" s="512"/>
      <c r="C3" s="512"/>
      <c r="D3" s="512"/>
      <c r="E3" s="512"/>
      <c r="F3" s="512"/>
      <c r="G3" s="512"/>
      <c r="H3" s="512"/>
      <c r="I3" s="512"/>
      <c r="J3" s="512"/>
      <c r="K3" s="512"/>
      <c r="L3" s="512"/>
      <c r="M3" s="512"/>
      <c r="N3" s="512"/>
      <c r="O3" s="512"/>
    </row>
    <row r="4" spans="1:15" ht="19.5" customHeight="1">
      <c r="A4" s="501" t="s">
        <v>0</v>
      </c>
      <c r="B4" s="502"/>
      <c r="C4" s="502"/>
      <c r="D4" s="502"/>
      <c r="E4" s="502"/>
      <c r="F4" s="502"/>
      <c r="G4" s="502"/>
      <c r="H4" s="502"/>
      <c r="I4" s="502"/>
      <c r="J4" s="502"/>
      <c r="K4" s="502"/>
      <c r="L4" s="502"/>
      <c r="M4" s="503" t="s">
        <v>78</v>
      </c>
      <c r="N4" s="504"/>
      <c r="O4" s="505"/>
    </row>
    <row r="5" spans="1:15" ht="23.25" customHeight="1">
      <c r="A5" s="40" t="s">
        <v>124</v>
      </c>
      <c r="B5" s="41"/>
      <c r="C5" s="509">
        <f>dataSheet!H2</f>
        <v>0</v>
      </c>
      <c r="D5" s="509"/>
      <c r="E5" s="509"/>
      <c r="F5" s="509"/>
      <c r="G5" s="42" t="s">
        <v>73</v>
      </c>
      <c r="H5" s="299"/>
      <c r="I5" s="299"/>
      <c r="J5" s="299"/>
      <c r="K5" s="299"/>
      <c r="L5" s="300"/>
      <c r="M5" s="506" t="s">
        <v>1</v>
      </c>
      <c r="N5" s="507"/>
      <c r="O5" s="508"/>
    </row>
    <row r="6" spans="1:15" ht="23.25" customHeight="1">
      <c r="A6" s="40" t="s">
        <v>125</v>
      </c>
      <c r="B6" s="41"/>
      <c r="C6" s="41"/>
      <c r="D6" s="509">
        <f>dataSheet!H2</f>
        <v>0</v>
      </c>
      <c r="E6" s="509"/>
      <c r="F6" s="509"/>
      <c r="G6" s="509"/>
      <c r="H6" s="509"/>
      <c r="I6" s="509"/>
      <c r="J6" s="509"/>
      <c r="K6" s="509"/>
      <c r="L6" s="510"/>
      <c r="M6" s="65" t="s">
        <v>87</v>
      </c>
      <c r="N6" s="66"/>
      <c r="O6" s="64"/>
    </row>
    <row r="7" spans="1:15" ht="18" customHeight="1">
      <c r="A7" s="43" t="s">
        <v>126</v>
      </c>
      <c r="B7" s="44"/>
      <c r="C7" s="44"/>
      <c r="D7" s="44"/>
      <c r="E7" s="444"/>
      <c r="F7" s="444"/>
      <c r="G7" s="444"/>
      <c r="H7" s="444"/>
      <c r="I7" s="444"/>
      <c r="J7" s="444"/>
      <c r="K7" s="444"/>
      <c r="L7" s="445"/>
      <c r="M7" s="65"/>
      <c r="N7" s="68"/>
      <c r="O7" s="67"/>
    </row>
    <row r="8" spans="1:15" ht="8.25" customHeight="1">
      <c r="A8" s="45"/>
      <c r="B8" s="46"/>
      <c r="C8" s="46"/>
      <c r="D8" s="46"/>
      <c r="E8" s="46"/>
      <c r="F8" s="46"/>
      <c r="G8" s="46"/>
      <c r="H8" s="46"/>
      <c r="I8" s="46"/>
      <c r="J8" s="46"/>
      <c r="K8" s="46"/>
      <c r="L8" s="47"/>
      <c r="M8" s="534"/>
      <c r="N8" s="535"/>
      <c r="O8" s="536"/>
    </row>
    <row r="9" spans="1:15" s="4" customFormat="1" ht="30" customHeight="1">
      <c r="A9" s="537" t="s">
        <v>127</v>
      </c>
      <c r="B9" s="538"/>
      <c r="C9" s="538"/>
      <c r="D9" s="538"/>
      <c r="E9" s="538"/>
      <c r="F9" s="538"/>
      <c r="G9" s="538"/>
      <c r="H9" s="538"/>
      <c r="I9" s="538"/>
      <c r="J9" s="538"/>
      <c r="K9" s="538"/>
      <c r="L9" s="539"/>
      <c r="M9" s="48"/>
      <c r="N9" s="49"/>
      <c r="O9" s="50"/>
    </row>
    <row r="10" spans="1:15" ht="6" customHeight="1">
      <c r="A10" s="51"/>
      <c r="B10" s="52"/>
      <c r="C10" s="52"/>
      <c r="D10" s="52"/>
      <c r="E10" s="52"/>
      <c r="F10" s="52"/>
      <c r="G10" s="52"/>
      <c r="H10" s="52"/>
      <c r="I10" s="52"/>
      <c r="J10" s="52"/>
      <c r="K10" s="52"/>
      <c r="L10" s="53"/>
      <c r="M10" s="48"/>
      <c r="N10" s="49"/>
      <c r="O10" s="50"/>
    </row>
    <row r="11" spans="1:15" ht="29.25" customHeight="1">
      <c r="A11" s="520" t="s">
        <v>128</v>
      </c>
      <c r="B11" s="521"/>
      <c r="C11" s="521"/>
      <c r="D11" s="521"/>
      <c r="E11" s="521"/>
      <c r="F11" s="521"/>
      <c r="G11" s="521"/>
      <c r="H11" s="521"/>
      <c r="I11" s="521"/>
      <c r="J11" s="521"/>
      <c r="K11" s="521"/>
      <c r="L11" s="522"/>
      <c r="M11" s="446" t="s">
        <v>121</v>
      </c>
      <c r="N11" s="447"/>
      <c r="O11" s="448"/>
    </row>
    <row r="12" spans="1:15" ht="32.25" customHeight="1">
      <c r="A12" s="523"/>
      <c r="B12" s="524"/>
      <c r="C12" s="524"/>
      <c r="D12" s="524"/>
      <c r="E12" s="524"/>
      <c r="F12" s="524"/>
      <c r="G12" s="524"/>
      <c r="H12" s="524"/>
      <c r="I12" s="524"/>
      <c r="J12" s="524"/>
      <c r="K12" s="524"/>
      <c r="L12" s="525"/>
      <c r="M12" s="526"/>
      <c r="N12" s="527"/>
      <c r="O12" s="528"/>
    </row>
    <row r="13" spans="1:15" ht="23.25" customHeight="1">
      <c r="A13" s="517" t="s">
        <v>129</v>
      </c>
      <c r="B13" s="518"/>
      <c r="C13" s="518"/>
      <c r="D13" s="518"/>
      <c r="E13" s="518"/>
      <c r="F13" s="518"/>
      <c r="G13" s="518"/>
      <c r="H13" s="518"/>
      <c r="I13" s="518"/>
      <c r="J13" s="518"/>
      <c r="K13" s="518"/>
      <c r="L13" s="519"/>
      <c r="M13" s="529" t="s">
        <v>123</v>
      </c>
      <c r="N13" s="518"/>
      <c r="O13" s="519"/>
    </row>
    <row r="14" spans="1:15" ht="21" customHeight="1">
      <c r="A14" s="520"/>
      <c r="B14" s="521"/>
      <c r="C14" s="521"/>
      <c r="D14" s="521"/>
      <c r="E14" s="521"/>
      <c r="F14" s="521"/>
      <c r="G14" s="521"/>
      <c r="H14" s="521"/>
      <c r="I14" s="521"/>
      <c r="J14" s="521"/>
      <c r="K14" s="521"/>
      <c r="L14" s="522"/>
      <c r="M14" s="520"/>
      <c r="N14" s="521"/>
      <c r="O14" s="522"/>
    </row>
    <row r="15" spans="1:15" ht="42.75" customHeight="1">
      <c r="A15" s="520"/>
      <c r="B15" s="521"/>
      <c r="C15" s="521"/>
      <c r="D15" s="521"/>
      <c r="E15" s="521"/>
      <c r="F15" s="521"/>
      <c r="G15" s="521"/>
      <c r="H15" s="521"/>
      <c r="I15" s="521"/>
      <c r="J15" s="521"/>
      <c r="K15" s="521"/>
      <c r="L15" s="522"/>
      <c r="M15" s="446" t="s">
        <v>122</v>
      </c>
      <c r="N15" s="447"/>
      <c r="O15" s="448"/>
    </row>
    <row r="16" spans="1:15" ht="2.25" customHeight="1">
      <c r="A16" s="54"/>
      <c r="B16" s="55"/>
      <c r="C16" s="55"/>
      <c r="D16" s="55"/>
      <c r="E16" s="55"/>
      <c r="F16" s="55"/>
      <c r="G16" s="55"/>
      <c r="H16" s="55"/>
      <c r="I16" s="55"/>
      <c r="J16" s="55"/>
      <c r="K16" s="55"/>
      <c r="L16" s="56"/>
      <c r="M16" s="526"/>
      <c r="N16" s="527"/>
      <c r="O16" s="528"/>
    </row>
    <row r="17" spans="1:15" ht="18" customHeight="1">
      <c r="A17" s="517" t="s">
        <v>130</v>
      </c>
      <c r="B17" s="518"/>
      <c r="C17" s="518"/>
      <c r="D17" s="518"/>
      <c r="E17" s="518"/>
      <c r="F17" s="518"/>
      <c r="G17" s="518"/>
      <c r="H17" s="518"/>
      <c r="I17" s="518"/>
      <c r="J17" s="518"/>
      <c r="K17" s="518"/>
      <c r="L17" s="519"/>
      <c r="M17" s="48"/>
      <c r="N17" s="49"/>
      <c r="O17" s="50"/>
    </row>
    <row r="18" spans="1:15" ht="26.25" customHeight="1">
      <c r="A18" s="520"/>
      <c r="B18" s="521"/>
      <c r="C18" s="521"/>
      <c r="D18" s="521"/>
      <c r="E18" s="521"/>
      <c r="F18" s="521"/>
      <c r="G18" s="521"/>
      <c r="H18" s="521"/>
      <c r="I18" s="521"/>
      <c r="J18" s="521"/>
      <c r="K18" s="521"/>
      <c r="L18" s="522"/>
      <c r="M18" s="48"/>
      <c r="N18" s="49"/>
      <c r="O18" s="50"/>
    </row>
    <row r="19" spans="1:15" ht="2.25" customHeight="1">
      <c r="A19" s="48"/>
      <c r="B19" s="49"/>
      <c r="C19" s="49"/>
      <c r="D19" s="49"/>
      <c r="E19" s="49"/>
      <c r="F19" s="49"/>
      <c r="G19" s="49"/>
      <c r="H19" s="49"/>
      <c r="I19" s="49"/>
      <c r="J19" s="49"/>
      <c r="K19" s="49"/>
      <c r="L19" s="53"/>
      <c r="M19" s="48"/>
      <c r="N19" s="49"/>
      <c r="O19" s="50"/>
    </row>
    <row r="20" spans="1:15" ht="18" customHeight="1">
      <c r="A20" s="520" t="s">
        <v>131</v>
      </c>
      <c r="B20" s="521"/>
      <c r="C20" s="521"/>
      <c r="D20" s="521"/>
      <c r="E20" s="521"/>
      <c r="F20" s="521"/>
      <c r="G20" s="521"/>
      <c r="H20" s="521"/>
      <c r="I20" s="521"/>
      <c r="J20" s="521"/>
      <c r="K20" s="521"/>
      <c r="L20" s="522"/>
      <c r="M20" s="48"/>
      <c r="N20" s="49"/>
      <c r="O20" s="50"/>
    </row>
    <row r="21" spans="1:15" ht="39" customHeight="1">
      <c r="A21" s="520"/>
      <c r="B21" s="521"/>
      <c r="C21" s="521"/>
      <c r="D21" s="521"/>
      <c r="E21" s="521"/>
      <c r="F21" s="521"/>
      <c r="G21" s="521"/>
      <c r="H21" s="521"/>
      <c r="I21" s="521"/>
      <c r="J21" s="521"/>
      <c r="K21" s="521"/>
      <c r="L21" s="522"/>
      <c r="M21" s="48"/>
      <c r="N21" s="49"/>
      <c r="O21" s="50"/>
    </row>
    <row r="22" spans="1:15" ht="18" customHeight="1">
      <c r="A22" s="520" t="s">
        <v>132</v>
      </c>
      <c r="B22" s="521"/>
      <c r="C22" s="521"/>
      <c r="D22" s="521"/>
      <c r="E22" s="521"/>
      <c r="F22" s="521"/>
      <c r="G22" s="521"/>
      <c r="H22" s="521"/>
      <c r="I22" s="521"/>
      <c r="J22" s="521"/>
      <c r="K22" s="521"/>
      <c r="L22" s="522"/>
      <c r="M22" s="520" t="s">
        <v>145</v>
      </c>
      <c r="N22" s="521"/>
      <c r="O22" s="522"/>
    </row>
    <row r="23" spans="1:15" ht="27" customHeight="1">
      <c r="A23" s="520"/>
      <c r="B23" s="521"/>
      <c r="C23" s="521"/>
      <c r="D23" s="521"/>
      <c r="E23" s="521"/>
      <c r="F23" s="521"/>
      <c r="G23" s="521"/>
      <c r="H23" s="521"/>
      <c r="I23" s="521"/>
      <c r="J23" s="521"/>
      <c r="K23" s="521"/>
      <c r="L23" s="522"/>
      <c r="M23" s="520"/>
      <c r="N23" s="521"/>
      <c r="O23" s="522"/>
    </row>
    <row r="24" spans="1:15" ht="27" customHeight="1">
      <c r="A24" s="520" t="s">
        <v>133</v>
      </c>
      <c r="B24" s="521"/>
      <c r="C24" s="521"/>
      <c r="D24" s="521"/>
      <c r="E24" s="521"/>
      <c r="F24" s="521"/>
      <c r="G24" s="521"/>
      <c r="H24" s="521"/>
      <c r="I24" s="521"/>
      <c r="J24" s="521"/>
      <c r="K24" s="521"/>
      <c r="L24" s="522"/>
      <c r="M24" s="446" t="s">
        <v>144</v>
      </c>
      <c r="N24" s="447"/>
      <c r="O24" s="448"/>
    </row>
    <row r="25" spans="1:15" ht="27" customHeight="1">
      <c r="A25" s="520" t="s">
        <v>134</v>
      </c>
      <c r="B25" s="521"/>
      <c r="C25" s="521"/>
      <c r="D25" s="521"/>
      <c r="E25" s="521"/>
      <c r="F25" s="521"/>
      <c r="G25" s="521"/>
      <c r="H25" s="521"/>
      <c r="I25" s="521"/>
      <c r="J25" s="521"/>
      <c r="K25" s="521"/>
      <c r="L25" s="522"/>
      <c r="M25" s="81"/>
      <c r="N25" s="82"/>
      <c r="O25" s="83"/>
    </row>
    <row r="26" spans="1:15" ht="27" customHeight="1">
      <c r="A26" s="520" t="s">
        <v>135</v>
      </c>
      <c r="B26" s="521"/>
      <c r="C26" s="521"/>
      <c r="D26" s="521"/>
      <c r="E26" s="521"/>
      <c r="F26" s="521"/>
      <c r="G26" s="521"/>
      <c r="H26" s="521"/>
      <c r="I26" s="521"/>
      <c r="J26" s="521"/>
      <c r="K26" s="521"/>
      <c r="L26" s="522"/>
      <c r="M26" s="81"/>
      <c r="N26" s="82"/>
      <c r="O26" s="83"/>
    </row>
    <row r="27" spans="1:15" ht="19.5" customHeight="1">
      <c r="A27" s="520" t="s">
        <v>136</v>
      </c>
      <c r="B27" s="521"/>
      <c r="C27" s="521"/>
      <c r="D27" s="521"/>
      <c r="E27" s="521"/>
      <c r="F27" s="521"/>
      <c r="G27" s="521"/>
      <c r="H27" s="521"/>
      <c r="I27" s="521"/>
      <c r="J27" s="521"/>
      <c r="K27" s="521"/>
      <c r="L27" s="522"/>
      <c r="M27" s="81"/>
      <c r="N27" s="82"/>
      <c r="O27" s="83"/>
    </row>
    <row r="28" spans="1:15" ht="18" customHeight="1">
      <c r="A28" s="520" t="s">
        <v>137</v>
      </c>
      <c r="B28" s="521"/>
      <c r="C28" s="521"/>
      <c r="D28" s="521"/>
      <c r="E28" s="521"/>
      <c r="F28" s="521"/>
      <c r="G28" s="521"/>
      <c r="H28" s="521"/>
      <c r="I28" s="521"/>
      <c r="J28" s="521"/>
      <c r="K28" s="521"/>
      <c r="L28" s="522"/>
      <c r="M28" s="48"/>
      <c r="N28" s="49"/>
      <c r="O28" s="50"/>
    </row>
    <row r="29" spans="1:15" ht="13.5" customHeight="1">
      <c r="A29" s="520"/>
      <c r="B29" s="521"/>
      <c r="C29" s="521"/>
      <c r="D29" s="521"/>
      <c r="E29" s="521"/>
      <c r="F29" s="521"/>
      <c r="G29" s="521"/>
      <c r="H29" s="521"/>
      <c r="I29" s="521"/>
      <c r="J29" s="521"/>
      <c r="K29" s="521"/>
      <c r="L29" s="522"/>
      <c r="M29" s="81"/>
      <c r="N29" s="82"/>
      <c r="O29" s="83"/>
    </row>
    <row r="30" spans="1:15" ht="18" customHeight="1">
      <c r="A30" s="520" t="s">
        <v>138</v>
      </c>
      <c r="B30" s="533"/>
      <c r="C30" s="533"/>
      <c r="D30" s="533"/>
      <c r="E30" s="533"/>
      <c r="F30" s="533"/>
      <c r="G30" s="533"/>
      <c r="H30" s="533"/>
      <c r="I30" s="533"/>
      <c r="J30" s="533"/>
      <c r="K30" s="533"/>
      <c r="L30" s="522"/>
      <c r="M30" s="48"/>
      <c r="N30" s="49"/>
      <c r="O30" s="50"/>
    </row>
    <row r="31" spans="1:15" ht="18" customHeight="1">
      <c r="A31" s="517" t="s">
        <v>139</v>
      </c>
      <c r="B31" s="518"/>
      <c r="C31" s="518"/>
      <c r="D31" s="518"/>
      <c r="E31" s="518"/>
      <c r="F31" s="518"/>
      <c r="G31" s="518"/>
      <c r="H31" s="518"/>
      <c r="I31" s="518"/>
      <c r="J31" s="518"/>
      <c r="K31" s="518"/>
      <c r="L31" s="519"/>
      <c r="M31" s="90"/>
      <c r="N31" s="91"/>
      <c r="O31" s="92"/>
    </row>
    <row r="32" spans="1:15" ht="18" customHeight="1">
      <c r="A32" s="520"/>
      <c r="B32" s="521"/>
      <c r="C32" s="521"/>
      <c r="D32" s="521"/>
      <c r="E32" s="521"/>
      <c r="F32" s="521"/>
      <c r="G32" s="521"/>
      <c r="H32" s="521"/>
      <c r="I32" s="521"/>
      <c r="J32" s="521"/>
      <c r="K32" s="521"/>
      <c r="L32" s="522"/>
      <c r="M32" s="81"/>
      <c r="N32" s="82"/>
      <c r="O32" s="83"/>
    </row>
    <row r="33" spans="1:15" ht="2.25" customHeight="1">
      <c r="A33" s="51"/>
      <c r="B33" s="52"/>
      <c r="C33" s="52"/>
      <c r="D33" s="52"/>
      <c r="E33" s="52"/>
      <c r="F33" s="52"/>
      <c r="G33" s="52"/>
      <c r="H33" s="52"/>
      <c r="I33" s="52"/>
      <c r="J33" s="52"/>
      <c r="K33" s="52"/>
      <c r="L33" s="53"/>
      <c r="M33" s="81"/>
      <c r="N33" s="82"/>
      <c r="O33" s="83"/>
    </row>
    <row r="34" spans="1:15" ht="17.25" customHeight="1">
      <c r="A34" s="520" t="s">
        <v>140</v>
      </c>
      <c r="B34" s="521"/>
      <c r="C34" s="521"/>
      <c r="D34" s="521"/>
      <c r="E34" s="521"/>
      <c r="F34" s="521"/>
      <c r="G34" s="521"/>
      <c r="H34" s="521"/>
      <c r="I34" s="521"/>
      <c r="J34" s="521"/>
      <c r="K34" s="521"/>
      <c r="L34" s="522"/>
      <c r="M34" s="544" t="s">
        <v>146</v>
      </c>
      <c r="N34" s="545"/>
      <c r="O34" s="546"/>
    </row>
    <row r="35" spans="1:15" ht="15" customHeight="1">
      <c r="A35" s="520"/>
      <c r="B35" s="521"/>
      <c r="C35" s="521"/>
      <c r="D35" s="521"/>
      <c r="E35" s="521"/>
      <c r="F35" s="521"/>
      <c r="G35" s="521"/>
      <c r="H35" s="521"/>
      <c r="I35" s="521"/>
      <c r="J35" s="521"/>
      <c r="K35" s="521"/>
      <c r="L35" s="522"/>
      <c r="M35" s="544"/>
      <c r="N35" s="545"/>
      <c r="O35" s="546"/>
    </row>
    <row r="36" spans="1:15" ht="2.25" customHeight="1">
      <c r="A36" s="51"/>
      <c r="B36" s="52"/>
      <c r="C36" s="52"/>
      <c r="D36" s="52"/>
      <c r="E36" s="52"/>
      <c r="F36" s="52"/>
      <c r="G36" s="52"/>
      <c r="H36" s="52"/>
      <c r="I36" s="52"/>
      <c r="J36" s="52"/>
      <c r="K36" s="52"/>
      <c r="L36" s="53"/>
      <c r="M36" s="81"/>
      <c r="N36" s="82"/>
      <c r="O36" s="83"/>
    </row>
    <row r="37" spans="1:15" ht="18" customHeight="1">
      <c r="A37" s="436" t="s">
        <v>141</v>
      </c>
      <c r="B37" s="437"/>
      <c r="C37" s="437"/>
      <c r="D37" s="437"/>
      <c r="E37" s="437"/>
      <c r="F37" s="437"/>
      <c r="G37" s="437"/>
      <c r="H37" s="437"/>
      <c r="I37" s="437"/>
      <c r="J37" s="437"/>
      <c r="K37" s="437"/>
      <c r="L37" s="438"/>
      <c r="M37" s="530" t="s">
        <v>144</v>
      </c>
      <c r="N37" s="531"/>
      <c r="O37" s="532"/>
    </row>
    <row r="38" spans="1:15" ht="2.25" customHeight="1">
      <c r="A38" s="513"/>
      <c r="B38" s="514"/>
      <c r="C38" s="514"/>
      <c r="D38" s="514"/>
      <c r="E38" s="514"/>
      <c r="F38" s="514"/>
      <c r="G38" s="514"/>
      <c r="H38" s="514"/>
      <c r="I38" s="514"/>
      <c r="J38" s="515"/>
      <c r="K38" s="515"/>
      <c r="L38" s="516"/>
      <c r="M38" s="530"/>
      <c r="N38" s="531"/>
      <c r="O38" s="532"/>
    </row>
    <row r="39" spans="1:15" ht="18" customHeight="1">
      <c r="A39" s="436" t="s">
        <v>142</v>
      </c>
      <c r="B39" s="437"/>
      <c r="C39" s="437"/>
      <c r="D39" s="437"/>
      <c r="E39" s="437"/>
      <c r="F39" s="437"/>
      <c r="G39" s="437"/>
      <c r="H39" s="437"/>
      <c r="I39" s="437"/>
      <c r="J39" s="437"/>
      <c r="K39" s="437"/>
      <c r="L39" s="438"/>
      <c r="M39" s="530"/>
      <c r="N39" s="531"/>
      <c r="O39" s="532"/>
    </row>
    <row r="40" spans="1:15" ht="2.25" customHeight="1">
      <c r="A40" s="436"/>
      <c r="B40" s="437"/>
      <c r="C40" s="437"/>
      <c r="D40" s="437"/>
      <c r="E40" s="437"/>
      <c r="F40" s="437"/>
      <c r="G40" s="89"/>
      <c r="H40" s="89"/>
      <c r="I40" s="89"/>
      <c r="J40" s="515"/>
      <c r="K40" s="515"/>
      <c r="L40" s="516"/>
      <c r="M40" s="81"/>
      <c r="N40" s="82"/>
      <c r="O40" s="83"/>
    </row>
    <row r="41" spans="1:15" ht="15" customHeight="1">
      <c r="A41" s="436" t="s">
        <v>143</v>
      </c>
      <c r="B41" s="437"/>
      <c r="C41" s="437"/>
      <c r="D41" s="437"/>
      <c r="E41" s="437"/>
      <c r="F41" s="437"/>
      <c r="G41" s="437"/>
      <c r="H41" s="437"/>
      <c r="I41" s="437"/>
      <c r="J41" s="437"/>
      <c r="K41" s="437"/>
      <c r="L41" s="438"/>
      <c r="M41" s="81"/>
      <c r="N41" s="84"/>
      <c r="O41" s="84"/>
    </row>
    <row r="42" spans="1:15" ht="15" customHeight="1">
      <c r="A42" s="439"/>
      <c r="B42" s="440"/>
      <c r="C42" s="440"/>
      <c r="D42" s="440"/>
      <c r="E42" s="440"/>
      <c r="F42" s="440"/>
      <c r="G42" s="440"/>
      <c r="H42" s="440"/>
      <c r="I42" s="440"/>
      <c r="J42" s="440"/>
      <c r="K42" s="440"/>
      <c r="L42" s="541"/>
      <c r="M42" s="58"/>
      <c r="N42" s="59"/>
      <c r="O42" s="60"/>
    </row>
    <row r="43" spans="1:15" ht="15" customHeight="1">
      <c r="A43" s="433" t="s">
        <v>147</v>
      </c>
      <c r="B43" s="434"/>
      <c r="C43" s="434"/>
      <c r="D43" s="434"/>
      <c r="E43" s="434"/>
      <c r="F43" s="434"/>
      <c r="G43" s="434"/>
      <c r="H43" s="434"/>
      <c r="I43" s="434"/>
      <c r="J43" s="434"/>
      <c r="K43" s="434"/>
      <c r="L43" s="435"/>
      <c r="M43" s="443" t="s">
        <v>149</v>
      </c>
      <c r="N43" s="444"/>
      <c r="O43" s="445"/>
    </row>
    <row r="44" spans="1:15" ht="15" customHeight="1">
      <c r="A44" s="436"/>
      <c r="B44" s="437"/>
      <c r="C44" s="437"/>
      <c r="D44" s="437"/>
      <c r="E44" s="437"/>
      <c r="F44" s="437"/>
      <c r="G44" s="437"/>
      <c r="H44" s="437"/>
      <c r="I44" s="437"/>
      <c r="J44" s="437"/>
      <c r="K44" s="437"/>
      <c r="L44" s="438"/>
      <c r="M44" s="81"/>
      <c r="N44" s="84"/>
      <c r="O44" s="83"/>
    </row>
    <row r="45" spans="1:15" ht="15" customHeight="1">
      <c r="A45" s="436" t="s">
        <v>236</v>
      </c>
      <c r="B45" s="437"/>
      <c r="C45" s="437"/>
      <c r="D45" s="437"/>
      <c r="E45" s="437"/>
      <c r="F45" s="437"/>
      <c r="G45" s="437"/>
      <c r="H45" s="437"/>
      <c r="I45" s="437"/>
      <c r="J45" s="437"/>
      <c r="K45" s="437"/>
      <c r="L45" s="438"/>
      <c r="M45" s="446" t="s">
        <v>149</v>
      </c>
      <c r="N45" s="447"/>
      <c r="O45" s="448"/>
    </row>
    <row r="46" spans="1:15" ht="15" customHeight="1">
      <c r="A46" s="436"/>
      <c r="B46" s="437"/>
      <c r="C46" s="437"/>
      <c r="D46" s="437"/>
      <c r="E46" s="437"/>
      <c r="F46" s="437"/>
      <c r="G46" s="437"/>
      <c r="H46" s="437"/>
      <c r="I46" s="437"/>
      <c r="J46" s="437"/>
      <c r="K46" s="437"/>
      <c r="L46" s="438"/>
      <c r="M46" s="81"/>
      <c r="N46" s="84"/>
      <c r="O46" s="83"/>
    </row>
    <row r="47" spans="1:15" ht="3.75" customHeight="1">
      <c r="A47" s="88"/>
      <c r="B47" s="89"/>
      <c r="C47" s="89"/>
      <c r="D47" s="89"/>
      <c r="E47" s="89"/>
      <c r="F47" s="89"/>
      <c r="G47" s="89"/>
      <c r="H47" s="89"/>
      <c r="I47" s="89"/>
      <c r="J47" s="89"/>
      <c r="K47" s="89"/>
      <c r="L47" s="94"/>
      <c r="M47" s="81"/>
      <c r="N47" s="84"/>
      <c r="O47" s="83"/>
    </row>
    <row r="48" spans="1:15" ht="18" customHeight="1">
      <c r="A48" s="436" t="s">
        <v>148</v>
      </c>
      <c r="B48" s="437"/>
      <c r="C48" s="437"/>
      <c r="D48" s="437"/>
      <c r="E48" s="437"/>
      <c r="F48" s="437"/>
      <c r="G48" s="437"/>
      <c r="H48" s="437"/>
      <c r="I48" s="437"/>
      <c r="J48" s="437"/>
      <c r="K48" s="437"/>
      <c r="L48" s="438"/>
      <c r="M48" s="446" t="s">
        <v>149</v>
      </c>
      <c r="N48" s="447"/>
      <c r="O48" s="448"/>
    </row>
    <row r="49" spans="1:15" ht="5.25" customHeight="1">
      <c r="A49" s="439"/>
      <c r="B49" s="440"/>
      <c r="C49" s="440"/>
      <c r="D49" s="440"/>
      <c r="E49" s="440"/>
      <c r="F49" s="440"/>
      <c r="G49" s="93"/>
      <c r="H49" s="93"/>
      <c r="I49" s="93"/>
      <c r="J49" s="441"/>
      <c r="K49" s="441"/>
      <c r="L49" s="442"/>
      <c r="M49" s="58"/>
      <c r="N49" s="59"/>
      <c r="O49" s="60"/>
    </row>
    <row r="50" spans="1:15" ht="15" customHeight="1">
      <c r="A50" s="89"/>
      <c r="B50" s="95"/>
      <c r="C50" s="95"/>
      <c r="D50" s="95"/>
      <c r="E50" s="95"/>
      <c r="F50" s="95"/>
      <c r="G50" s="89"/>
      <c r="H50" s="89"/>
      <c r="I50" s="89"/>
      <c r="J50" s="89"/>
      <c r="K50" s="89"/>
      <c r="L50" s="89"/>
      <c r="M50" s="84"/>
      <c r="N50" s="84"/>
      <c r="O50" s="84"/>
    </row>
    <row r="51" spans="1:15" ht="24.75" customHeight="1">
      <c r="A51" s="61"/>
      <c r="B51" s="540" t="s">
        <v>74</v>
      </c>
      <c r="C51" s="540"/>
      <c r="D51" s="540"/>
      <c r="E51" s="540"/>
      <c r="F51" s="540"/>
      <c r="G51" s="61"/>
      <c r="H51" s="61"/>
      <c r="I51" s="61"/>
      <c r="J51" s="76"/>
      <c r="K51" s="76"/>
      <c r="L51" s="76"/>
      <c r="M51" s="57"/>
      <c r="N51" s="57"/>
      <c r="O51" s="57"/>
    </row>
    <row r="52" spans="1:15" ht="27.75" customHeight="1">
      <c r="A52" s="61"/>
      <c r="B52" s="98"/>
      <c r="C52" s="98"/>
      <c r="D52" s="98"/>
      <c r="E52" s="98"/>
      <c r="F52" s="98"/>
      <c r="G52" s="61"/>
      <c r="H52" s="61"/>
      <c r="I52" s="61"/>
      <c r="J52" s="87"/>
      <c r="K52" s="87"/>
      <c r="L52" s="87"/>
      <c r="M52" s="85"/>
      <c r="N52" s="85"/>
      <c r="O52" s="85"/>
    </row>
    <row r="53" spans="1:15" ht="18" customHeight="1">
      <c r="A53" s="301" t="s">
        <v>97</v>
      </c>
      <c r="B53" s="301"/>
      <c r="C53" s="301"/>
      <c r="D53" s="10"/>
      <c r="E53" s="301">
        <f>dataSheet!D13</f>
        <v>0</v>
      </c>
      <c r="F53" s="10"/>
      <c r="G53" s="10" t="s">
        <v>11</v>
      </c>
      <c r="H53" s="10"/>
      <c r="I53" s="10"/>
      <c r="J53" s="37"/>
      <c r="K53" s="37"/>
      <c r="L53" s="36"/>
    </row>
    <row r="54" spans="1:15" ht="18" customHeight="1">
      <c r="A54" s="457" t="s">
        <v>3</v>
      </c>
      <c r="B54" s="457"/>
      <c r="C54" s="457"/>
      <c r="D54" s="457"/>
      <c r="E54" s="457"/>
      <c r="F54" s="457"/>
      <c r="G54" s="457"/>
      <c r="H54" s="457"/>
      <c r="I54" s="457"/>
      <c r="J54" s="37"/>
      <c r="K54" s="37"/>
      <c r="L54" s="36"/>
    </row>
    <row r="55" spans="1:15" s="8" customFormat="1" ht="21" customHeight="1">
      <c r="A55" s="456" t="s">
        <v>150</v>
      </c>
      <c r="B55" s="456"/>
      <c r="C55" s="456"/>
      <c r="D55" s="456"/>
      <c r="E55" s="456"/>
      <c r="F55" s="456"/>
      <c r="G55" s="456"/>
      <c r="H55" s="456"/>
      <c r="I55" s="456"/>
      <c r="J55" s="456"/>
      <c r="K55" s="456"/>
      <c r="L55" s="456"/>
      <c r="M55" s="456"/>
      <c r="N55" s="456"/>
      <c r="O55" s="456"/>
    </row>
    <row r="56" spans="1:15" ht="21" customHeight="1">
      <c r="A56" s="547" t="s">
        <v>75</v>
      </c>
      <c r="B56" s="547"/>
      <c r="C56" s="547"/>
      <c r="D56" s="547"/>
      <c r="E56" s="547"/>
      <c r="F56" s="547"/>
      <c r="G56" s="547"/>
      <c r="H56" s="547"/>
      <c r="I56" s="547"/>
      <c r="J56" s="547"/>
      <c r="K56" s="547"/>
      <c r="L56" s="547"/>
      <c r="M56" s="547"/>
      <c r="N56" s="547"/>
      <c r="O56" s="547"/>
    </row>
    <row r="57" spans="1:15" s="8" customFormat="1" ht="21" customHeight="1">
      <c r="A57" s="456" t="s">
        <v>76</v>
      </c>
      <c r="B57" s="456"/>
      <c r="C57" s="456"/>
      <c r="D57" s="456"/>
      <c r="E57" s="456"/>
      <c r="F57" s="456"/>
      <c r="G57" s="456"/>
      <c r="H57" s="456"/>
      <c r="I57" s="456"/>
      <c r="J57" s="456"/>
      <c r="K57" s="456"/>
      <c r="L57" s="456"/>
      <c r="M57" s="456"/>
      <c r="N57" s="456"/>
      <c r="O57" s="456"/>
    </row>
    <row r="58" spans="1:15" ht="21" customHeight="1">
      <c r="A58" s="542" t="s">
        <v>77</v>
      </c>
      <c r="B58" s="542"/>
      <c r="C58" s="542"/>
      <c r="D58" s="542"/>
      <c r="E58" s="542"/>
      <c r="F58" s="542"/>
      <c r="G58" s="542"/>
      <c r="H58" s="542"/>
      <c r="I58" s="542"/>
      <c r="J58" s="542"/>
      <c r="K58" s="542"/>
      <c r="L58" s="542"/>
      <c r="M58" s="542"/>
      <c r="N58" s="542"/>
      <c r="O58" s="542"/>
    </row>
    <row r="59" spans="1:15" ht="21" customHeight="1">
      <c r="A59" s="543" t="s">
        <v>120</v>
      </c>
      <c r="B59" s="543"/>
      <c r="C59" s="543"/>
      <c r="D59" s="543"/>
      <c r="E59" s="543"/>
      <c r="F59" s="543"/>
      <c r="G59" s="543"/>
      <c r="H59" s="543"/>
      <c r="I59" s="543"/>
      <c r="J59" s="543"/>
      <c r="K59" s="543"/>
      <c r="L59" s="543"/>
      <c r="M59" s="543"/>
      <c r="N59" s="543"/>
      <c r="O59" s="543"/>
    </row>
    <row r="60" spans="1:15" ht="21" customHeight="1">
      <c r="A60" s="458" t="s">
        <v>151</v>
      </c>
      <c r="B60" s="458"/>
      <c r="C60" s="458"/>
      <c r="D60" s="458"/>
      <c r="E60" s="458"/>
      <c r="F60" s="458"/>
      <c r="G60" s="458"/>
      <c r="H60" s="458"/>
      <c r="I60" s="458"/>
      <c r="J60" s="458"/>
      <c r="K60" s="458"/>
      <c r="L60" s="458"/>
      <c r="M60" s="458"/>
      <c r="N60" s="458"/>
      <c r="O60" s="458"/>
    </row>
    <row r="61" spans="1:15" ht="21" customHeight="1">
      <c r="A61" s="458" t="s">
        <v>152</v>
      </c>
      <c r="B61" s="458"/>
      <c r="C61" s="458"/>
      <c r="D61" s="458"/>
      <c r="E61" s="458"/>
      <c r="F61" s="458"/>
      <c r="G61" s="458"/>
      <c r="H61" s="458"/>
      <c r="I61" s="458"/>
      <c r="J61" s="458"/>
      <c r="K61" s="458"/>
      <c r="L61" s="458"/>
      <c r="M61" s="458"/>
      <c r="N61" s="458"/>
      <c r="O61" s="458"/>
    </row>
    <row r="62" spans="1:15" ht="21" customHeight="1">
      <c r="A62" s="458" t="s">
        <v>153</v>
      </c>
      <c r="B62" s="458"/>
      <c r="C62" s="458"/>
      <c r="D62" s="458"/>
      <c r="E62" s="458"/>
      <c r="F62" s="458"/>
      <c r="G62" s="458"/>
      <c r="H62" s="458"/>
      <c r="I62" s="458"/>
      <c r="J62" s="458"/>
      <c r="K62" s="458"/>
      <c r="L62" s="458"/>
      <c r="M62" s="458"/>
      <c r="N62" s="458"/>
      <c r="O62" s="458"/>
    </row>
    <row r="63" spans="1:15" ht="21" customHeight="1">
      <c r="A63" s="454" t="s">
        <v>154</v>
      </c>
      <c r="B63" s="454"/>
      <c r="C63" s="454"/>
      <c r="D63" s="454"/>
      <c r="E63" s="454"/>
      <c r="F63" s="454"/>
      <c r="G63" s="454"/>
      <c r="H63" s="454"/>
      <c r="I63" s="454"/>
      <c r="J63" s="454"/>
      <c r="K63" s="454"/>
      <c r="L63" s="454"/>
      <c r="M63" s="454"/>
      <c r="N63" s="454"/>
      <c r="O63" s="454"/>
    </row>
    <row r="64" spans="1:15" ht="20.25" customHeight="1">
      <c r="A64" s="457"/>
      <c r="B64" s="457"/>
      <c r="C64" s="7"/>
      <c r="D64" s="453"/>
      <c r="E64" s="453"/>
      <c r="F64" s="453"/>
      <c r="G64" s="453"/>
      <c r="H64" s="453"/>
      <c r="I64" s="453"/>
      <c r="J64" s="453"/>
      <c r="K64" s="453"/>
      <c r="L64" s="455"/>
      <c r="M64" s="455"/>
      <c r="N64" s="455"/>
    </row>
    <row r="65" spans="1:18" ht="20.25" customHeight="1">
      <c r="A65" s="450" t="s">
        <v>79</v>
      </c>
      <c r="B65" s="450"/>
      <c r="C65" s="16" t="s">
        <v>4</v>
      </c>
      <c r="D65" s="499"/>
      <c r="E65" s="499"/>
      <c r="F65" s="499"/>
      <c r="G65" s="499"/>
      <c r="H65" s="499"/>
      <c r="I65" s="499"/>
      <c r="J65" s="490" t="s">
        <v>7</v>
      </c>
      <c r="K65" s="490"/>
      <c r="L65" s="500"/>
      <c r="M65" s="500"/>
      <c r="N65" s="500"/>
      <c r="Q65" s="2"/>
      <c r="R65" s="3"/>
    </row>
    <row r="66" spans="1:18" ht="20.25" customHeight="1">
      <c r="A66" s="450"/>
      <c r="B66" s="450"/>
      <c r="C66" s="16" t="s">
        <v>5</v>
      </c>
      <c r="D66" s="451"/>
      <c r="E66" s="451"/>
      <c r="F66" s="451"/>
      <c r="G66" s="451"/>
      <c r="H66" s="451"/>
      <c r="I66" s="17"/>
      <c r="J66" s="17"/>
      <c r="K66" s="5"/>
      <c r="L66" s="6"/>
      <c r="Q66" s="3"/>
      <c r="R66" s="3"/>
    </row>
    <row r="67" spans="1:18" ht="20.25" customHeight="1">
      <c r="A67" s="450"/>
      <c r="B67" s="450"/>
      <c r="C67" s="16" t="s">
        <v>6</v>
      </c>
      <c r="D67" s="452"/>
      <c r="E67" s="452"/>
      <c r="F67" s="452"/>
      <c r="G67" s="452"/>
      <c r="H67" s="452"/>
      <c r="I67" s="5"/>
      <c r="J67" s="5"/>
      <c r="K67" s="5"/>
      <c r="L67" s="6"/>
      <c r="N67" s="18" t="s">
        <v>13</v>
      </c>
      <c r="Q67" s="3"/>
      <c r="R67" s="3"/>
    </row>
    <row r="68" spans="1:18" ht="20.25" customHeight="1">
      <c r="A68" s="450"/>
      <c r="B68" s="450"/>
      <c r="C68" s="7"/>
      <c r="D68" s="500"/>
      <c r="E68" s="500"/>
      <c r="F68" s="500"/>
      <c r="G68" s="500"/>
      <c r="H68" s="500"/>
      <c r="I68" s="500"/>
      <c r="J68" s="500"/>
      <c r="K68" s="500"/>
      <c r="L68" s="459" t="s">
        <v>12</v>
      </c>
      <c r="M68" s="459"/>
      <c r="N68" s="459"/>
      <c r="Q68" s="3"/>
      <c r="R68" s="3"/>
    </row>
    <row r="69" spans="1:18" ht="20.25" customHeight="1">
      <c r="A69" s="39"/>
      <c r="B69" s="39"/>
      <c r="C69" s="7"/>
      <c r="D69" s="62"/>
      <c r="E69" s="62"/>
      <c r="F69" s="62"/>
      <c r="G69" s="62"/>
      <c r="H69" s="62"/>
      <c r="I69" s="62"/>
      <c r="J69" s="62"/>
      <c r="K69" s="62"/>
      <c r="L69" s="63"/>
      <c r="M69" s="63"/>
      <c r="N69" s="63"/>
      <c r="Q69" s="3"/>
      <c r="R69" s="3"/>
    </row>
    <row r="70" spans="1:18" ht="4.5" customHeight="1">
      <c r="A70" s="457"/>
      <c r="B70" s="457"/>
      <c r="C70" s="7"/>
      <c r="D70" s="453"/>
      <c r="E70" s="453"/>
      <c r="F70" s="453"/>
      <c r="G70" s="453"/>
      <c r="H70" s="453"/>
      <c r="I70" s="453"/>
      <c r="J70" s="453"/>
      <c r="K70" s="453"/>
      <c r="L70" s="455"/>
      <c r="M70" s="455"/>
      <c r="N70" s="455"/>
    </row>
    <row r="71" spans="1:18" ht="20.25" customHeight="1">
      <c r="A71" s="450" t="s">
        <v>80</v>
      </c>
      <c r="B71" s="450"/>
      <c r="C71" s="16" t="s">
        <v>4</v>
      </c>
      <c r="D71" s="489"/>
      <c r="E71" s="489"/>
      <c r="F71" s="489"/>
      <c r="G71" s="489"/>
      <c r="H71" s="489"/>
      <c r="I71" s="489"/>
      <c r="J71" s="490" t="s">
        <v>7</v>
      </c>
      <c r="K71" s="490"/>
      <c r="L71" s="491"/>
      <c r="M71" s="491"/>
      <c r="N71" s="491"/>
      <c r="Q71" s="2"/>
      <c r="R71" s="3"/>
    </row>
    <row r="72" spans="1:18" ht="20.25" customHeight="1">
      <c r="A72" s="450" t="s">
        <v>9</v>
      </c>
      <c r="B72" s="450"/>
      <c r="C72" s="16" t="s">
        <v>5</v>
      </c>
      <c r="D72" s="492"/>
      <c r="E72" s="492"/>
      <c r="F72" s="492"/>
      <c r="G72" s="492"/>
      <c r="H72" s="492"/>
      <c r="I72" s="17"/>
      <c r="J72" s="17"/>
      <c r="K72" s="5"/>
      <c r="L72" s="6"/>
      <c r="Q72" s="3"/>
      <c r="R72" s="3"/>
    </row>
    <row r="73" spans="1:18" ht="20.25" customHeight="1">
      <c r="A73" s="450" t="s">
        <v>10</v>
      </c>
      <c r="B73" s="450"/>
      <c r="C73" s="16" t="s">
        <v>6</v>
      </c>
      <c r="D73" s="452"/>
      <c r="E73" s="452"/>
      <c r="F73" s="452"/>
      <c r="G73" s="452"/>
      <c r="H73" s="452"/>
      <c r="I73" s="5"/>
      <c r="J73" s="5"/>
      <c r="K73" s="5"/>
      <c r="L73" s="6"/>
      <c r="N73" s="18" t="s">
        <v>13</v>
      </c>
      <c r="Q73" s="3"/>
      <c r="R73" s="3"/>
    </row>
    <row r="74" spans="1:18" ht="20.25" customHeight="1">
      <c r="A74" s="450" t="s">
        <v>8</v>
      </c>
      <c r="B74" s="450"/>
      <c r="C74" s="7"/>
      <c r="D74" s="9"/>
      <c r="E74" s="9"/>
      <c r="F74" s="9"/>
      <c r="G74" s="9"/>
      <c r="H74" s="9"/>
      <c r="I74" s="9"/>
      <c r="J74" s="9"/>
      <c r="K74" s="9"/>
      <c r="L74" s="459" t="s">
        <v>12</v>
      </c>
      <c r="M74" s="459"/>
      <c r="N74" s="459"/>
      <c r="Q74" s="3"/>
      <c r="R74" s="3"/>
    </row>
    <row r="75" spans="1:18" ht="18" customHeight="1">
      <c r="A75" s="449" t="s">
        <v>105</v>
      </c>
      <c r="B75" s="449"/>
      <c r="C75" s="449"/>
      <c r="D75" s="449"/>
      <c r="E75" s="449"/>
      <c r="F75" s="449"/>
      <c r="G75" s="449"/>
      <c r="H75" s="449"/>
      <c r="I75" s="449"/>
      <c r="J75" s="449"/>
      <c r="K75" s="449"/>
      <c r="L75" s="449"/>
      <c r="M75" s="449"/>
      <c r="N75" s="449"/>
      <c r="O75" s="449"/>
    </row>
    <row r="76" spans="1:18" ht="18" customHeight="1">
      <c r="A76" s="449" t="s">
        <v>81</v>
      </c>
      <c r="B76" s="449"/>
      <c r="C76" s="449"/>
      <c r="D76" s="449"/>
      <c r="E76" s="449"/>
      <c r="F76" s="449"/>
      <c r="G76" s="449"/>
      <c r="H76" s="449"/>
      <c r="I76" s="449"/>
      <c r="J76" s="449"/>
      <c r="K76" s="449"/>
      <c r="L76" s="449"/>
      <c r="M76" s="449"/>
      <c r="N76" s="449"/>
      <c r="O76" s="449"/>
    </row>
    <row r="77" spans="1:18" ht="18" customHeight="1">
      <c r="A77" s="498" t="s">
        <v>82</v>
      </c>
      <c r="B77" s="498"/>
      <c r="C77" s="498"/>
      <c r="D77" s="498"/>
      <c r="E77" s="498"/>
      <c r="F77" s="498"/>
      <c r="G77" s="498"/>
      <c r="H77" s="498"/>
      <c r="I77" s="498"/>
      <c r="J77" s="498"/>
      <c r="K77" s="498"/>
      <c r="L77" s="498"/>
      <c r="M77" s="498"/>
      <c r="N77" s="498"/>
      <c r="O77" s="498"/>
    </row>
    <row r="78" spans="1:18" ht="18" customHeight="1">
      <c r="A78" s="38"/>
      <c r="B78" s="38"/>
      <c r="C78" s="38"/>
      <c r="D78" s="38"/>
      <c r="E78" s="38"/>
      <c r="F78" s="38"/>
      <c r="G78" s="38"/>
      <c r="H78" s="38"/>
      <c r="I78" s="38"/>
      <c r="J78" s="38"/>
      <c r="K78" s="38"/>
      <c r="L78" s="38"/>
      <c r="M78" s="38"/>
      <c r="N78" s="38"/>
      <c r="O78" s="38"/>
    </row>
    <row r="79" spans="1:18" ht="21" customHeight="1">
      <c r="A79" s="497" t="s">
        <v>117</v>
      </c>
      <c r="B79" s="497"/>
      <c r="C79" s="497"/>
      <c r="D79" s="497"/>
      <c r="E79" s="497"/>
      <c r="F79" s="497"/>
      <c r="G79" s="497"/>
      <c r="H79" s="497"/>
      <c r="I79" s="497"/>
      <c r="J79" s="497"/>
      <c r="K79" s="497"/>
      <c r="L79" s="497"/>
      <c r="M79" s="497"/>
      <c r="N79" s="497"/>
      <c r="O79" s="38"/>
    </row>
    <row r="80" spans="1:18" ht="21" customHeight="1">
      <c r="A80" s="488" t="s">
        <v>83</v>
      </c>
      <c r="B80" s="488"/>
      <c r="C80" s="488"/>
      <c r="D80" s="488"/>
      <c r="E80" s="488"/>
      <c r="F80" s="488"/>
      <c r="G80" s="488"/>
      <c r="H80" s="488"/>
      <c r="I80" s="488"/>
      <c r="J80" s="488"/>
      <c r="K80" s="488"/>
      <c r="L80" s="488"/>
      <c r="M80" s="488"/>
      <c r="N80" s="488"/>
      <c r="O80" s="38"/>
    </row>
    <row r="81" spans="1:18" ht="21" customHeight="1">
      <c r="A81" s="488" t="s">
        <v>84</v>
      </c>
      <c r="B81" s="488"/>
      <c r="C81" s="488"/>
      <c r="D81" s="488"/>
      <c r="E81" s="488"/>
      <c r="F81" s="488"/>
      <c r="G81" s="488"/>
      <c r="H81" s="488"/>
      <c r="I81" s="488"/>
      <c r="J81" s="488"/>
      <c r="K81" s="488"/>
      <c r="L81" s="488"/>
      <c r="M81" s="488"/>
      <c r="N81" s="488"/>
      <c r="O81" s="38"/>
    </row>
    <row r="82" spans="1:18" ht="21" customHeight="1">
      <c r="A82" s="488" t="s">
        <v>155</v>
      </c>
      <c r="B82" s="488"/>
      <c r="C82" s="488"/>
      <c r="D82" s="488"/>
      <c r="E82" s="488"/>
      <c r="F82" s="488"/>
      <c r="G82" s="488"/>
      <c r="H82" s="488"/>
      <c r="I82" s="488"/>
      <c r="J82" s="488"/>
      <c r="K82" s="488"/>
      <c r="L82" s="488"/>
      <c r="M82" s="488"/>
      <c r="N82" s="488"/>
      <c r="O82" s="38"/>
    </row>
    <row r="83" spans="1:18" ht="21" customHeight="1">
      <c r="A83" s="488" t="s">
        <v>156</v>
      </c>
      <c r="B83" s="488"/>
      <c r="C83" s="488"/>
      <c r="D83" s="488"/>
      <c r="E83" s="488"/>
      <c r="F83" s="488"/>
      <c r="G83" s="488"/>
      <c r="H83" s="488"/>
      <c r="I83" s="488"/>
      <c r="J83" s="488"/>
      <c r="K83" s="488"/>
      <c r="L83" s="488"/>
      <c r="M83" s="488"/>
      <c r="N83" s="488"/>
      <c r="O83" s="38"/>
    </row>
    <row r="84" spans="1:18" ht="21" customHeight="1">
      <c r="A84" s="488" t="s">
        <v>157</v>
      </c>
      <c r="B84" s="488"/>
      <c r="C84" s="488"/>
      <c r="D84" s="488"/>
      <c r="E84" s="488"/>
      <c r="F84" s="488"/>
      <c r="G84" s="488"/>
      <c r="H84" s="488"/>
      <c r="I84" s="488"/>
      <c r="J84" s="488"/>
      <c r="K84" s="488"/>
      <c r="L84" s="488"/>
      <c r="M84" s="488"/>
      <c r="N84" s="488"/>
      <c r="O84" s="38"/>
    </row>
    <row r="85" spans="1:18" ht="21" customHeight="1">
      <c r="A85" s="488" t="s">
        <v>158</v>
      </c>
      <c r="B85" s="488"/>
      <c r="C85" s="488"/>
      <c r="D85" s="488"/>
      <c r="E85" s="488"/>
      <c r="F85" s="488"/>
      <c r="G85" s="488"/>
      <c r="H85" s="488"/>
      <c r="I85" s="488"/>
      <c r="J85" s="488"/>
      <c r="K85" s="488"/>
      <c r="L85" s="488"/>
      <c r="M85" s="488"/>
      <c r="N85" s="488"/>
      <c r="O85" s="38"/>
    </row>
    <row r="86" spans="1:18" ht="21" customHeight="1">
      <c r="A86" s="488" t="s">
        <v>159</v>
      </c>
      <c r="B86" s="488"/>
      <c r="C86" s="488"/>
      <c r="D86" s="488"/>
      <c r="E86" s="488"/>
      <c r="F86" s="488"/>
      <c r="G86" s="488"/>
      <c r="H86" s="488"/>
      <c r="I86" s="488"/>
      <c r="J86" s="488"/>
      <c r="K86" s="488"/>
      <c r="L86" s="488"/>
      <c r="M86" s="488"/>
      <c r="N86" s="488"/>
      <c r="O86" s="38"/>
    </row>
    <row r="87" spans="1:18" ht="21" customHeight="1">
      <c r="A87" s="488" t="s">
        <v>160</v>
      </c>
      <c r="B87" s="488"/>
      <c r="C87" s="488"/>
      <c r="D87" s="488"/>
      <c r="E87" s="488"/>
      <c r="F87" s="488"/>
      <c r="G87" s="488"/>
      <c r="H87" s="488"/>
      <c r="I87" s="488"/>
      <c r="J87" s="488"/>
      <c r="K87" s="488"/>
      <c r="L87" s="488"/>
      <c r="M87" s="488"/>
      <c r="N87" s="488"/>
      <c r="O87" s="38"/>
    </row>
    <row r="88" spans="1:18" ht="21" customHeight="1">
      <c r="A88" s="488" t="s">
        <v>161</v>
      </c>
      <c r="B88" s="488"/>
      <c r="C88" s="488"/>
      <c r="D88" s="488"/>
      <c r="E88" s="488"/>
      <c r="F88" s="488"/>
      <c r="G88" s="488"/>
      <c r="H88" s="488"/>
      <c r="I88" s="488"/>
      <c r="J88" s="488"/>
      <c r="K88" s="488"/>
      <c r="L88" s="488"/>
      <c r="M88" s="488"/>
      <c r="N88" s="488"/>
      <c r="O88" s="38"/>
    </row>
    <row r="89" spans="1:18" ht="21" customHeight="1">
      <c r="A89" s="79"/>
      <c r="B89" s="79"/>
      <c r="C89" s="79"/>
      <c r="D89" s="79"/>
      <c r="E89" s="79"/>
      <c r="F89" s="79"/>
      <c r="G89" s="79"/>
      <c r="H89" s="79"/>
      <c r="I89" s="79"/>
      <c r="J89" s="79"/>
      <c r="K89" s="79"/>
      <c r="L89" s="79"/>
      <c r="M89" s="79"/>
      <c r="N89" s="79"/>
      <c r="O89" s="80"/>
    </row>
    <row r="90" spans="1:18" ht="20.25" customHeight="1">
      <c r="A90" s="496" t="s">
        <v>85</v>
      </c>
      <c r="B90" s="496"/>
      <c r="C90" s="16" t="s">
        <v>4</v>
      </c>
      <c r="D90" s="489"/>
      <c r="E90" s="489"/>
      <c r="F90" s="489"/>
      <c r="G90" s="489"/>
      <c r="H90" s="489"/>
      <c r="I90" s="489"/>
      <c r="J90" s="490" t="s">
        <v>7</v>
      </c>
      <c r="K90" s="490"/>
      <c r="L90" s="491"/>
      <c r="M90" s="491"/>
      <c r="N90" s="491"/>
      <c r="Q90" s="2"/>
      <c r="R90" s="3"/>
    </row>
    <row r="91" spans="1:18" ht="20.25" customHeight="1">
      <c r="A91" s="450" t="s">
        <v>9</v>
      </c>
      <c r="B91" s="450"/>
      <c r="C91" s="16" t="s">
        <v>5</v>
      </c>
      <c r="D91" s="492"/>
      <c r="E91" s="492"/>
      <c r="F91" s="492"/>
      <c r="G91" s="492"/>
      <c r="H91" s="492"/>
      <c r="I91" s="17"/>
      <c r="J91" s="17"/>
      <c r="K91" s="5"/>
      <c r="L91" s="6"/>
      <c r="Q91" s="3"/>
      <c r="R91" s="3"/>
    </row>
    <row r="92" spans="1:18" ht="20.25" customHeight="1">
      <c r="A92" s="450" t="s">
        <v>10</v>
      </c>
      <c r="B92" s="450"/>
      <c r="C92" s="16" t="s">
        <v>6</v>
      </c>
      <c r="D92" s="452"/>
      <c r="E92" s="452"/>
      <c r="F92" s="452"/>
      <c r="G92" s="452"/>
      <c r="H92" s="452"/>
      <c r="I92" s="5"/>
      <c r="J92" s="5"/>
      <c r="K92" s="5"/>
      <c r="L92" s="6"/>
      <c r="N92" s="18" t="s">
        <v>13</v>
      </c>
      <c r="Q92" s="3"/>
      <c r="R92" s="3"/>
    </row>
    <row r="93" spans="1:18" ht="20.25" customHeight="1">
      <c r="A93" s="450" t="s">
        <v>8</v>
      </c>
      <c r="B93" s="450"/>
      <c r="C93" s="7"/>
      <c r="D93" s="9"/>
      <c r="E93" s="9"/>
      <c r="F93" s="9"/>
      <c r="G93" s="9"/>
      <c r="H93" s="9"/>
      <c r="I93" s="9"/>
      <c r="J93" s="9"/>
      <c r="K93" s="9"/>
      <c r="L93" s="459" t="s">
        <v>12</v>
      </c>
      <c r="M93" s="459"/>
      <c r="N93" s="459"/>
      <c r="Q93" s="3"/>
      <c r="R93" s="3"/>
    </row>
    <row r="94" spans="1:18" ht="18" customHeight="1">
      <c r="A94" s="449" t="s">
        <v>98</v>
      </c>
      <c r="B94" s="449"/>
      <c r="C94" s="449"/>
      <c r="D94" s="449"/>
      <c r="E94" s="449"/>
      <c r="F94" s="449"/>
      <c r="G94" s="449"/>
      <c r="H94" s="449"/>
      <c r="I94" s="449"/>
      <c r="J94" s="449"/>
      <c r="K94" s="449"/>
      <c r="L94" s="449"/>
      <c r="M94" s="449"/>
      <c r="N94" s="449"/>
      <c r="O94" s="449"/>
    </row>
    <row r="95" spans="1:18" s="8" customFormat="1" ht="31.5" customHeight="1">
      <c r="A95" s="15"/>
      <c r="B95" s="15"/>
      <c r="C95" s="15"/>
      <c r="D95" s="15"/>
      <c r="E95" s="15"/>
      <c r="F95" s="15"/>
      <c r="G95" s="15"/>
      <c r="H95" s="15"/>
      <c r="I95" s="494"/>
      <c r="J95" s="494"/>
      <c r="K95" s="494"/>
      <c r="L95" s="494"/>
      <c r="M95" s="494"/>
      <c r="N95" s="494"/>
      <c r="O95" s="494"/>
    </row>
    <row r="96" spans="1:18" s="8" customFormat="1" ht="17.100000000000001" customHeight="1">
      <c r="A96" s="495" t="s">
        <v>2</v>
      </c>
      <c r="B96" s="495"/>
      <c r="C96" s="495"/>
      <c r="D96" s="495"/>
      <c r="E96" s="495"/>
      <c r="F96" s="495"/>
      <c r="G96" s="495"/>
      <c r="H96" s="495"/>
      <c r="I96" s="495"/>
      <c r="J96" s="495"/>
      <c r="K96" s="495"/>
      <c r="L96" s="495"/>
      <c r="M96" s="495"/>
      <c r="N96" s="495"/>
      <c r="O96" s="495"/>
    </row>
    <row r="97" spans="1:15" s="8" customFormat="1" ht="21" customHeight="1">
      <c r="A97" s="493" t="s">
        <v>168</v>
      </c>
      <c r="B97" s="493"/>
      <c r="C97" s="493"/>
      <c r="D97" s="493"/>
      <c r="E97" s="493"/>
      <c r="F97" s="493"/>
      <c r="G97" s="493"/>
      <c r="H97" s="493"/>
      <c r="I97" s="493"/>
      <c r="J97" s="493"/>
      <c r="K97" s="493"/>
      <c r="L97" s="493"/>
      <c r="M97" s="493"/>
      <c r="N97" s="493"/>
      <c r="O97" s="493"/>
    </row>
    <row r="98" spans="1:15" s="8" customFormat="1" ht="21" customHeight="1">
      <c r="A98" s="493" t="s">
        <v>206</v>
      </c>
      <c r="B98" s="493"/>
      <c r="C98" s="493"/>
      <c r="D98" s="493"/>
      <c r="E98" s="493"/>
      <c r="F98" s="493"/>
      <c r="G98" s="493"/>
      <c r="H98" s="493"/>
      <c r="I98" s="493"/>
      <c r="J98" s="493"/>
      <c r="K98" s="493"/>
      <c r="L98" s="493"/>
      <c r="M98" s="493"/>
      <c r="N98" s="493"/>
      <c r="O98" s="493"/>
    </row>
    <row r="99" spans="1:15" s="8" customFormat="1" ht="21" customHeight="1">
      <c r="A99" s="493" t="s">
        <v>169</v>
      </c>
      <c r="B99" s="493"/>
      <c r="C99" s="493"/>
      <c r="D99" s="493"/>
      <c r="E99" s="493"/>
      <c r="F99" s="493"/>
      <c r="G99" s="493"/>
      <c r="H99" s="493"/>
      <c r="I99" s="493"/>
      <c r="J99" s="493"/>
      <c r="K99" s="493"/>
      <c r="L99" s="493"/>
      <c r="M99" s="493"/>
      <c r="N99" s="493"/>
      <c r="O99" s="493"/>
    </row>
    <row r="100" spans="1:15" s="8" customFormat="1" ht="21" customHeight="1">
      <c r="A100" s="486" t="s">
        <v>170</v>
      </c>
      <c r="B100" s="486"/>
      <c r="C100" s="486"/>
      <c r="D100" s="486"/>
      <c r="E100" s="486"/>
      <c r="F100" s="486"/>
      <c r="G100" s="486"/>
      <c r="H100" s="486"/>
      <c r="I100" s="486"/>
      <c r="J100" s="486"/>
      <c r="K100" s="486"/>
      <c r="L100" s="486"/>
      <c r="M100" s="486"/>
      <c r="N100" s="486"/>
      <c r="O100" s="486"/>
    </row>
    <row r="101" spans="1:15" s="8" customFormat="1" ht="21" customHeight="1">
      <c r="A101" s="486" t="s">
        <v>205</v>
      </c>
      <c r="B101" s="486"/>
      <c r="C101" s="486"/>
      <c r="D101" s="486"/>
      <c r="E101" s="486"/>
      <c r="F101" s="486"/>
      <c r="G101" s="486"/>
      <c r="H101" s="486"/>
      <c r="I101" s="486"/>
      <c r="J101" s="486"/>
      <c r="K101" s="486"/>
      <c r="L101" s="486"/>
      <c r="M101" s="486"/>
      <c r="N101" s="486"/>
      <c r="O101" s="486"/>
    </row>
    <row r="102" spans="1:15" s="8" customFormat="1" ht="21" customHeight="1">
      <c r="A102" s="486" t="s">
        <v>204</v>
      </c>
      <c r="B102" s="486"/>
      <c r="C102" s="486"/>
      <c r="D102" s="486"/>
      <c r="E102" s="486"/>
      <c r="F102" s="486"/>
      <c r="G102" s="486"/>
      <c r="H102" s="486"/>
      <c r="I102" s="486"/>
      <c r="J102" s="486"/>
      <c r="K102" s="486"/>
      <c r="L102" s="486"/>
      <c r="M102" s="486"/>
      <c r="N102" s="486"/>
      <c r="O102" s="486"/>
    </row>
    <row r="103" spans="1:15" s="8" customFormat="1" ht="21" customHeight="1">
      <c r="A103" s="486" t="s">
        <v>203</v>
      </c>
      <c r="B103" s="486"/>
      <c r="C103" s="486"/>
      <c r="D103" s="486"/>
      <c r="E103" s="486"/>
      <c r="F103" s="486"/>
      <c r="G103" s="486"/>
      <c r="H103" s="486"/>
      <c r="I103" s="486"/>
      <c r="J103" s="486"/>
      <c r="K103" s="486"/>
      <c r="L103" s="486"/>
      <c r="M103" s="486"/>
      <c r="N103" s="486"/>
      <c r="O103" s="486"/>
    </row>
    <row r="104" spans="1:15" s="8" customFormat="1" ht="21" customHeight="1">
      <c r="A104" s="486" t="s">
        <v>202</v>
      </c>
      <c r="B104" s="486"/>
      <c r="C104" s="486"/>
      <c r="D104" s="486"/>
      <c r="E104" s="486"/>
      <c r="F104" s="486"/>
      <c r="G104" s="486"/>
      <c r="H104" s="486"/>
      <c r="I104" s="486"/>
      <c r="J104" s="486"/>
      <c r="K104" s="486"/>
      <c r="L104" s="486"/>
      <c r="M104" s="486"/>
      <c r="N104" s="486"/>
      <c r="O104" s="486"/>
    </row>
    <row r="105" spans="1:15" s="8" customFormat="1" ht="21" customHeight="1">
      <c r="A105" s="486" t="s">
        <v>201</v>
      </c>
      <c r="B105" s="486"/>
      <c r="C105" s="486"/>
      <c r="D105" s="486"/>
      <c r="E105" s="486"/>
      <c r="F105" s="486"/>
      <c r="G105" s="486"/>
      <c r="H105" s="486"/>
      <c r="I105" s="486"/>
      <c r="J105" s="486"/>
      <c r="K105" s="486"/>
      <c r="L105" s="486"/>
      <c r="M105" s="486"/>
      <c r="N105" s="486"/>
      <c r="O105" s="486"/>
    </row>
    <row r="106" spans="1:15" s="8" customFormat="1" ht="21" customHeight="1">
      <c r="A106" s="486" t="s">
        <v>200</v>
      </c>
      <c r="B106" s="486"/>
      <c r="C106" s="486"/>
      <c r="D106" s="486"/>
      <c r="E106" s="486"/>
      <c r="F106" s="486"/>
      <c r="G106" s="486"/>
      <c r="H106" s="486"/>
      <c r="I106" s="486"/>
      <c r="J106" s="486"/>
      <c r="K106" s="486"/>
      <c r="L106" s="486"/>
      <c r="M106" s="486"/>
      <c r="N106" s="486"/>
      <c r="O106" s="486"/>
    </row>
    <row r="107" spans="1:15" s="8" customFormat="1" ht="21" customHeight="1">
      <c r="A107" s="486" t="s">
        <v>199</v>
      </c>
      <c r="B107" s="486"/>
      <c r="C107" s="486"/>
      <c r="D107" s="486"/>
      <c r="E107" s="486"/>
      <c r="F107" s="486"/>
      <c r="G107" s="486"/>
      <c r="H107" s="486"/>
      <c r="I107" s="486"/>
      <c r="J107" s="486"/>
      <c r="K107" s="486"/>
      <c r="L107" s="486"/>
      <c r="M107" s="486"/>
      <c r="N107" s="486"/>
      <c r="O107" s="486"/>
    </row>
    <row r="108" spans="1:15" s="8" customFormat="1" ht="21" customHeight="1">
      <c r="A108" s="486" t="s">
        <v>198</v>
      </c>
      <c r="B108" s="486"/>
      <c r="C108" s="486"/>
      <c r="D108" s="486"/>
      <c r="E108" s="486"/>
      <c r="F108" s="486"/>
      <c r="G108" s="486"/>
      <c r="H108" s="486"/>
      <c r="I108" s="486"/>
      <c r="J108" s="486"/>
      <c r="K108" s="486"/>
      <c r="L108" s="486"/>
      <c r="M108" s="486"/>
      <c r="N108" s="486"/>
      <c r="O108" s="486"/>
    </row>
    <row r="109" spans="1:15" s="8" customFormat="1" ht="21" customHeight="1">
      <c r="A109" s="486" t="s">
        <v>197</v>
      </c>
      <c r="B109" s="486"/>
      <c r="C109" s="486"/>
      <c r="D109" s="486"/>
      <c r="E109" s="486"/>
      <c r="F109" s="486"/>
      <c r="G109" s="486"/>
      <c r="H109" s="486"/>
      <c r="I109" s="486"/>
      <c r="J109" s="486"/>
      <c r="K109" s="486"/>
      <c r="L109" s="486"/>
      <c r="M109" s="486"/>
      <c r="N109" s="486"/>
      <c r="O109" s="486"/>
    </row>
    <row r="110" spans="1:15" s="8" customFormat="1" ht="21" customHeight="1">
      <c r="A110" s="486" t="s">
        <v>196</v>
      </c>
      <c r="B110" s="486"/>
      <c r="C110" s="486"/>
      <c r="D110" s="486"/>
      <c r="E110" s="486"/>
      <c r="F110" s="486"/>
      <c r="G110" s="486"/>
      <c r="H110" s="486"/>
      <c r="I110" s="486"/>
      <c r="J110" s="486"/>
      <c r="K110" s="486"/>
      <c r="L110" s="486"/>
      <c r="M110" s="486"/>
      <c r="N110" s="486"/>
      <c r="O110" s="486"/>
    </row>
    <row r="111" spans="1:15" s="8" customFormat="1" ht="21" customHeight="1">
      <c r="A111" s="486" t="s">
        <v>195</v>
      </c>
      <c r="B111" s="486"/>
      <c r="C111" s="486"/>
      <c r="D111" s="486"/>
      <c r="E111" s="486"/>
      <c r="F111" s="486"/>
      <c r="G111" s="486"/>
      <c r="H111" s="486"/>
      <c r="I111" s="486"/>
      <c r="J111" s="486"/>
      <c r="K111" s="486"/>
      <c r="L111" s="486"/>
      <c r="M111" s="486"/>
      <c r="N111" s="486"/>
      <c r="O111" s="486"/>
    </row>
    <row r="112" spans="1:15" s="8" customFormat="1" ht="21" customHeight="1">
      <c r="A112" s="486" t="s">
        <v>194</v>
      </c>
      <c r="B112" s="486"/>
      <c r="C112" s="486"/>
      <c r="D112" s="486"/>
      <c r="E112" s="486"/>
      <c r="F112" s="486"/>
      <c r="G112" s="486"/>
      <c r="H112" s="486"/>
      <c r="I112" s="486"/>
      <c r="J112" s="486"/>
      <c r="K112" s="486"/>
      <c r="L112" s="486"/>
      <c r="M112" s="486"/>
      <c r="N112" s="486"/>
      <c r="O112" s="486"/>
    </row>
    <row r="113" spans="1:15" s="8" customFormat="1" ht="21" customHeight="1">
      <c r="A113" s="486" t="s">
        <v>193</v>
      </c>
      <c r="B113" s="486"/>
      <c r="C113" s="486"/>
      <c r="D113" s="486"/>
      <c r="E113" s="486"/>
      <c r="F113" s="486"/>
      <c r="G113" s="486"/>
      <c r="H113" s="486"/>
      <c r="I113" s="486"/>
      <c r="J113" s="486"/>
      <c r="K113" s="486"/>
      <c r="L113" s="486"/>
      <c r="M113" s="486"/>
      <c r="N113" s="486"/>
      <c r="O113" s="486"/>
    </row>
    <row r="114" spans="1:15" s="8" customFormat="1" ht="21" customHeight="1">
      <c r="A114" s="486" t="s">
        <v>192</v>
      </c>
      <c r="B114" s="486"/>
      <c r="C114" s="486"/>
      <c r="D114" s="486"/>
      <c r="E114" s="486"/>
      <c r="F114" s="486"/>
      <c r="G114" s="486"/>
      <c r="H114" s="486"/>
      <c r="I114" s="486"/>
      <c r="J114" s="486"/>
      <c r="K114" s="486"/>
      <c r="L114" s="486"/>
      <c r="M114" s="486"/>
      <c r="N114" s="486"/>
      <c r="O114" s="486"/>
    </row>
    <row r="115" spans="1:15" s="8" customFormat="1" ht="21" customHeight="1">
      <c r="A115" s="486" t="s">
        <v>191</v>
      </c>
      <c r="B115" s="486"/>
      <c r="C115" s="486"/>
      <c r="D115" s="486"/>
      <c r="E115" s="486"/>
      <c r="F115" s="486"/>
      <c r="G115" s="486"/>
      <c r="H115" s="486"/>
      <c r="I115" s="486"/>
      <c r="J115" s="486"/>
      <c r="K115" s="486"/>
      <c r="L115" s="486"/>
      <c r="M115" s="486"/>
      <c r="N115" s="486"/>
      <c r="O115" s="486"/>
    </row>
    <row r="116" spans="1:15" s="8" customFormat="1" ht="21" customHeight="1">
      <c r="A116" s="486" t="s">
        <v>190</v>
      </c>
      <c r="B116" s="486"/>
      <c r="C116" s="486"/>
      <c r="D116" s="486"/>
      <c r="E116" s="486"/>
      <c r="F116" s="486"/>
      <c r="G116" s="486"/>
      <c r="H116" s="486"/>
      <c r="I116" s="486"/>
      <c r="J116" s="486"/>
      <c r="K116" s="486"/>
      <c r="L116" s="486"/>
      <c r="M116" s="486"/>
      <c r="N116" s="486"/>
      <c r="O116" s="486"/>
    </row>
    <row r="117" spans="1:15" s="8" customFormat="1" ht="21" customHeight="1">
      <c r="A117" s="486" t="s">
        <v>162</v>
      </c>
      <c r="B117" s="486"/>
      <c r="C117" s="486"/>
      <c r="D117" s="486"/>
      <c r="E117" s="486"/>
      <c r="F117" s="486"/>
      <c r="G117" s="486"/>
      <c r="H117" s="486"/>
      <c r="I117" s="486"/>
      <c r="J117" s="486"/>
      <c r="K117" s="486"/>
      <c r="L117" s="486"/>
      <c r="M117" s="486"/>
      <c r="N117" s="486"/>
      <c r="O117" s="486"/>
    </row>
    <row r="118" spans="1:15" s="8" customFormat="1" ht="21" customHeight="1">
      <c r="A118" s="486" t="s">
        <v>189</v>
      </c>
      <c r="B118" s="486"/>
      <c r="C118" s="486"/>
      <c r="D118" s="486"/>
      <c r="E118" s="486"/>
      <c r="F118" s="486"/>
      <c r="G118" s="486"/>
      <c r="H118" s="486"/>
      <c r="I118" s="486"/>
      <c r="J118" s="486"/>
      <c r="K118" s="486"/>
      <c r="L118" s="486"/>
      <c r="M118" s="486"/>
      <c r="N118" s="486"/>
      <c r="O118" s="486"/>
    </row>
    <row r="119" spans="1:15" s="8" customFormat="1" ht="21" customHeight="1">
      <c r="A119" s="486" t="s">
        <v>188</v>
      </c>
      <c r="B119" s="486"/>
      <c r="C119" s="486"/>
      <c r="D119" s="486"/>
      <c r="E119" s="486"/>
      <c r="F119" s="486"/>
      <c r="G119" s="486"/>
      <c r="H119" s="486"/>
      <c r="I119" s="486"/>
      <c r="J119" s="486"/>
      <c r="K119" s="486"/>
      <c r="L119" s="486"/>
      <c r="M119" s="486"/>
      <c r="N119" s="486"/>
      <c r="O119" s="486"/>
    </row>
    <row r="120" spans="1:15" s="8" customFormat="1" ht="21" customHeight="1">
      <c r="A120" s="486" t="s">
        <v>187</v>
      </c>
      <c r="B120" s="486"/>
      <c r="C120" s="486"/>
      <c r="D120" s="486"/>
      <c r="E120" s="486"/>
      <c r="F120" s="486"/>
      <c r="G120" s="486"/>
      <c r="H120" s="486"/>
      <c r="I120" s="486"/>
      <c r="J120" s="486"/>
      <c r="K120" s="486"/>
      <c r="L120" s="486"/>
      <c r="M120" s="486"/>
      <c r="N120" s="486"/>
      <c r="O120" s="486"/>
    </row>
    <row r="121" spans="1:15" s="8" customFormat="1" ht="21" customHeight="1">
      <c r="A121" s="486" t="s">
        <v>163</v>
      </c>
      <c r="B121" s="486"/>
      <c r="C121" s="486"/>
      <c r="D121" s="486"/>
      <c r="E121" s="486"/>
      <c r="F121" s="486"/>
      <c r="G121" s="486"/>
      <c r="H121" s="486"/>
      <c r="I121" s="486"/>
      <c r="J121" s="486"/>
      <c r="K121" s="486"/>
      <c r="L121" s="486"/>
      <c r="M121" s="486"/>
      <c r="N121" s="486"/>
      <c r="O121" s="486"/>
    </row>
    <row r="122" spans="1:15" s="8" customFormat="1" ht="21" customHeight="1">
      <c r="A122" s="486" t="s">
        <v>186</v>
      </c>
      <c r="B122" s="486"/>
      <c r="C122" s="486"/>
      <c r="D122" s="486"/>
      <c r="E122" s="486"/>
      <c r="F122" s="486"/>
      <c r="G122" s="486"/>
      <c r="H122" s="486"/>
      <c r="I122" s="486"/>
      <c r="J122" s="486"/>
      <c r="K122" s="486"/>
      <c r="L122" s="486"/>
      <c r="M122" s="486"/>
      <c r="N122" s="486"/>
      <c r="O122" s="486"/>
    </row>
    <row r="123" spans="1:15" s="8" customFormat="1" ht="21" customHeight="1">
      <c r="A123" s="486" t="s">
        <v>185</v>
      </c>
      <c r="B123" s="486"/>
      <c r="C123" s="486"/>
      <c r="D123" s="486"/>
      <c r="E123" s="486"/>
      <c r="F123" s="486"/>
      <c r="G123" s="486"/>
      <c r="H123" s="486"/>
      <c r="I123" s="486"/>
      <c r="J123" s="486"/>
      <c r="K123" s="486"/>
      <c r="L123" s="486"/>
      <c r="M123" s="486"/>
      <c r="N123" s="486"/>
      <c r="O123" s="486"/>
    </row>
    <row r="124" spans="1:15" s="8" customFormat="1" ht="21" customHeight="1">
      <c r="A124" s="486" t="s">
        <v>184</v>
      </c>
      <c r="B124" s="486"/>
      <c r="C124" s="486"/>
      <c r="D124" s="486"/>
      <c r="E124" s="486"/>
      <c r="F124" s="486"/>
      <c r="G124" s="486"/>
      <c r="H124" s="486"/>
      <c r="I124" s="486"/>
      <c r="J124" s="486"/>
      <c r="K124" s="486"/>
      <c r="L124" s="486"/>
      <c r="M124" s="486"/>
      <c r="N124" s="486"/>
      <c r="O124" s="486"/>
    </row>
    <row r="125" spans="1:15" s="8" customFormat="1" ht="21" customHeight="1">
      <c r="A125" s="486" t="s">
        <v>164</v>
      </c>
      <c r="B125" s="486"/>
      <c r="C125" s="486"/>
      <c r="D125" s="486"/>
      <c r="E125" s="486"/>
      <c r="F125" s="486"/>
      <c r="G125" s="486"/>
      <c r="H125" s="486"/>
      <c r="I125" s="486"/>
      <c r="J125" s="486"/>
      <c r="K125" s="486"/>
      <c r="L125" s="486"/>
      <c r="M125" s="486"/>
      <c r="N125" s="486"/>
      <c r="O125" s="486"/>
    </row>
    <row r="126" spans="1:15" s="8" customFormat="1" ht="21" customHeight="1">
      <c r="A126" s="486" t="s">
        <v>182</v>
      </c>
      <c r="B126" s="486"/>
      <c r="C126" s="486"/>
      <c r="D126" s="486"/>
      <c r="E126" s="486"/>
      <c r="F126" s="486"/>
      <c r="G126" s="486"/>
      <c r="H126" s="486"/>
      <c r="I126" s="486"/>
      <c r="J126" s="486"/>
      <c r="K126" s="486"/>
      <c r="L126" s="486"/>
      <c r="M126" s="486"/>
      <c r="N126" s="486"/>
      <c r="O126" s="486"/>
    </row>
    <row r="127" spans="1:15" s="8" customFormat="1" ht="21" customHeight="1">
      <c r="A127" s="486" t="s">
        <v>183</v>
      </c>
      <c r="B127" s="486"/>
      <c r="C127" s="486"/>
      <c r="D127" s="486"/>
      <c r="E127" s="486"/>
      <c r="F127" s="486"/>
      <c r="G127" s="486"/>
      <c r="H127" s="486"/>
      <c r="I127" s="486"/>
      <c r="J127" s="486"/>
      <c r="K127" s="486"/>
      <c r="L127" s="486"/>
      <c r="M127" s="486"/>
      <c r="N127" s="486"/>
      <c r="O127" s="486"/>
    </row>
    <row r="128" spans="1:15" s="8" customFormat="1" ht="21" customHeight="1">
      <c r="A128" s="486" t="s">
        <v>165</v>
      </c>
      <c r="B128" s="486"/>
      <c r="C128" s="486"/>
      <c r="D128" s="486"/>
      <c r="E128" s="486"/>
      <c r="F128" s="486"/>
      <c r="G128" s="486"/>
      <c r="H128" s="486"/>
      <c r="I128" s="486"/>
      <c r="J128" s="486"/>
      <c r="K128" s="486"/>
      <c r="L128" s="486"/>
      <c r="M128" s="486"/>
      <c r="N128" s="486"/>
      <c r="O128" s="486"/>
    </row>
    <row r="129" spans="1:15" s="8" customFormat="1" ht="21" customHeight="1">
      <c r="A129" s="486" t="s">
        <v>180</v>
      </c>
      <c r="B129" s="486"/>
      <c r="C129" s="486"/>
      <c r="D129" s="486"/>
      <c r="E129" s="486"/>
      <c r="F129" s="486"/>
      <c r="G129" s="486"/>
      <c r="H129" s="486"/>
      <c r="I129" s="486"/>
      <c r="J129" s="486"/>
      <c r="K129" s="486"/>
      <c r="L129" s="486"/>
      <c r="M129" s="486"/>
      <c r="N129" s="486"/>
      <c r="O129" s="486"/>
    </row>
    <row r="130" spans="1:15" s="8" customFormat="1" ht="21" customHeight="1">
      <c r="A130" s="486" t="s">
        <v>166</v>
      </c>
      <c r="B130" s="486"/>
      <c r="C130" s="486"/>
      <c r="D130" s="486"/>
      <c r="E130" s="486"/>
      <c r="F130" s="486"/>
      <c r="G130" s="486"/>
      <c r="H130" s="486"/>
      <c r="I130" s="486"/>
      <c r="J130" s="486"/>
      <c r="K130" s="486"/>
      <c r="L130" s="486"/>
      <c r="M130" s="486"/>
      <c r="N130" s="486"/>
      <c r="O130" s="486"/>
    </row>
    <row r="131" spans="1:15" s="8" customFormat="1" ht="21" customHeight="1">
      <c r="A131" s="487" t="s">
        <v>181</v>
      </c>
      <c r="B131" s="487"/>
      <c r="C131" s="487"/>
      <c r="D131" s="487"/>
      <c r="E131" s="487"/>
      <c r="F131" s="487"/>
      <c r="G131" s="487"/>
      <c r="H131" s="487"/>
      <c r="I131" s="487"/>
      <c r="J131" s="487"/>
      <c r="K131" s="487"/>
      <c r="L131" s="487"/>
      <c r="M131" s="487"/>
      <c r="N131" s="487"/>
      <c r="O131" s="487"/>
    </row>
    <row r="132" spans="1:15" s="8" customFormat="1" ht="21" customHeight="1">
      <c r="A132" s="486" t="s">
        <v>167</v>
      </c>
      <c r="B132" s="486"/>
      <c r="C132" s="486"/>
      <c r="D132" s="486"/>
      <c r="E132" s="486"/>
      <c r="F132" s="486"/>
      <c r="G132" s="486"/>
      <c r="H132" s="486"/>
      <c r="I132" s="486"/>
      <c r="J132" s="486"/>
      <c r="K132" s="486"/>
      <c r="L132" s="486"/>
      <c r="M132" s="486"/>
      <c r="N132" s="486"/>
      <c r="O132" s="486"/>
    </row>
    <row r="133" spans="1:15" s="8" customFormat="1" ht="21" customHeight="1">
      <c r="A133" s="486" t="s">
        <v>171</v>
      </c>
      <c r="B133" s="486"/>
      <c r="C133" s="486"/>
      <c r="D133" s="486"/>
      <c r="E133" s="486"/>
      <c r="F133" s="486"/>
      <c r="G133" s="486"/>
      <c r="H133" s="486"/>
      <c r="I133" s="486"/>
      <c r="J133" s="486"/>
      <c r="K133" s="486"/>
      <c r="L133" s="486"/>
      <c r="M133" s="486"/>
      <c r="N133" s="486"/>
      <c r="O133" s="486"/>
    </row>
    <row r="134" spans="1:15" s="8" customFormat="1" ht="21" customHeight="1">
      <c r="A134" s="486" t="s">
        <v>172</v>
      </c>
      <c r="B134" s="486"/>
      <c r="C134" s="486"/>
      <c r="D134" s="486"/>
      <c r="E134" s="486"/>
      <c r="F134" s="486"/>
      <c r="G134" s="486"/>
      <c r="H134" s="486"/>
      <c r="I134" s="486"/>
      <c r="J134" s="486"/>
      <c r="K134" s="486"/>
      <c r="L134" s="486"/>
      <c r="M134" s="486"/>
      <c r="N134" s="486"/>
      <c r="O134" s="486"/>
    </row>
    <row r="135" spans="1:15" s="8" customFormat="1" ht="21" customHeight="1">
      <c r="A135" s="486" t="s">
        <v>173</v>
      </c>
      <c r="B135" s="486"/>
      <c r="C135" s="486"/>
      <c r="D135" s="486"/>
      <c r="E135" s="486"/>
      <c r="F135" s="486"/>
      <c r="G135" s="486"/>
      <c r="H135" s="486"/>
      <c r="I135" s="486"/>
      <c r="J135" s="486"/>
      <c r="K135" s="486"/>
      <c r="L135" s="486"/>
      <c r="M135" s="486"/>
      <c r="N135" s="486"/>
      <c r="O135" s="486"/>
    </row>
    <row r="136" spans="1:15" s="8" customFormat="1" ht="21" customHeight="1">
      <c r="A136" s="486" t="s">
        <v>174</v>
      </c>
      <c r="B136" s="486"/>
      <c r="C136" s="486"/>
      <c r="D136" s="486"/>
      <c r="E136" s="486"/>
      <c r="F136" s="486"/>
      <c r="G136" s="486"/>
      <c r="H136" s="486"/>
      <c r="I136" s="486"/>
      <c r="J136" s="486"/>
      <c r="K136" s="486"/>
      <c r="L136" s="486"/>
      <c r="M136" s="486"/>
      <c r="N136" s="486"/>
      <c r="O136" s="486"/>
    </row>
    <row r="137" spans="1:15" s="8" customFormat="1" ht="21" customHeight="1">
      <c r="A137" s="486" t="s">
        <v>175</v>
      </c>
      <c r="B137" s="486"/>
      <c r="C137" s="486"/>
      <c r="D137" s="486"/>
      <c r="E137" s="486"/>
      <c r="F137" s="486"/>
      <c r="G137" s="486"/>
      <c r="H137" s="486"/>
      <c r="I137" s="486"/>
      <c r="J137" s="486"/>
      <c r="K137" s="486"/>
      <c r="L137" s="486"/>
      <c r="M137" s="486"/>
      <c r="N137" s="486"/>
      <c r="O137" s="486"/>
    </row>
    <row r="138" spans="1:15" s="8" customFormat="1" ht="21" customHeight="1">
      <c r="A138" s="486" t="s">
        <v>99</v>
      </c>
      <c r="B138" s="486"/>
      <c r="C138" s="486"/>
      <c r="D138" s="486"/>
      <c r="E138" s="486"/>
      <c r="F138" s="486"/>
      <c r="G138" s="486"/>
      <c r="H138" s="486"/>
      <c r="I138" s="486"/>
      <c r="J138" s="486"/>
      <c r="K138" s="486"/>
      <c r="L138" s="486"/>
      <c r="M138" s="486"/>
      <c r="N138" s="486"/>
      <c r="O138" s="486"/>
    </row>
    <row r="139" spans="1:15" s="8" customFormat="1" ht="21" customHeight="1">
      <c r="A139" s="486" t="s">
        <v>176</v>
      </c>
      <c r="B139" s="486"/>
      <c r="C139" s="486"/>
      <c r="D139" s="486"/>
      <c r="E139" s="486"/>
      <c r="F139" s="486"/>
      <c r="G139" s="486"/>
      <c r="H139" s="486"/>
      <c r="I139" s="486"/>
      <c r="J139" s="486"/>
      <c r="K139" s="486"/>
      <c r="L139" s="486"/>
      <c r="M139" s="486"/>
      <c r="N139" s="486"/>
      <c r="O139" s="486"/>
    </row>
    <row r="140" spans="1:15" s="8" customFormat="1" ht="21" customHeight="1">
      <c r="A140" s="86"/>
      <c r="B140" s="86"/>
      <c r="C140" s="86"/>
      <c r="D140" s="86"/>
      <c r="E140" s="86"/>
      <c r="F140" s="86"/>
      <c r="G140" s="86"/>
      <c r="H140" s="86"/>
      <c r="I140" s="86"/>
      <c r="J140" s="86"/>
      <c r="K140" s="86"/>
      <c r="L140" s="86"/>
      <c r="M140" s="86"/>
      <c r="N140" s="86"/>
      <c r="O140" s="86"/>
    </row>
    <row r="141" spans="1:15" s="8" customFormat="1" ht="21" customHeight="1">
      <c r="A141" s="486" t="s">
        <v>86</v>
      </c>
      <c r="B141" s="486"/>
      <c r="C141" s="486"/>
      <c r="D141" s="486"/>
      <c r="E141" s="486"/>
      <c r="F141" s="486"/>
      <c r="G141" s="486"/>
      <c r="H141" s="486"/>
      <c r="I141" s="486"/>
      <c r="J141" s="486"/>
      <c r="K141" s="486"/>
      <c r="L141" s="486"/>
      <c r="M141" s="486"/>
      <c r="N141" s="486"/>
      <c r="O141" s="486"/>
    </row>
    <row r="142" spans="1:15" s="8" customFormat="1" ht="21" customHeight="1">
      <c r="A142" s="486" t="s">
        <v>100</v>
      </c>
      <c r="B142" s="486"/>
      <c r="C142" s="486"/>
      <c r="D142" s="486"/>
      <c r="E142" s="486"/>
      <c r="F142" s="486"/>
      <c r="G142" s="486"/>
      <c r="H142" s="486"/>
      <c r="I142" s="486"/>
      <c r="J142" s="486"/>
      <c r="K142" s="486"/>
      <c r="L142" s="486"/>
      <c r="M142" s="486"/>
      <c r="N142" s="486"/>
      <c r="O142" s="486"/>
    </row>
    <row r="143" spans="1:15" s="8" customFormat="1" ht="21" customHeight="1">
      <c r="A143" s="486" t="s">
        <v>177</v>
      </c>
      <c r="B143" s="486"/>
      <c r="C143" s="486"/>
      <c r="D143" s="486"/>
      <c r="E143" s="486"/>
      <c r="F143" s="486"/>
      <c r="G143" s="486"/>
      <c r="H143" s="486"/>
      <c r="I143" s="486"/>
      <c r="J143" s="486"/>
      <c r="K143" s="486"/>
      <c r="L143" s="486"/>
      <c r="M143" s="486"/>
      <c r="N143" s="486"/>
      <c r="O143" s="14"/>
    </row>
    <row r="144" spans="1:15" s="8" customFormat="1" ht="21" customHeight="1">
      <c r="A144" s="486" t="s">
        <v>178</v>
      </c>
      <c r="B144" s="486"/>
      <c r="C144" s="486"/>
      <c r="D144" s="486"/>
      <c r="E144" s="486"/>
      <c r="F144" s="486"/>
      <c r="G144" s="486"/>
      <c r="H144" s="486"/>
      <c r="I144" s="486"/>
      <c r="J144" s="486"/>
      <c r="K144" s="486"/>
      <c r="L144" s="486"/>
      <c r="M144" s="486"/>
      <c r="N144" s="486"/>
      <c r="O144" s="486"/>
    </row>
    <row r="145" spans="1:16" s="8" customFormat="1" ht="21" customHeight="1">
      <c r="A145" s="486" t="s">
        <v>179</v>
      </c>
      <c r="B145" s="486"/>
      <c r="C145" s="486"/>
      <c r="D145" s="486"/>
      <c r="E145" s="486"/>
      <c r="F145" s="486"/>
      <c r="G145" s="486"/>
      <c r="H145" s="486"/>
      <c r="I145" s="486"/>
      <c r="J145" s="486"/>
      <c r="K145" s="486"/>
      <c r="L145" s="486"/>
      <c r="M145" s="486"/>
      <c r="N145" s="486"/>
      <c r="O145" s="486"/>
      <c r="P145" s="486"/>
    </row>
    <row r="146" spans="1:16" s="8" customFormat="1" ht="21" customHeight="1">
      <c r="A146" s="486" t="s">
        <v>207</v>
      </c>
      <c r="B146" s="486"/>
      <c r="C146" s="486"/>
      <c r="D146" s="486"/>
      <c r="E146" s="486"/>
      <c r="F146" s="486"/>
      <c r="G146" s="486"/>
      <c r="H146" s="486"/>
      <c r="I146" s="486"/>
      <c r="J146" s="486"/>
      <c r="K146" s="486"/>
      <c r="L146" s="486"/>
      <c r="M146" s="486"/>
      <c r="N146" s="486"/>
      <c r="O146" s="486"/>
    </row>
    <row r="147" spans="1:16" s="8" customFormat="1" ht="21" customHeight="1">
      <c r="A147" s="487" t="s">
        <v>208</v>
      </c>
      <c r="B147" s="487"/>
      <c r="C147" s="487"/>
      <c r="D147" s="487"/>
      <c r="E147" s="487"/>
      <c r="F147" s="487"/>
      <c r="G147" s="487"/>
      <c r="H147" s="487"/>
      <c r="I147" s="487"/>
      <c r="J147" s="487"/>
      <c r="K147" s="487"/>
      <c r="L147" s="487"/>
      <c r="M147" s="487"/>
      <c r="N147" s="487"/>
      <c r="O147" s="487"/>
    </row>
    <row r="148" spans="1:16" s="8" customFormat="1" ht="21" customHeight="1">
      <c r="A148" s="487" t="s">
        <v>209</v>
      </c>
      <c r="B148" s="487"/>
      <c r="C148" s="487"/>
      <c r="D148" s="487"/>
      <c r="E148" s="487"/>
      <c r="F148" s="487"/>
      <c r="G148" s="487"/>
      <c r="H148" s="487"/>
      <c r="I148" s="487"/>
      <c r="J148" s="487"/>
      <c r="K148" s="487"/>
      <c r="L148" s="487"/>
      <c r="M148" s="487"/>
      <c r="N148" s="487"/>
      <c r="O148" s="487"/>
    </row>
    <row r="149" spans="1:16" s="8" customFormat="1" ht="21" customHeight="1">
      <c r="A149" s="487" t="s">
        <v>210</v>
      </c>
      <c r="B149" s="487"/>
      <c r="C149" s="487"/>
      <c r="D149" s="487"/>
      <c r="E149" s="487"/>
      <c r="F149" s="487"/>
      <c r="G149" s="487"/>
      <c r="H149" s="487"/>
      <c r="I149" s="487"/>
      <c r="J149" s="487"/>
      <c r="K149" s="487"/>
      <c r="L149" s="487"/>
      <c r="M149" s="487"/>
      <c r="N149" s="487"/>
      <c r="O149" s="487"/>
    </row>
    <row r="150" spans="1:16" s="8" customFormat="1" ht="21" customHeight="1">
      <c r="A150" s="487" t="s">
        <v>211</v>
      </c>
      <c r="B150" s="487"/>
      <c r="C150" s="487"/>
      <c r="D150" s="487"/>
      <c r="E150" s="487"/>
      <c r="F150" s="487"/>
      <c r="G150" s="487"/>
      <c r="H150" s="487"/>
      <c r="I150" s="487"/>
      <c r="J150" s="487"/>
      <c r="K150" s="487"/>
      <c r="L150" s="487"/>
      <c r="M150" s="487"/>
      <c r="N150" s="487"/>
      <c r="O150" s="487"/>
    </row>
    <row r="151" spans="1:16" s="8" customFormat="1" ht="21" customHeight="1">
      <c r="A151" s="487" t="s">
        <v>212</v>
      </c>
      <c r="B151" s="487"/>
      <c r="C151" s="487"/>
      <c r="D151" s="487"/>
      <c r="E151" s="487"/>
      <c r="F151" s="487"/>
      <c r="G151" s="487"/>
      <c r="H151" s="487"/>
      <c r="I151" s="487"/>
      <c r="J151" s="487"/>
      <c r="K151" s="487"/>
      <c r="L151" s="487"/>
      <c r="M151" s="487"/>
      <c r="N151" s="487"/>
      <c r="O151" s="487"/>
    </row>
    <row r="152" spans="1:16" s="8" customFormat="1" ht="21" customHeight="1">
      <c r="A152" s="487" t="s">
        <v>213</v>
      </c>
      <c r="B152" s="487"/>
      <c r="C152" s="487"/>
      <c r="D152" s="487"/>
      <c r="E152" s="487"/>
      <c r="F152" s="487"/>
      <c r="G152" s="487"/>
      <c r="H152" s="487"/>
      <c r="I152" s="487"/>
      <c r="J152" s="487"/>
      <c r="K152" s="487"/>
      <c r="L152" s="487"/>
      <c r="M152" s="487"/>
      <c r="N152" s="487"/>
      <c r="O152" s="487"/>
    </row>
    <row r="153" spans="1:16" s="8" customFormat="1" ht="21" customHeight="1">
      <c r="A153" s="487" t="s">
        <v>214</v>
      </c>
      <c r="B153" s="487"/>
      <c r="C153" s="487"/>
      <c r="D153" s="487"/>
      <c r="E153" s="487"/>
      <c r="F153" s="487"/>
      <c r="G153" s="487"/>
      <c r="H153" s="487"/>
      <c r="I153" s="487"/>
      <c r="J153" s="487"/>
      <c r="K153" s="487"/>
      <c r="L153" s="487"/>
      <c r="M153" s="487"/>
      <c r="N153" s="487"/>
      <c r="O153" s="487"/>
    </row>
    <row r="154" spans="1:16" s="8" customFormat="1" ht="21" customHeight="1">
      <c r="A154" s="487" t="s">
        <v>215</v>
      </c>
      <c r="B154" s="487"/>
      <c r="C154" s="487"/>
      <c r="D154" s="487"/>
      <c r="E154" s="487"/>
      <c r="F154" s="487"/>
      <c r="G154" s="487"/>
      <c r="H154" s="487"/>
      <c r="I154" s="487"/>
      <c r="J154" s="487"/>
      <c r="K154" s="487"/>
      <c r="L154" s="487"/>
      <c r="M154" s="487"/>
      <c r="N154" s="487"/>
      <c r="O154" s="487"/>
    </row>
    <row r="155" spans="1:16" s="8" customFormat="1" ht="21" customHeight="1">
      <c r="A155" s="487" t="s">
        <v>216</v>
      </c>
      <c r="B155" s="487"/>
      <c r="C155" s="487"/>
      <c r="D155" s="487"/>
      <c r="E155" s="487"/>
      <c r="F155" s="487"/>
      <c r="G155" s="487"/>
      <c r="H155" s="487"/>
      <c r="I155" s="487"/>
      <c r="J155" s="487"/>
      <c r="K155" s="487"/>
      <c r="L155" s="487"/>
      <c r="M155" s="487"/>
      <c r="N155" s="487"/>
      <c r="O155" s="487"/>
    </row>
    <row r="156" spans="1:16" s="8" customFormat="1" ht="21" customHeight="1">
      <c r="A156" s="487" t="s">
        <v>217</v>
      </c>
      <c r="B156" s="487"/>
      <c r="C156" s="487"/>
      <c r="D156" s="487"/>
      <c r="E156" s="487"/>
      <c r="F156" s="487"/>
      <c r="G156" s="487"/>
      <c r="H156" s="487"/>
      <c r="I156" s="487"/>
      <c r="J156" s="487"/>
      <c r="K156" s="487"/>
      <c r="L156" s="487"/>
      <c r="M156" s="487"/>
      <c r="N156" s="487"/>
      <c r="O156" s="487"/>
    </row>
    <row r="157" spans="1:16" s="8" customFormat="1" ht="21" customHeight="1">
      <c r="A157" s="487" t="s">
        <v>219</v>
      </c>
      <c r="B157" s="487"/>
      <c r="C157" s="487"/>
      <c r="D157" s="487"/>
      <c r="E157" s="487"/>
      <c r="F157" s="487"/>
      <c r="G157" s="487"/>
      <c r="H157" s="487"/>
      <c r="I157" s="487"/>
      <c r="J157" s="487"/>
      <c r="K157" s="487"/>
      <c r="L157" s="487"/>
      <c r="M157" s="487"/>
      <c r="N157" s="487"/>
      <c r="O157" s="487"/>
    </row>
    <row r="158" spans="1:16" s="8" customFormat="1" ht="21" customHeight="1">
      <c r="A158" s="486" t="s">
        <v>218</v>
      </c>
      <c r="B158" s="486"/>
      <c r="C158" s="486"/>
      <c r="D158" s="486"/>
      <c r="E158" s="486"/>
      <c r="F158" s="486"/>
      <c r="G158" s="486"/>
      <c r="H158" s="486"/>
      <c r="I158" s="486"/>
      <c r="J158" s="486"/>
      <c r="K158" s="486"/>
      <c r="L158" s="486"/>
      <c r="M158" s="486"/>
      <c r="N158" s="486"/>
      <c r="O158" s="486"/>
    </row>
    <row r="159" spans="1:16" s="8" customFormat="1" ht="21" customHeight="1">
      <c r="A159" s="486" t="s">
        <v>220</v>
      </c>
      <c r="B159" s="486"/>
      <c r="C159" s="486"/>
      <c r="D159" s="486"/>
      <c r="E159" s="486"/>
      <c r="F159" s="486"/>
      <c r="G159" s="486"/>
      <c r="H159" s="486"/>
      <c r="I159" s="486"/>
      <c r="J159" s="486"/>
      <c r="K159" s="486"/>
      <c r="L159" s="486"/>
      <c r="M159" s="486"/>
      <c r="N159" s="486"/>
      <c r="O159" s="486"/>
    </row>
    <row r="160" spans="1:16" s="8" customFormat="1" ht="21" customHeight="1">
      <c r="A160" s="486" t="s">
        <v>221</v>
      </c>
      <c r="B160" s="486"/>
      <c r="C160" s="486"/>
      <c r="D160" s="486"/>
      <c r="E160" s="486"/>
      <c r="F160" s="486"/>
      <c r="G160" s="486"/>
      <c r="H160" s="486"/>
      <c r="I160" s="486"/>
      <c r="J160" s="486"/>
      <c r="K160" s="486"/>
      <c r="L160" s="486"/>
      <c r="M160" s="486"/>
      <c r="N160" s="486"/>
      <c r="O160" s="486"/>
    </row>
    <row r="161" spans="1:15" s="8" customFormat="1" ht="21" customHeight="1">
      <c r="A161" s="486" t="s">
        <v>222</v>
      </c>
      <c r="B161" s="486"/>
      <c r="C161" s="486"/>
      <c r="D161" s="486"/>
      <c r="E161" s="486"/>
      <c r="F161" s="486"/>
      <c r="G161" s="486"/>
      <c r="H161" s="486"/>
      <c r="I161" s="486"/>
      <c r="J161" s="486"/>
      <c r="K161" s="486"/>
      <c r="L161" s="486"/>
      <c r="M161" s="486"/>
      <c r="N161" s="486"/>
      <c r="O161" s="486"/>
    </row>
    <row r="162" spans="1:15" s="8" customFormat="1" ht="21" customHeight="1">
      <c r="A162" s="486" t="s">
        <v>223</v>
      </c>
      <c r="B162" s="486"/>
      <c r="C162" s="486"/>
      <c r="D162" s="486"/>
      <c r="E162" s="486"/>
      <c r="F162" s="486"/>
      <c r="G162" s="486"/>
      <c r="H162" s="486"/>
      <c r="I162" s="486"/>
      <c r="J162" s="486"/>
      <c r="K162" s="486"/>
      <c r="L162" s="486"/>
      <c r="M162" s="486"/>
      <c r="N162" s="486"/>
      <c r="O162" s="486"/>
    </row>
    <row r="163" spans="1:15" s="8" customFormat="1" ht="21" customHeight="1">
      <c r="A163" s="486" t="s">
        <v>224</v>
      </c>
      <c r="B163" s="486"/>
      <c r="C163" s="486"/>
      <c r="D163" s="486"/>
      <c r="E163" s="486"/>
      <c r="F163" s="486"/>
      <c r="G163" s="486"/>
      <c r="H163" s="486"/>
      <c r="I163" s="486"/>
      <c r="J163" s="486"/>
      <c r="K163" s="486"/>
      <c r="L163" s="486"/>
      <c r="M163" s="486"/>
      <c r="N163" s="486"/>
      <c r="O163" s="486"/>
    </row>
    <row r="164" spans="1:15" s="8" customFormat="1" ht="21" customHeight="1">
      <c r="A164" s="486" t="s">
        <v>225</v>
      </c>
      <c r="B164" s="486"/>
      <c r="C164" s="486"/>
      <c r="D164" s="486"/>
      <c r="E164" s="486"/>
      <c r="F164" s="486"/>
      <c r="G164" s="486"/>
      <c r="H164" s="486"/>
      <c r="I164" s="486"/>
      <c r="J164" s="486"/>
      <c r="K164" s="486"/>
      <c r="L164" s="486"/>
      <c r="M164" s="486"/>
      <c r="N164" s="486"/>
      <c r="O164" s="486"/>
    </row>
    <row r="165" spans="1:15" s="8" customFormat="1" ht="21" customHeight="1">
      <c r="A165" s="486" t="s">
        <v>226</v>
      </c>
      <c r="B165" s="486"/>
      <c r="C165" s="486"/>
      <c r="D165" s="486"/>
      <c r="E165" s="486"/>
      <c r="F165" s="486"/>
      <c r="G165" s="486"/>
      <c r="H165" s="486"/>
      <c r="I165" s="486"/>
      <c r="J165" s="486"/>
      <c r="K165" s="486"/>
      <c r="L165" s="486"/>
      <c r="M165" s="486"/>
      <c r="N165" s="486"/>
      <c r="O165" s="486"/>
    </row>
    <row r="166" spans="1:15" s="8" customFormat="1" ht="21" customHeight="1">
      <c r="A166" s="486" t="s">
        <v>227</v>
      </c>
      <c r="B166" s="486"/>
      <c r="C166" s="486"/>
      <c r="D166" s="486"/>
      <c r="E166" s="486"/>
      <c r="F166" s="486"/>
      <c r="G166" s="486"/>
      <c r="H166" s="486"/>
      <c r="I166" s="486"/>
      <c r="J166" s="486"/>
      <c r="K166" s="486"/>
      <c r="L166" s="486"/>
      <c r="M166" s="486"/>
      <c r="N166" s="486"/>
      <c r="O166" s="486"/>
    </row>
    <row r="167" spans="1:15" s="8" customFormat="1" ht="21" customHeight="1">
      <c r="A167" s="486" t="s">
        <v>228</v>
      </c>
      <c r="B167" s="486"/>
      <c r="C167" s="486"/>
      <c r="D167" s="486"/>
      <c r="E167" s="486"/>
      <c r="F167" s="486"/>
      <c r="G167" s="486"/>
      <c r="H167" s="486"/>
      <c r="I167" s="486"/>
      <c r="J167" s="486"/>
      <c r="K167" s="486"/>
      <c r="L167" s="486"/>
      <c r="M167" s="486"/>
      <c r="N167" s="486"/>
      <c r="O167" s="486"/>
    </row>
    <row r="168" spans="1:15" s="8" customFormat="1" ht="21" customHeight="1">
      <c r="A168" s="486" t="s">
        <v>229</v>
      </c>
      <c r="B168" s="486"/>
      <c r="C168" s="486"/>
      <c r="D168" s="486"/>
      <c r="E168" s="486"/>
      <c r="F168" s="486"/>
      <c r="G168" s="486"/>
      <c r="H168" s="486"/>
      <c r="I168" s="486"/>
      <c r="J168" s="486"/>
      <c r="K168" s="486"/>
      <c r="L168" s="486"/>
      <c r="M168" s="486"/>
      <c r="N168" s="486"/>
      <c r="O168" s="486"/>
    </row>
    <row r="169" spans="1:15" s="8" customFormat="1" ht="21" customHeight="1">
      <c r="A169" s="486" t="s">
        <v>230</v>
      </c>
      <c r="B169" s="486"/>
      <c r="C169" s="486"/>
      <c r="D169" s="486"/>
      <c r="E169" s="486"/>
      <c r="F169" s="486"/>
      <c r="G169" s="486"/>
      <c r="H169" s="486"/>
      <c r="I169" s="486"/>
      <c r="J169" s="486"/>
      <c r="K169" s="486"/>
      <c r="L169" s="486"/>
      <c r="M169" s="486"/>
      <c r="N169" s="486"/>
      <c r="O169" s="486"/>
    </row>
    <row r="170" spans="1:15" s="8" customFormat="1" ht="21" customHeight="1">
      <c r="A170" s="486" t="s">
        <v>231</v>
      </c>
      <c r="B170" s="486"/>
      <c r="C170" s="486"/>
      <c r="D170" s="486"/>
      <c r="E170" s="486"/>
      <c r="F170" s="486"/>
      <c r="G170" s="486"/>
      <c r="H170" s="486"/>
      <c r="I170" s="486"/>
      <c r="J170" s="486"/>
      <c r="K170" s="486"/>
      <c r="L170" s="486"/>
      <c r="M170" s="486"/>
      <c r="N170" s="486"/>
      <c r="O170" s="486"/>
    </row>
    <row r="171" spans="1:15" s="8" customFormat="1" ht="21" customHeight="1">
      <c r="A171" s="486" t="s">
        <v>232</v>
      </c>
      <c r="B171" s="486"/>
      <c r="C171" s="486"/>
      <c r="D171" s="486"/>
      <c r="E171" s="486"/>
      <c r="F171" s="486"/>
      <c r="G171" s="486"/>
      <c r="H171" s="486"/>
      <c r="I171" s="486"/>
      <c r="J171" s="486"/>
      <c r="K171" s="486"/>
      <c r="L171" s="486"/>
      <c r="M171" s="486"/>
      <c r="N171" s="486"/>
      <c r="O171" s="486"/>
    </row>
    <row r="172" spans="1:15" s="8" customFormat="1" ht="21" customHeight="1">
      <c r="A172" s="486" t="s">
        <v>233</v>
      </c>
      <c r="B172" s="486"/>
      <c r="C172" s="486"/>
      <c r="D172" s="486"/>
      <c r="E172" s="486"/>
      <c r="F172" s="486"/>
      <c r="G172" s="486"/>
      <c r="H172" s="486"/>
      <c r="I172" s="486"/>
      <c r="J172" s="486"/>
      <c r="K172" s="486"/>
      <c r="L172" s="486"/>
      <c r="M172" s="486"/>
      <c r="N172" s="486"/>
      <c r="O172" s="486"/>
    </row>
    <row r="173" spans="1:15" ht="38.25" customHeight="1">
      <c r="M173" s="480" t="s">
        <v>96</v>
      </c>
      <c r="N173" s="480"/>
    </row>
    <row r="174" spans="1:15" ht="23.25" customHeight="1"/>
    <row r="175" spans="1:15" ht="30.9" customHeight="1">
      <c r="A175" s="481" t="s">
        <v>88</v>
      </c>
      <c r="B175" s="481"/>
      <c r="C175" s="481"/>
      <c r="D175" s="481"/>
      <c r="E175" s="481"/>
      <c r="F175" s="481"/>
      <c r="G175" s="481"/>
      <c r="H175" s="481"/>
      <c r="I175" s="481"/>
      <c r="J175" s="481"/>
      <c r="K175" s="481"/>
      <c r="L175" s="481"/>
      <c r="M175" s="481"/>
      <c r="N175" s="481"/>
      <c r="O175" s="481"/>
    </row>
    <row r="176" spans="1:15" ht="27.75" customHeight="1">
      <c r="A176" s="72" t="s">
        <v>89</v>
      </c>
      <c r="B176" s="69"/>
      <c r="C176" s="471">
        <f>dataSheet!H2</f>
        <v>0</v>
      </c>
      <c r="D176" s="471"/>
      <c r="E176" s="471"/>
      <c r="F176" s="471"/>
      <c r="G176" s="471"/>
      <c r="H176" s="471"/>
      <c r="I176" s="471"/>
      <c r="J176" s="471"/>
    </row>
    <row r="177" spans="1:15" ht="27.75" customHeight="1">
      <c r="A177" s="72" t="s">
        <v>90</v>
      </c>
      <c r="B177" s="69"/>
      <c r="C177" s="302"/>
      <c r="D177" s="302"/>
      <c r="E177" s="302"/>
      <c r="F177" s="302"/>
      <c r="G177" s="302"/>
      <c r="H177" s="302"/>
      <c r="I177" s="302"/>
      <c r="J177" s="302"/>
    </row>
    <row r="178" spans="1:15" ht="27.75" customHeight="1">
      <c r="A178" s="72" t="s">
        <v>91</v>
      </c>
      <c r="B178" s="70"/>
      <c r="C178" s="470">
        <f>dataSheet!H2</f>
        <v>0</v>
      </c>
      <c r="D178" s="470"/>
      <c r="E178" s="470"/>
      <c r="F178" s="470"/>
      <c r="G178" s="470"/>
      <c r="H178" s="470"/>
      <c r="I178" s="470"/>
      <c r="J178" s="470"/>
    </row>
    <row r="179" spans="1:15" ht="27.75" customHeight="1">
      <c r="A179" s="72" t="s">
        <v>234</v>
      </c>
      <c r="B179" s="71"/>
      <c r="C179" s="71"/>
      <c r="D179" s="96"/>
      <c r="E179" s="96"/>
      <c r="F179" s="96"/>
      <c r="G179" s="303"/>
      <c r="H179" s="303"/>
      <c r="I179" s="303"/>
      <c r="J179" s="303"/>
    </row>
    <row r="180" spans="1:15" ht="22.5" customHeight="1"/>
    <row r="181" spans="1:15">
      <c r="A181" s="482" t="s">
        <v>118</v>
      </c>
      <c r="B181" s="483"/>
      <c r="C181" s="484" t="s">
        <v>119</v>
      </c>
      <c r="D181" s="485"/>
      <c r="E181" s="485"/>
      <c r="F181" s="485" t="s">
        <v>92</v>
      </c>
      <c r="G181" s="485"/>
      <c r="H181" s="485"/>
      <c r="I181" s="485"/>
      <c r="J181" s="485" t="s">
        <v>93</v>
      </c>
      <c r="K181" s="485"/>
      <c r="L181" s="484" t="s">
        <v>101</v>
      </c>
      <c r="M181" s="485"/>
      <c r="N181" s="485"/>
      <c r="O181" s="485"/>
    </row>
    <row r="182" spans="1:15" ht="27.15" customHeight="1">
      <c r="A182" s="483"/>
      <c r="B182" s="483"/>
      <c r="C182" s="485"/>
      <c r="D182" s="485"/>
      <c r="E182" s="485"/>
      <c r="F182" s="485"/>
      <c r="G182" s="485"/>
      <c r="H182" s="485"/>
      <c r="I182" s="485"/>
      <c r="J182" s="485"/>
      <c r="K182" s="485"/>
      <c r="L182" s="485"/>
      <c r="M182" s="485"/>
      <c r="N182" s="485"/>
      <c r="O182" s="485"/>
    </row>
    <row r="183" spans="1:15" ht="36" customHeight="1">
      <c r="A183" s="469"/>
      <c r="B183" s="469"/>
      <c r="C183" s="472"/>
      <c r="D183" s="473"/>
      <c r="E183" s="474"/>
      <c r="F183" s="472"/>
      <c r="G183" s="473"/>
      <c r="H183" s="473"/>
      <c r="I183" s="474"/>
      <c r="J183" s="475"/>
      <c r="K183" s="476"/>
      <c r="L183" s="477" t="s">
        <v>94</v>
      </c>
      <c r="M183" s="478"/>
      <c r="N183" s="478"/>
      <c r="O183" s="479"/>
    </row>
    <row r="184" spans="1:15" ht="36" customHeight="1">
      <c r="A184" s="460"/>
      <c r="B184" s="460"/>
      <c r="C184" s="461"/>
      <c r="D184" s="462"/>
      <c r="E184" s="463"/>
      <c r="F184" s="461"/>
      <c r="G184" s="462"/>
      <c r="H184" s="462"/>
      <c r="I184" s="463"/>
      <c r="J184" s="464"/>
      <c r="K184" s="465"/>
      <c r="L184" s="466" t="s">
        <v>94</v>
      </c>
      <c r="M184" s="467"/>
      <c r="N184" s="467"/>
      <c r="O184" s="468"/>
    </row>
    <row r="185" spans="1:15" ht="36" customHeight="1">
      <c r="A185" s="460"/>
      <c r="B185" s="460"/>
      <c r="C185" s="461"/>
      <c r="D185" s="462"/>
      <c r="E185" s="463"/>
      <c r="F185" s="461"/>
      <c r="G185" s="462"/>
      <c r="H185" s="462"/>
      <c r="I185" s="463"/>
      <c r="J185" s="464"/>
      <c r="K185" s="465"/>
      <c r="L185" s="466" t="s">
        <v>94</v>
      </c>
      <c r="M185" s="467"/>
      <c r="N185" s="467"/>
      <c r="O185" s="468"/>
    </row>
    <row r="186" spans="1:15" ht="36" customHeight="1">
      <c r="A186" s="460"/>
      <c r="B186" s="460"/>
      <c r="C186" s="461"/>
      <c r="D186" s="462"/>
      <c r="E186" s="463"/>
      <c r="F186" s="461"/>
      <c r="G186" s="462"/>
      <c r="H186" s="462"/>
      <c r="I186" s="463"/>
      <c r="J186" s="464"/>
      <c r="K186" s="465"/>
      <c r="L186" s="466" t="s">
        <v>94</v>
      </c>
      <c r="M186" s="467"/>
      <c r="N186" s="467"/>
      <c r="O186" s="468"/>
    </row>
    <row r="187" spans="1:15" ht="36" customHeight="1">
      <c r="A187" s="460"/>
      <c r="B187" s="460"/>
      <c r="C187" s="461"/>
      <c r="D187" s="462"/>
      <c r="E187" s="463"/>
      <c r="F187" s="461"/>
      <c r="G187" s="462"/>
      <c r="H187" s="462"/>
      <c r="I187" s="463"/>
      <c r="J187" s="464"/>
      <c r="K187" s="465"/>
      <c r="L187" s="466" t="s">
        <v>94</v>
      </c>
      <c r="M187" s="467"/>
      <c r="N187" s="467"/>
      <c r="O187" s="468"/>
    </row>
    <row r="188" spans="1:15" ht="36" customHeight="1">
      <c r="A188" s="460"/>
      <c r="B188" s="460"/>
      <c r="C188" s="461"/>
      <c r="D188" s="462"/>
      <c r="E188" s="463"/>
      <c r="F188" s="461"/>
      <c r="G188" s="462"/>
      <c r="H188" s="462"/>
      <c r="I188" s="463"/>
      <c r="J188" s="464"/>
      <c r="K188" s="465"/>
      <c r="L188" s="466" t="s">
        <v>94</v>
      </c>
      <c r="M188" s="467"/>
      <c r="N188" s="467"/>
      <c r="O188" s="468"/>
    </row>
    <row r="189" spans="1:15" ht="36" customHeight="1">
      <c r="A189" s="460"/>
      <c r="B189" s="460"/>
      <c r="C189" s="461"/>
      <c r="D189" s="462"/>
      <c r="E189" s="463"/>
      <c r="F189" s="461"/>
      <c r="G189" s="462"/>
      <c r="H189" s="462"/>
      <c r="I189" s="463"/>
      <c r="J189" s="464"/>
      <c r="K189" s="465"/>
      <c r="L189" s="466" t="s">
        <v>94</v>
      </c>
      <c r="M189" s="467"/>
      <c r="N189" s="467"/>
      <c r="O189" s="468"/>
    </row>
    <row r="190" spans="1:15" ht="36" customHeight="1">
      <c r="A190" s="460"/>
      <c r="B190" s="460"/>
      <c r="C190" s="461"/>
      <c r="D190" s="462"/>
      <c r="E190" s="463"/>
      <c r="F190" s="461"/>
      <c r="G190" s="462"/>
      <c r="H190" s="462"/>
      <c r="I190" s="463"/>
      <c r="J190" s="464"/>
      <c r="K190" s="465"/>
      <c r="L190" s="466" t="s">
        <v>94</v>
      </c>
      <c r="M190" s="467"/>
      <c r="N190" s="467"/>
      <c r="O190" s="468"/>
    </row>
    <row r="191" spans="1:15" ht="36" customHeight="1">
      <c r="A191" s="460"/>
      <c r="B191" s="460"/>
      <c r="C191" s="461"/>
      <c r="D191" s="462"/>
      <c r="E191" s="463"/>
      <c r="F191" s="461"/>
      <c r="G191" s="462"/>
      <c r="H191" s="462"/>
      <c r="I191" s="463"/>
      <c r="J191" s="464"/>
      <c r="K191" s="465"/>
      <c r="L191" s="466" t="s">
        <v>94</v>
      </c>
      <c r="M191" s="467"/>
      <c r="N191" s="467"/>
      <c r="O191" s="468"/>
    </row>
    <row r="192" spans="1:15" ht="36" customHeight="1">
      <c r="A192" s="460"/>
      <c r="B192" s="460"/>
      <c r="C192" s="461"/>
      <c r="D192" s="462"/>
      <c r="E192" s="463"/>
      <c r="F192" s="461"/>
      <c r="G192" s="462"/>
      <c r="H192" s="462"/>
      <c r="I192" s="463"/>
      <c r="J192" s="464"/>
      <c r="K192" s="465"/>
      <c r="L192" s="466" t="s">
        <v>94</v>
      </c>
      <c r="M192" s="467"/>
      <c r="N192" s="467"/>
      <c r="O192" s="468"/>
    </row>
    <row r="193" spans="1:15" ht="36" customHeight="1">
      <c r="A193" s="460"/>
      <c r="B193" s="460"/>
      <c r="C193" s="461"/>
      <c r="D193" s="462"/>
      <c r="E193" s="463"/>
      <c r="F193" s="461"/>
      <c r="G193" s="462"/>
      <c r="H193" s="462"/>
      <c r="I193" s="463"/>
      <c r="J193" s="464"/>
      <c r="K193" s="465"/>
      <c r="L193" s="466" t="s">
        <v>94</v>
      </c>
      <c r="M193" s="467"/>
      <c r="N193" s="467"/>
      <c r="O193" s="468"/>
    </row>
    <row r="194" spans="1:15" ht="36" customHeight="1">
      <c r="A194" s="460"/>
      <c r="B194" s="460"/>
      <c r="C194" s="461"/>
      <c r="D194" s="462"/>
      <c r="E194" s="463"/>
      <c r="F194" s="461"/>
      <c r="G194" s="462"/>
      <c r="H194" s="462"/>
      <c r="I194" s="463"/>
      <c r="J194" s="464"/>
      <c r="K194" s="465"/>
      <c r="L194" s="466" t="s">
        <v>94</v>
      </c>
      <c r="M194" s="467"/>
      <c r="N194" s="467"/>
      <c r="O194" s="468"/>
    </row>
    <row r="195" spans="1:15" ht="36" customHeight="1">
      <c r="A195" s="460"/>
      <c r="B195" s="460"/>
      <c r="C195" s="461"/>
      <c r="D195" s="462"/>
      <c r="E195" s="463"/>
      <c r="F195" s="461"/>
      <c r="G195" s="462"/>
      <c r="H195" s="462"/>
      <c r="I195" s="463"/>
      <c r="J195" s="464"/>
      <c r="K195" s="465"/>
      <c r="L195" s="466" t="s">
        <v>94</v>
      </c>
      <c r="M195" s="467"/>
      <c r="N195" s="467"/>
      <c r="O195" s="468"/>
    </row>
    <row r="196" spans="1:15" ht="7.5" customHeight="1"/>
    <row r="197" spans="1:15" s="73" customFormat="1" ht="20.25" customHeight="1">
      <c r="A197" s="10" t="s">
        <v>109</v>
      </c>
      <c r="L197" s="74"/>
    </row>
    <row r="198" spans="1:15" s="73" customFormat="1" ht="20.25" customHeight="1">
      <c r="A198" s="10" t="s">
        <v>106</v>
      </c>
      <c r="L198" s="74"/>
    </row>
    <row r="199" spans="1:15" s="73" customFormat="1" ht="20.25" customHeight="1">
      <c r="A199" s="10" t="s">
        <v>95</v>
      </c>
      <c r="L199" s="74"/>
    </row>
    <row r="200" spans="1:15" s="73" customFormat="1" ht="20.25" customHeight="1">
      <c r="A200" s="75" t="s">
        <v>107</v>
      </c>
      <c r="L200" s="74"/>
    </row>
    <row r="201" spans="1:15" s="73" customFormat="1" ht="20.25" customHeight="1">
      <c r="A201" s="75" t="s">
        <v>108</v>
      </c>
      <c r="L201" s="74"/>
    </row>
  </sheetData>
  <mergeCells count="258">
    <mergeCell ref="E7:L7"/>
    <mergeCell ref="A113:O113"/>
    <mergeCell ref="A114:O114"/>
    <mergeCell ref="A115:O115"/>
    <mergeCell ref="A30:L30"/>
    <mergeCell ref="A24:L24"/>
    <mergeCell ref="A25:L25"/>
    <mergeCell ref="A26:L26"/>
    <mergeCell ref="A27:L27"/>
    <mergeCell ref="A28:L29"/>
    <mergeCell ref="M8:O8"/>
    <mergeCell ref="A9:L9"/>
    <mergeCell ref="B51:F51"/>
    <mergeCell ref="J40:L40"/>
    <mergeCell ref="A40:F40"/>
    <mergeCell ref="A41:L42"/>
    <mergeCell ref="A57:O57"/>
    <mergeCell ref="A58:O58"/>
    <mergeCell ref="A59:O59"/>
    <mergeCell ref="A60:O60"/>
    <mergeCell ref="M34:O35"/>
    <mergeCell ref="A93:B93"/>
    <mergeCell ref="A56:O56"/>
    <mergeCell ref="A61:O61"/>
    <mergeCell ref="I2:O2"/>
    <mergeCell ref="A4:L4"/>
    <mergeCell ref="M4:O4"/>
    <mergeCell ref="M5:O5"/>
    <mergeCell ref="D6:L6"/>
    <mergeCell ref="C5:F5"/>
    <mergeCell ref="A3:O3"/>
    <mergeCell ref="A39:L39"/>
    <mergeCell ref="A38:I38"/>
    <mergeCell ref="J38:L38"/>
    <mergeCell ref="A31:L32"/>
    <mergeCell ref="A34:L35"/>
    <mergeCell ref="M24:O24"/>
    <mergeCell ref="A11:L12"/>
    <mergeCell ref="M11:O12"/>
    <mergeCell ref="A13:L15"/>
    <mergeCell ref="M15:O16"/>
    <mergeCell ref="M13:O14"/>
    <mergeCell ref="A17:L18"/>
    <mergeCell ref="A20:L21"/>
    <mergeCell ref="A22:L23"/>
    <mergeCell ref="M22:O23"/>
    <mergeCell ref="M37:O39"/>
    <mergeCell ref="A37:L37"/>
    <mergeCell ref="A79:N79"/>
    <mergeCell ref="A80:N80"/>
    <mergeCell ref="A81:N81"/>
    <mergeCell ref="A82:N82"/>
    <mergeCell ref="A83:N83"/>
    <mergeCell ref="A76:O76"/>
    <mergeCell ref="A77:O77"/>
    <mergeCell ref="A64:B64"/>
    <mergeCell ref="D64:K64"/>
    <mergeCell ref="L64:N64"/>
    <mergeCell ref="A65:B65"/>
    <mergeCell ref="D65:I65"/>
    <mergeCell ref="J65:K65"/>
    <mergeCell ref="L65:N65"/>
    <mergeCell ref="D68:K68"/>
    <mergeCell ref="A70:B70"/>
    <mergeCell ref="L93:N93"/>
    <mergeCell ref="A94:O94"/>
    <mergeCell ref="A84:N84"/>
    <mergeCell ref="A90:B90"/>
    <mergeCell ref="D90:I90"/>
    <mergeCell ref="J90:K90"/>
    <mergeCell ref="L90:N90"/>
    <mergeCell ref="A91:B91"/>
    <mergeCell ref="D91:H91"/>
    <mergeCell ref="A92:B92"/>
    <mergeCell ref="D92:H92"/>
    <mergeCell ref="A85:N85"/>
    <mergeCell ref="A86:N86"/>
    <mergeCell ref="A124:O124"/>
    <mergeCell ref="A125:O125"/>
    <mergeCell ref="A126:O126"/>
    <mergeCell ref="A127:O127"/>
    <mergeCell ref="A128:O128"/>
    <mergeCell ref="A104:O104"/>
    <mergeCell ref="A105:O105"/>
    <mergeCell ref="I95:O95"/>
    <mergeCell ref="A96:O96"/>
    <mergeCell ref="A97:O97"/>
    <mergeCell ref="A129:O129"/>
    <mergeCell ref="A87:N87"/>
    <mergeCell ref="A88:N88"/>
    <mergeCell ref="A68:B68"/>
    <mergeCell ref="L68:N68"/>
    <mergeCell ref="A71:B71"/>
    <mergeCell ref="D71:I71"/>
    <mergeCell ref="J71:K71"/>
    <mergeCell ref="L71:N71"/>
    <mergeCell ref="A72:B72"/>
    <mergeCell ref="D72:H72"/>
    <mergeCell ref="A73:B73"/>
    <mergeCell ref="D73:H73"/>
    <mergeCell ref="A74:B74"/>
    <mergeCell ref="A122:O122"/>
    <mergeCell ref="A98:O98"/>
    <mergeCell ref="A100:O100"/>
    <mergeCell ref="A101:O101"/>
    <mergeCell ref="A102:O102"/>
    <mergeCell ref="A116:O116"/>
    <mergeCell ref="A120:O120"/>
    <mergeCell ref="A117:O117"/>
    <mergeCell ref="A99:O99"/>
    <mergeCell ref="A103:O103"/>
    <mergeCell ref="A134:O134"/>
    <mergeCell ref="A135:O135"/>
    <mergeCell ref="A136:O136"/>
    <mergeCell ref="A137:O137"/>
    <mergeCell ref="A138:O138"/>
    <mergeCell ref="A139:O139"/>
    <mergeCell ref="A130:O130"/>
    <mergeCell ref="A131:O131"/>
    <mergeCell ref="A132:O132"/>
    <mergeCell ref="A133:O133"/>
    <mergeCell ref="A160:O160"/>
    <mergeCell ref="A169:O169"/>
    <mergeCell ref="A170:O170"/>
    <mergeCell ref="A171:O171"/>
    <mergeCell ref="A172:O172"/>
    <mergeCell ref="A166:O166"/>
    <mergeCell ref="A161:O161"/>
    <mergeCell ref="A162:O162"/>
    <mergeCell ref="A163:O163"/>
    <mergeCell ref="A164:O164"/>
    <mergeCell ref="A165:O165"/>
    <mergeCell ref="A167:O167"/>
    <mergeCell ref="A168:O168"/>
    <mergeCell ref="A143:N143"/>
    <mergeCell ref="A144:O144"/>
    <mergeCell ref="A145:P145"/>
    <mergeCell ref="A157:O157"/>
    <mergeCell ref="A158:O158"/>
    <mergeCell ref="A159:O159"/>
    <mergeCell ref="A151:O151"/>
    <mergeCell ref="A152:O152"/>
    <mergeCell ref="A153:O153"/>
    <mergeCell ref="A154:O154"/>
    <mergeCell ref="A155:O155"/>
    <mergeCell ref="A156:O156"/>
    <mergeCell ref="A146:O146"/>
    <mergeCell ref="M173:N173"/>
    <mergeCell ref="A175:O175"/>
    <mergeCell ref="A181:B182"/>
    <mergeCell ref="C181:E182"/>
    <mergeCell ref="F181:I182"/>
    <mergeCell ref="J181:K182"/>
    <mergeCell ref="L181:O182"/>
    <mergeCell ref="A106:O106"/>
    <mergeCell ref="A107:O107"/>
    <mergeCell ref="A108:O108"/>
    <mergeCell ref="A109:O109"/>
    <mergeCell ref="A110:O110"/>
    <mergeCell ref="A111:O111"/>
    <mergeCell ref="A112:O112"/>
    <mergeCell ref="A118:O118"/>
    <mergeCell ref="A119:O119"/>
    <mergeCell ref="A123:O123"/>
    <mergeCell ref="A121:O121"/>
    <mergeCell ref="A147:O147"/>
    <mergeCell ref="A148:O148"/>
    <mergeCell ref="A149:O149"/>
    <mergeCell ref="A150:O150"/>
    <mergeCell ref="A141:O141"/>
    <mergeCell ref="A142:O142"/>
    <mergeCell ref="A183:B183"/>
    <mergeCell ref="A184:B184"/>
    <mergeCell ref="C178:J178"/>
    <mergeCell ref="C176:J176"/>
    <mergeCell ref="A185:B185"/>
    <mergeCell ref="C183:E183"/>
    <mergeCell ref="F183:I183"/>
    <mergeCell ref="J183:K183"/>
    <mergeCell ref="L183:O183"/>
    <mergeCell ref="C184:E184"/>
    <mergeCell ref="F184:I184"/>
    <mergeCell ref="J184:K184"/>
    <mergeCell ref="L184:O184"/>
    <mergeCell ref="C185:E185"/>
    <mergeCell ref="F185:I185"/>
    <mergeCell ref="J185:K185"/>
    <mergeCell ref="L185:O185"/>
    <mergeCell ref="A186:B186"/>
    <mergeCell ref="C186:E186"/>
    <mergeCell ref="F186:I186"/>
    <mergeCell ref="J186:K186"/>
    <mergeCell ref="L186:O186"/>
    <mergeCell ref="A187:B187"/>
    <mergeCell ref="C187:E187"/>
    <mergeCell ref="F187:I187"/>
    <mergeCell ref="J187:K187"/>
    <mergeCell ref="L187:O187"/>
    <mergeCell ref="J190:K190"/>
    <mergeCell ref="L190:O190"/>
    <mergeCell ref="A191:B191"/>
    <mergeCell ref="C191:E191"/>
    <mergeCell ref="F191:I191"/>
    <mergeCell ref="J191:K191"/>
    <mergeCell ref="L191:O191"/>
    <mergeCell ref="A188:B188"/>
    <mergeCell ref="C188:E188"/>
    <mergeCell ref="F188:I188"/>
    <mergeCell ref="J188:K188"/>
    <mergeCell ref="L188:O188"/>
    <mergeCell ref="A189:B189"/>
    <mergeCell ref="C189:E189"/>
    <mergeCell ref="F189:I189"/>
    <mergeCell ref="J189:K189"/>
    <mergeCell ref="L189:O189"/>
    <mergeCell ref="A190:B190"/>
    <mergeCell ref="C190:E190"/>
    <mergeCell ref="F190:I190"/>
    <mergeCell ref="A194:B194"/>
    <mergeCell ref="C194:E194"/>
    <mergeCell ref="F194:I194"/>
    <mergeCell ref="J194:K194"/>
    <mergeCell ref="L194:O194"/>
    <mergeCell ref="A195:B195"/>
    <mergeCell ref="C195:E195"/>
    <mergeCell ref="F195:I195"/>
    <mergeCell ref="J195:K195"/>
    <mergeCell ref="L195:O195"/>
    <mergeCell ref="A192:B192"/>
    <mergeCell ref="C192:E192"/>
    <mergeCell ref="F192:I192"/>
    <mergeCell ref="J192:K192"/>
    <mergeCell ref="L192:O192"/>
    <mergeCell ref="A193:B193"/>
    <mergeCell ref="C193:E193"/>
    <mergeCell ref="F193:I193"/>
    <mergeCell ref="J193:K193"/>
    <mergeCell ref="L193:O193"/>
    <mergeCell ref="A43:L44"/>
    <mergeCell ref="A45:L46"/>
    <mergeCell ref="A48:L48"/>
    <mergeCell ref="A49:F49"/>
    <mergeCell ref="J49:L49"/>
    <mergeCell ref="M43:O43"/>
    <mergeCell ref="M45:O45"/>
    <mergeCell ref="M48:O48"/>
    <mergeCell ref="A75:O75"/>
    <mergeCell ref="A66:B66"/>
    <mergeCell ref="D66:H66"/>
    <mergeCell ref="A67:B67"/>
    <mergeCell ref="D67:H67"/>
    <mergeCell ref="D70:K70"/>
    <mergeCell ref="A63:O63"/>
    <mergeCell ref="L70:N70"/>
    <mergeCell ref="A55:O55"/>
    <mergeCell ref="A54:I54"/>
    <mergeCell ref="A62:O62"/>
    <mergeCell ref="L74:N74"/>
  </mergeCells>
  <phoneticPr fontId="2"/>
  <pageMargins left="0.39370078740157483" right="0.39370078740157483" top="0.19685039370078741" bottom="0.19685039370078741" header="0.19685039370078741" footer="0.31496062992125984"/>
  <pageSetup paperSize="9" scale="94" fitToHeight="14" orientation="portrait" r:id="rId1"/>
  <headerFooter>
    <oddHeader>&amp;L様式新特第６号 （R2.6）</oddHeader>
  </headerFooter>
  <rowBreaks count="4" manualBreakCount="4">
    <brk id="51" max="14" man="1"/>
    <brk id="94" max="15" man="1"/>
    <brk id="139" max="14" man="1"/>
    <brk id="172" max="15" man="1"/>
  </rowBreaks>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9"/>
  </sheetPr>
  <dimension ref="A1:V162"/>
  <sheetViews>
    <sheetView view="pageBreakPreview" topLeftCell="C1" zoomScaleNormal="100" zoomScaleSheetLayoutView="100" workbookViewId="0">
      <selection activeCell="I50" sqref="I50:J50"/>
    </sheetView>
  </sheetViews>
  <sheetFormatPr defaultRowHeight="13.2"/>
  <cols>
    <col min="1" max="1" width="5.6640625" style="185" customWidth="1" collapsed="1"/>
    <col min="2" max="16" width="5.109375" style="185" customWidth="1" collapsed="1"/>
    <col min="17" max="21" width="9.109375" style="185" customWidth="1" collapsed="1"/>
    <col min="22" max="256" width="9" style="185" collapsed="1"/>
    <col min="257" max="257" width="5.6640625" style="185" customWidth="1" collapsed="1"/>
    <col min="258" max="272" width="5.109375" style="185" customWidth="1" collapsed="1"/>
    <col min="273" max="277" width="9.109375" style="185" customWidth="1" collapsed="1"/>
    <col min="278" max="512" width="9" style="185" collapsed="1"/>
    <col min="513" max="513" width="5.6640625" style="185" customWidth="1" collapsed="1"/>
    <col min="514" max="528" width="5.109375" style="185" customWidth="1" collapsed="1"/>
    <col min="529" max="533" width="9.109375" style="185" customWidth="1" collapsed="1"/>
    <col min="534" max="768" width="9" style="185" collapsed="1"/>
    <col min="769" max="769" width="5.6640625" style="185" customWidth="1" collapsed="1"/>
    <col min="770" max="784" width="5.109375" style="185" customWidth="1" collapsed="1"/>
    <col min="785" max="789" width="9.109375" style="185" customWidth="1" collapsed="1"/>
    <col min="790" max="1024" width="9" style="185" collapsed="1"/>
    <col min="1025" max="1025" width="5.6640625" style="185" customWidth="1" collapsed="1"/>
    <col min="1026" max="1040" width="5.109375" style="185" customWidth="1" collapsed="1"/>
    <col min="1041" max="1045" width="9.109375" style="185" customWidth="1" collapsed="1"/>
    <col min="1046" max="1280" width="9" style="185" collapsed="1"/>
    <col min="1281" max="1281" width="5.6640625" style="185" customWidth="1" collapsed="1"/>
    <col min="1282" max="1296" width="5.109375" style="185" customWidth="1" collapsed="1"/>
    <col min="1297" max="1301" width="9.109375" style="185" customWidth="1" collapsed="1"/>
    <col min="1302" max="1536" width="9" style="185" collapsed="1"/>
    <col min="1537" max="1537" width="5.6640625" style="185" customWidth="1" collapsed="1"/>
    <col min="1538" max="1552" width="5.109375" style="185" customWidth="1" collapsed="1"/>
    <col min="1553" max="1557" width="9.109375" style="185" customWidth="1" collapsed="1"/>
    <col min="1558" max="1792" width="9" style="185" collapsed="1"/>
    <col min="1793" max="1793" width="5.6640625" style="185" customWidth="1" collapsed="1"/>
    <col min="1794" max="1808" width="5.109375" style="185" customWidth="1" collapsed="1"/>
    <col min="1809" max="1813" width="9.109375" style="185" customWidth="1" collapsed="1"/>
    <col min="1814" max="2048" width="9" style="185" collapsed="1"/>
    <col min="2049" max="2049" width="5.6640625" style="185" customWidth="1" collapsed="1"/>
    <col min="2050" max="2064" width="5.109375" style="185" customWidth="1" collapsed="1"/>
    <col min="2065" max="2069" width="9.109375" style="185" customWidth="1" collapsed="1"/>
    <col min="2070" max="2304" width="9" style="185" collapsed="1"/>
    <col min="2305" max="2305" width="5.6640625" style="185" customWidth="1" collapsed="1"/>
    <col min="2306" max="2320" width="5.109375" style="185" customWidth="1" collapsed="1"/>
    <col min="2321" max="2325" width="9.109375" style="185" customWidth="1" collapsed="1"/>
    <col min="2326" max="2560" width="9" style="185" collapsed="1"/>
    <col min="2561" max="2561" width="5.6640625" style="185" customWidth="1" collapsed="1"/>
    <col min="2562" max="2576" width="5.109375" style="185" customWidth="1" collapsed="1"/>
    <col min="2577" max="2581" width="9.109375" style="185" customWidth="1" collapsed="1"/>
    <col min="2582" max="2816" width="9" style="185" collapsed="1"/>
    <col min="2817" max="2817" width="5.6640625" style="185" customWidth="1" collapsed="1"/>
    <col min="2818" max="2832" width="5.109375" style="185" customWidth="1" collapsed="1"/>
    <col min="2833" max="2837" width="9.109375" style="185" customWidth="1" collapsed="1"/>
    <col min="2838" max="3072" width="9" style="185" collapsed="1"/>
    <col min="3073" max="3073" width="5.6640625" style="185" customWidth="1" collapsed="1"/>
    <col min="3074" max="3088" width="5.109375" style="185" customWidth="1" collapsed="1"/>
    <col min="3089" max="3093" width="9.109375" style="185" customWidth="1" collapsed="1"/>
    <col min="3094" max="3328" width="9" style="185" collapsed="1"/>
    <col min="3329" max="3329" width="5.6640625" style="185" customWidth="1" collapsed="1"/>
    <col min="3330" max="3344" width="5.109375" style="185" customWidth="1" collapsed="1"/>
    <col min="3345" max="3349" width="9.109375" style="185" customWidth="1" collapsed="1"/>
    <col min="3350" max="3584" width="9" style="185" collapsed="1"/>
    <col min="3585" max="3585" width="5.6640625" style="185" customWidth="1" collapsed="1"/>
    <col min="3586" max="3600" width="5.109375" style="185" customWidth="1" collapsed="1"/>
    <col min="3601" max="3605" width="9.109375" style="185" customWidth="1" collapsed="1"/>
    <col min="3606" max="3840" width="9" style="185" collapsed="1"/>
    <col min="3841" max="3841" width="5.6640625" style="185" customWidth="1" collapsed="1"/>
    <col min="3842" max="3856" width="5.109375" style="185" customWidth="1" collapsed="1"/>
    <col min="3857" max="3861" width="9.109375" style="185" customWidth="1" collapsed="1"/>
    <col min="3862" max="4096" width="9" style="185" collapsed="1"/>
    <col min="4097" max="4097" width="5.6640625" style="185" customWidth="1" collapsed="1"/>
    <col min="4098" max="4112" width="5.109375" style="185" customWidth="1" collapsed="1"/>
    <col min="4113" max="4117" width="9.109375" style="185" customWidth="1" collapsed="1"/>
    <col min="4118" max="4352" width="9" style="185" collapsed="1"/>
    <col min="4353" max="4353" width="5.6640625" style="185" customWidth="1" collapsed="1"/>
    <col min="4354" max="4368" width="5.109375" style="185" customWidth="1" collapsed="1"/>
    <col min="4369" max="4373" width="9.109375" style="185" customWidth="1" collapsed="1"/>
    <col min="4374" max="4608" width="9" style="185" collapsed="1"/>
    <col min="4609" max="4609" width="5.6640625" style="185" customWidth="1" collapsed="1"/>
    <col min="4610" max="4624" width="5.109375" style="185" customWidth="1" collapsed="1"/>
    <col min="4625" max="4629" width="9.109375" style="185" customWidth="1" collapsed="1"/>
    <col min="4630" max="4864" width="9" style="185" collapsed="1"/>
    <col min="4865" max="4865" width="5.6640625" style="185" customWidth="1" collapsed="1"/>
    <col min="4866" max="4880" width="5.109375" style="185" customWidth="1" collapsed="1"/>
    <col min="4881" max="4885" width="9.109375" style="185" customWidth="1" collapsed="1"/>
    <col min="4886" max="5120" width="9" style="185" collapsed="1"/>
    <col min="5121" max="5121" width="5.6640625" style="185" customWidth="1" collapsed="1"/>
    <col min="5122" max="5136" width="5.109375" style="185" customWidth="1" collapsed="1"/>
    <col min="5137" max="5141" width="9.109375" style="185" customWidth="1" collapsed="1"/>
    <col min="5142" max="5376" width="9" style="185" collapsed="1"/>
    <col min="5377" max="5377" width="5.6640625" style="185" customWidth="1" collapsed="1"/>
    <col min="5378" max="5392" width="5.109375" style="185" customWidth="1" collapsed="1"/>
    <col min="5393" max="5397" width="9.109375" style="185" customWidth="1" collapsed="1"/>
    <col min="5398" max="5632" width="9" style="185" collapsed="1"/>
    <col min="5633" max="5633" width="5.6640625" style="185" customWidth="1" collapsed="1"/>
    <col min="5634" max="5648" width="5.109375" style="185" customWidth="1" collapsed="1"/>
    <col min="5649" max="5653" width="9.109375" style="185" customWidth="1" collapsed="1"/>
    <col min="5654" max="5888" width="9" style="185" collapsed="1"/>
    <col min="5889" max="5889" width="5.6640625" style="185" customWidth="1" collapsed="1"/>
    <col min="5890" max="5904" width="5.109375" style="185" customWidth="1" collapsed="1"/>
    <col min="5905" max="5909" width="9.109375" style="185" customWidth="1" collapsed="1"/>
    <col min="5910" max="6144" width="9" style="185" collapsed="1"/>
    <col min="6145" max="6145" width="5.6640625" style="185" customWidth="1" collapsed="1"/>
    <col min="6146" max="6160" width="5.109375" style="185" customWidth="1" collapsed="1"/>
    <col min="6161" max="6165" width="9.109375" style="185" customWidth="1" collapsed="1"/>
    <col min="6166" max="6400" width="9" style="185" collapsed="1"/>
    <col min="6401" max="6401" width="5.6640625" style="185" customWidth="1" collapsed="1"/>
    <col min="6402" max="6416" width="5.109375" style="185" customWidth="1" collapsed="1"/>
    <col min="6417" max="6421" width="9.109375" style="185" customWidth="1" collapsed="1"/>
    <col min="6422" max="6656" width="9" style="185" collapsed="1"/>
    <col min="6657" max="6657" width="5.6640625" style="185" customWidth="1" collapsed="1"/>
    <col min="6658" max="6672" width="5.109375" style="185" customWidth="1" collapsed="1"/>
    <col min="6673" max="6677" width="9.109375" style="185" customWidth="1" collapsed="1"/>
    <col min="6678" max="6912" width="9" style="185" collapsed="1"/>
    <col min="6913" max="6913" width="5.6640625" style="185" customWidth="1" collapsed="1"/>
    <col min="6914" max="6928" width="5.109375" style="185" customWidth="1" collapsed="1"/>
    <col min="6929" max="6933" width="9.109375" style="185" customWidth="1" collapsed="1"/>
    <col min="6934" max="7168" width="9" style="185" collapsed="1"/>
    <col min="7169" max="7169" width="5.6640625" style="185" customWidth="1" collapsed="1"/>
    <col min="7170" max="7184" width="5.109375" style="185" customWidth="1" collapsed="1"/>
    <col min="7185" max="7189" width="9.109375" style="185" customWidth="1" collapsed="1"/>
    <col min="7190" max="7424" width="9" style="185" collapsed="1"/>
    <col min="7425" max="7425" width="5.6640625" style="185" customWidth="1" collapsed="1"/>
    <col min="7426" max="7440" width="5.109375" style="185" customWidth="1" collapsed="1"/>
    <col min="7441" max="7445" width="9.109375" style="185" customWidth="1" collapsed="1"/>
    <col min="7446" max="7680" width="9" style="185" collapsed="1"/>
    <col min="7681" max="7681" width="5.6640625" style="185" customWidth="1" collapsed="1"/>
    <col min="7682" max="7696" width="5.109375" style="185" customWidth="1" collapsed="1"/>
    <col min="7697" max="7701" width="9.109375" style="185" customWidth="1" collapsed="1"/>
    <col min="7702" max="7936" width="9" style="185" collapsed="1"/>
    <col min="7937" max="7937" width="5.6640625" style="185" customWidth="1" collapsed="1"/>
    <col min="7938" max="7952" width="5.109375" style="185" customWidth="1" collapsed="1"/>
    <col min="7953" max="7957" width="9.109375" style="185" customWidth="1" collapsed="1"/>
    <col min="7958" max="8192" width="9" style="185" collapsed="1"/>
    <col min="8193" max="8193" width="5.6640625" style="185" customWidth="1" collapsed="1"/>
    <col min="8194" max="8208" width="5.109375" style="185" customWidth="1" collapsed="1"/>
    <col min="8209" max="8213" width="9.109375" style="185" customWidth="1" collapsed="1"/>
    <col min="8214" max="8448" width="9" style="185" collapsed="1"/>
    <col min="8449" max="8449" width="5.6640625" style="185" customWidth="1" collapsed="1"/>
    <col min="8450" max="8464" width="5.109375" style="185" customWidth="1" collapsed="1"/>
    <col min="8465" max="8469" width="9.109375" style="185" customWidth="1" collapsed="1"/>
    <col min="8470" max="8704" width="9" style="185" collapsed="1"/>
    <col min="8705" max="8705" width="5.6640625" style="185" customWidth="1" collapsed="1"/>
    <col min="8706" max="8720" width="5.109375" style="185" customWidth="1" collapsed="1"/>
    <col min="8721" max="8725" width="9.109375" style="185" customWidth="1" collapsed="1"/>
    <col min="8726" max="8960" width="9" style="185" collapsed="1"/>
    <col min="8961" max="8961" width="5.6640625" style="185" customWidth="1" collapsed="1"/>
    <col min="8962" max="8976" width="5.109375" style="185" customWidth="1" collapsed="1"/>
    <col min="8977" max="8981" width="9.109375" style="185" customWidth="1" collapsed="1"/>
    <col min="8982" max="9216" width="9" style="185" collapsed="1"/>
    <col min="9217" max="9217" width="5.6640625" style="185" customWidth="1" collapsed="1"/>
    <col min="9218" max="9232" width="5.109375" style="185" customWidth="1" collapsed="1"/>
    <col min="9233" max="9237" width="9.109375" style="185" customWidth="1" collapsed="1"/>
    <col min="9238" max="9472" width="9" style="185" collapsed="1"/>
    <col min="9473" max="9473" width="5.6640625" style="185" customWidth="1" collapsed="1"/>
    <col min="9474" max="9488" width="5.109375" style="185" customWidth="1" collapsed="1"/>
    <col min="9489" max="9493" width="9.109375" style="185" customWidth="1" collapsed="1"/>
    <col min="9494" max="9728" width="9" style="185" collapsed="1"/>
    <col min="9729" max="9729" width="5.6640625" style="185" customWidth="1" collapsed="1"/>
    <col min="9730" max="9744" width="5.109375" style="185" customWidth="1" collapsed="1"/>
    <col min="9745" max="9749" width="9.109375" style="185" customWidth="1" collapsed="1"/>
    <col min="9750" max="9984" width="9" style="185" collapsed="1"/>
    <col min="9985" max="9985" width="5.6640625" style="185" customWidth="1" collapsed="1"/>
    <col min="9986" max="10000" width="5.109375" style="185" customWidth="1" collapsed="1"/>
    <col min="10001" max="10005" width="9.109375" style="185" customWidth="1" collapsed="1"/>
    <col min="10006" max="10240" width="9" style="185" collapsed="1"/>
    <col min="10241" max="10241" width="5.6640625" style="185" customWidth="1" collapsed="1"/>
    <col min="10242" max="10256" width="5.109375" style="185" customWidth="1" collapsed="1"/>
    <col min="10257" max="10261" width="9.109375" style="185" customWidth="1" collapsed="1"/>
    <col min="10262" max="10496" width="9" style="185" collapsed="1"/>
    <col min="10497" max="10497" width="5.6640625" style="185" customWidth="1" collapsed="1"/>
    <col min="10498" max="10512" width="5.109375" style="185" customWidth="1" collapsed="1"/>
    <col min="10513" max="10517" width="9.109375" style="185" customWidth="1" collapsed="1"/>
    <col min="10518" max="10752" width="9" style="185" collapsed="1"/>
    <col min="10753" max="10753" width="5.6640625" style="185" customWidth="1" collapsed="1"/>
    <col min="10754" max="10768" width="5.109375" style="185" customWidth="1" collapsed="1"/>
    <col min="10769" max="10773" width="9.109375" style="185" customWidth="1" collapsed="1"/>
    <col min="10774" max="11008" width="9" style="185" collapsed="1"/>
    <col min="11009" max="11009" width="5.6640625" style="185" customWidth="1" collapsed="1"/>
    <col min="11010" max="11024" width="5.109375" style="185" customWidth="1" collapsed="1"/>
    <col min="11025" max="11029" width="9.109375" style="185" customWidth="1" collapsed="1"/>
    <col min="11030" max="11264" width="9" style="185" collapsed="1"/>
    <col min="11265" max="11265" width="5.6640625" style="185" customWidth="1" collapsed="1"/>
    <col min="11266" max="11280" width="5.109375" style="185" customWidth="1" collapsed="1"/>
    <col min="11281" max="11285" width="9.109375" style="185" customWidth="1" collapsed="1"/>
    <col min="11286" max="11520" width="9" style="185" collapsed="1"/>
    <col min="11521" max="11521" width="5.6640625" style="185" customWidth="1" collapsed="1"/>
    <col min="11522" max="11536" width="5.109375" style="185" customWidth="1" collapsed="1"/>
    <col min="11537" max="11541" width="9.109375" style="185" customWidth="1" collapsed="1"/>
    <col min="11542" max="11776" width="9" style="185" collapsed="1"/>
    <col min="11777" max="11777" width="5.6640625" style="185" customWidth="1" collapsed="1"/>
    <col min="11778" max="11792" width="5.109375" style="185" customWidth="1" collapsed="1"/>
    <col min="11793" max="11797" width="9.109375" style="185" customWidth="1" collapsed="1"/>
    <col min="11798" max="12032" width="9" style="185" collapsed="1"/>
    <col min="12033" max="12033" width="5.6640625" style="185" customWidth="1" collapsed="1"/>
    <col min="12034" max="12048" width="5.109375" style="185" customWidth="1" collapsed="1"/>
    <col min="12049" max="12053" width="9.109375" style="185" customWidth="1" collapsed="1"/>
    <col min="12054" max="12288" width="9" style="185" collapsed="1"/>
    <col min="12289" max="12289" width="5.6640625" style="185" customWidth="1" collapsed="1"/>
    <col min="12290" max="12304" width="5.109375" style="185" customWidth="1" collapsed="1"/>
    <col min="12305" max="12309" width="9.109375" style="185" customWidth="1" collapsed="1"/>
    <col min="12310" max="12544" width="9" style="185" collapsed="1"/>
    <col min="12545" max="12545" width="5.6640625" style="185" customWidth="1" collapsed="1"/>
    <col min="12546" max="12560" width="5.109375" style="185" customWidth="1" collapsed="1"/>
    <col min="12561" max="12565" width="9.109375" style="185" customWidth="1" collapsed="1"/>
    <col min="12566" max="12800" width="9" style="185" collapsed="1"/>
    <col min="12801" max="12801" width="5.6640625" style="185" customWidth="1" collapsed="1"/>
    <col min="12802" max="12816" width="5.109375" style="185" customWidth="1" collapsed="1"/>
    <col min="12817" max="12821" width="9.109375" style="185" customWidth="1" collapsed="1"/>
    <col min="12822" max="13056" width="9" style="185" collapsed="1"/>
    <col min="13057" max="13057" width="5.6640625" style="185" customWidth="1" collapsed="1"/>
    <col min="13058" max="13072" width="5.109375" style="185" customWidth="1" collapsed="1"/>
    <col min="13073" max="13077" width="9.109375" style="185" customWidth="1" collapsed="1"/>
    <col min="13078" max="13312" width="9" style="185" collapsed="1"/>
    <col min="13313" max="13313" width="5.6640625" style="185" customWidth="1" collapsed="1"/>
    <col min="13314" max="13328" width="5.109375" style="185" customWidth="1" collapsed="1"/>
    <col min="13329" max="13333" width="9.109375" style="185" customWidth="1" collapsed="1"/>
    <col min="13334" max="13568" width="9" style="185" collapsed="1"/>
    <col min="13569" max="13569" width="5.6640625" style="185" customWidth="1" collapsed="1"/>
    <col min="13570" max="13584" width="5.109375" style="185" customWidth="1" collapsed="1"/>
    <col min="13585" max="13589" width="9.109375" style="185" customWidth="1" collapsed="1"/>
    <col min="13590" max="13824" width="9" style="185" collapsed="1"/>
    <col min="13825" max="13825" width="5.6640625" style="185" customWidth="1" collapsed="1"/>
    <col min="13826" max="13840" width="5.109375" style="185" customWidth="1" collapsed="1"/>
    <col min="13841" max="13845" width="9.109375" style="185" customWidth="1" collapsed="1"/>
    <col min="13846" max="14080" width="9" style="185" collapsed="1"/>
    <col min="14081" max="14081" width="5.6640625" style="185" customWidth="1" collapsed="1"/>
    <col min="14082" max="14096" width="5.109375" style="185" customWidth="1" collapsed="1"/>
    <col min="14097" max="14101" width="9.109375" style="185" customWidth="1" collapsed="1"/>
    <col min="14102" max="14336" width="9" style="185" collapsed="1"/>
    <col min="14337" max="14337" width="5.6640625" style="185" customWidth="1" collapsed="1"/>
    <col min="14338" max="14352" width="5.109375" style="185" customWidth="1" collapsed="1"/>
    <col min="14353" max="14357" width="9.109375" style="185" customWidth="1" collapsed="1"/>
    <col min="14358" max="14592" width="9" style="185" collapsed="1"/>
    <col min="14593" max="14593" width="5.6640625" style="185" customWidth="1" collapsed="1"/>
    <col min="14594" max="14608" width="5.109375" style="185" customWidth="1" collapsed="1"/>
    <col min="14609" max="14613" width="9.109375" style="185" customWidth="1" collapsed="1"/>
    <col min="14614" max="14848" width="9" style="185" collapsed="1"/>
    <col min="14849" max="14849" width="5.6640625" style="185" customWidth="1" collapsed="1"/>
    <col min="14850" max="14864" width="5.109375" style="185" customWidth="1" collapsed="1"/>
    <col min="14865" max="14869" width="9.109375" style="185" customWidth="1" collapsed="1"/>
    <col min="14870" max="15104" width="9" style="185" collapsed="1"/>
    <col min="15105" max="15105" width="5.6640625" style="185" customWidth="1" collapsed="1"/>
    <col min="15106" max="15120" width="5.109375" style="185" customWidth="1" collapsed="1"/>
    <col min="15121" max="15125" width="9.109375" style="185" customWidth="1" collapsed="1"/>
    <col min="15126" max="15360" width="9" style="185" collapsed="1"/>
    <col min="15361" max="15361" width="5.6640625" style="185" customWidth="1" collapsed="1"/>
    <col min="15362" max="15376" width="5.109375" style="185" customWidth="1" collapsed="1"/>
    <col min="15377" max="15381" width="9.109375" style="185" customWidth="1" collapsed="1"/>
    <col min="15382" max="15616" width="9" style="185" collapsed="1"/>
    <col min="15617" max="15617" width="5.6640625" style="185" customWidth="1" collapsed="1"/>
    <col min="15618" max="15632" width="5.109375" style="185" customWidth="1" collapsed="1"/>
    <col min="15633" max="15637" width="9.109375" style="185" customWidth="1" collapsed="1"/>
    <col min="15638" max="15872" width="9" style="185" collapsed="1"/>
    <col min="15873" max="15873" width="5.6640625" style="185" customWidth="1" collapsed="1"/>
    <col min="15874" max="15888" width="5.109375" style="185" customWidth="1" collapsed="1"/>
    <col min="15889" max="15893" width="9.109375" style="185" customWidth="1" collapsed="1"/>
    <col min="15894" max="16128" width="9" style="185" collapsed="1"/>
    <col min="16129" max="16129" width="5.6640625" style="185" customWidth="1" collapsed="1"/>
    <col min="16130" max="16144" width="5.109375" style="185" customWidth="1" collapsed="1"/>
    <col min="16145" max="16149" width="9.109375" style="185" customWidth="1" collapsed="1"/>
    <col min="16150" max="16384" width="9" style="185" collapsed="1"/>
  </cols>
  <sheetData>
    <row r="1" spans="1:21" ht="14.25" customHeight="1">
      <c r="A1" s="185" t="s">
        <v>400</v>
      </c>
    </row>
    <row r="2" spans="1:21" ht="14.25" customHeight="1"/>
    <row r="3" spans="1:21" ht="20.100000000000001" customHeight="1">
      <c r="A3" s="186"/>
      <c r="B3" s="186"/>
      <c r="C3" s="186"/>
      <c r="D3" s="186"/>
      <c r="E3" s="186"/>
      <c r="F3" s="548" t="s">
        <v>401</v>
      </c>
      <c r="G3" s="187"/>
      <c r="H3" s="188" t="s">
        <v>402</v>
      </c>
      <c r="I3" s="186"/>
      <c r="J3" s="186"/>
      <c r="K3" s="548" t="s">
        <v>403</v>
      </c>
      <c r="L3" s="549" t="s">
        <v>404</v>
      </c>
      <c r="M3" s="549"/>
      <c r="N3" s="549"/>
      <c r="O3" s="549"/>
      <c r="P3" s="186"/>
      <c r="Q3" s="186"/>
      <c r="R3" s="186"/>
      <c r="S3" s="186"/>
      <c r="T3" s="186"/>
      <c r="U3" s="186"/>
    </row>
    <row r="4" spans="1:21" ht="20.100000000000001" customHeight="1">
      <c r="A4" s="189"/>
      <c r="B4" s="189"/>
      <c r="C4" s="189"/>
      <c r="D4" s="189"/>
      <c r="E4" s="189"/>
      <c r="F4" s="548"/>
      <c r="G4" s="190"/>
      <c r="H4" s="191" t="s">
        <v>405</v>
      </c>
      <c r="I4" s="189"/>
      <c r="J4" s="189"/>
      <c r="K4" s="548"/>
      <c r="L4" s="549"/>
      <c r="M4" s="549"/>
      <c r="N4" s="549"/>
      <c r="O4" s="549"/>
      <c r="P4" s="189"/>
      <c r="Q4" s="189"/>
      <c r="R4" s="189"/>
      <c r="S4" s="189"/>
      <c r="T4" s="189"/>
      <c r="U4" s="189"/>
    </row>
    <row r="5" spans="1:21" ht="16.5" customHeight="1" thickBot="1">
      <c r="A5" s="192"/>
      <c r="B5" s="192" t="s">
        <v>406</v>
      </c>
      <c r="C5" s="192"/>
      <c r="D5" s="192"/>
      <c r="E5" s="192"/>
      <c r="F5" s="192"/>
      <c r="G5" s="192"/>
      <c r="H5" s="192"/>
      <c r="I5" s="192"/>
      <c r="J5" s="192"/>
      <c r="K5" s="192"/>
      <c r="L5" s="192"/>
      <c r="M5" s="192"/>
      <c r="N5" s="192"/>
      <c r="O5" s="192"/>
      <c r="P5" s="192"/>
      <c r="Q5" s="192"/>
      <c r="R5" s="192"/>
      <c r="S5" s="192"/>
      <c r="T5" s="192"/>
      <c r="U5" s="192"/>
    </row>
    <row r="6" spans="1:21" ht="16.5" customHeight="1" thickBot="1">
      <c r="A6" s="192"/>
      <c r="B6" s="193" t="s">
        <v>407</v>
      </c>
      <c r="C6" s="194"/>
      <c r="D6" s="195" t="s">
        <v>408</v>
      </c>
      <c r="E6" s="194"/>
      <c r="F6" s="195" t="s">
        <v>409</v>
      </c>
      <c r="G6" s="194"/>
      <c r="H6" s="196" t="s">
        <v>410</v>
      </c>
      <c r="I6" s="197" t="s">
        <v>411</v>
      </c>
      <c r="J6" s="193" t="s">
        <v>407</v>
      </c>
      <c r="K6" s="194"/>
      <c r="L6" s="195" t="s">
        <v>408</v>
      </c>
      <c r="M6" s="194"/>
      <c r="N6" s="195" t="s">
        <v>409</v>
      </c>
      <c r="O6" s="194"/>
      <c r="P6" s="196" t="s">
        <v>410</v>
      </c>
      <c r="Q6" s="192"/>
      <c r="R6" s="192"/>
      <c r="S6" s="192"/>
      <c r="T6" s="192"/>
      <c r="U6" s="192"/>
    </row>
    <row r="7" spans="1:21" ht="14.25" customHeight="1">
      <c r="A7" s="198"/>
      <c r="B7" s="198"/>
      <c r="C7" s="198"/>
      <c r="D7" s="198"/>
      <c r="E7" s="198"/>
      <c r="F7" s="198"/>
      <c r="G7" s="198"/>
      <c r="H7" s="198"/>
      <c r="I7" s="198"/>
      <c r="J7" s="198"/>
      <c r="K7" s="198"/>
      <c r="L7" s="198"/>
      <c r="M7" s="198"/>
      <c r="N7" s="198"/>
      <c r="O7" s="198"/>
      <c r="P7" s="198"/>
      <c r="Q7" s="199"/>
      <c r="R7" s="199"/>
      <c r="S7" s="199"/>
      <c r="T7" s="199"/>
      <c r="U7" s="199"/>
    </row>
    <row r="8" spans="1:21" s="200" customFormat="1" ht="18" customHeight="1">
      <c r="A8" s="550" t="s">
        <v>412</v>
      </c>
      <c r="B8" s="551"/>
      <c r="C8" s="551"/>
      <c r="D8" s="551"/>
      <c r="E8" s="551"/>
      <c r="F8" s="551"/>
      <c r="G8" s="551"/>
      <c r="H8" s="551"/>
      <c r="I8" s="551"/>
      <c r="J8" s="551"/>
      <c r="K8" s="551"/>
      <c r="L8" s="551"/>
      <c r="M8" s="551"/>
      <c r="N8" s="551"/>
      <c r="O8" s="551"/>
      <c r="P8" s="551"/>
      <c r="Q8" s="552"/>
      <c r="R8" s="553" t="s">
        <v>413</v>
      </c>
      <c r="S8" s="553" t="s">
        <v>414</v>
      </c>
      <c r="T8" s="585" t="s">
        <v>415</v>
      </c>
      <c r="U8" s="588" t="s">
        <v>416</v>
      </c>
    </row>
    <row r="9" spans="1:21" ht="24.9" customHeight="1">
      <c r="A9" s="591" t="s">
        <v>417</v>
      </c>
      <c r="B9" s="592"/>
      <c r="C9" s="592"/>
      <c r="D9" s="592"/>
      <c r="E9" s="592"/>
      <c r="F9" s="592"/>
      <c r="G9" s="593"/>
      <c r="H9" s="597" t="s">
        <v>418</v>
      </c>
      <c r="I9" s="598"/>
      <c r="J9" s="598"/>
      <c r="K9" s="598"/>
      <c r="L9" s="598"/>
      <c r="M9" s="598"/>
      <c r="N9" s="598"/>
      <c r="O9" s="598"/>
      <c r="P9" s="598"/>
      <c r="Q9" s="599"/>
      <c r="R9" s="554"/>
      <c r="S9" s="554"/>
      <c r="T9" s="586"/>
      <c r="U9" s="589"/>
    </row>
    <row r="10" spans="1:21" ht="24.9" customHeight="1">
      <c r="A10" s="594"/>
      <c r="B10" s="595"/>
      <c r="C10" s="595"/>
      <c r="D10" s="595"/>
      <c r="E10" s="595"/>
      <c r="F10" s="595"/>
      <c r="G10" s="596"/>
      <c r="H10" s="600"/>
      <c r="I10" s="601"/>
      <c r="J10" s="601"/>
      <c r="K10" s="601"/>
      <c r="L10" s="601"/>
      <c r="M10" s="601"/>
      <c r="N10" s="601"/>
      <c r="O10" s="601"/>
      <c r="P10" s="601"/>
      <c r="Q10" s="602"/>
      <c r="R10" s="555"/>
      <c r="S10" s="555"/>
      <c r="T10" s="587"/>
      <c r="U10" s="590"/>
    </row>
    <row r="11" spans="1:21" ht="19.95" customHeight="1">
      <c r="A11" s="556">
        <v>1</v>
      </c>
      <c r="B11" s="559">
        <f>dataSheet!AO2</f>
        <v>0</v>
      </c>
      <c r="C11" s="603"/>
      <c r="D11" s="603"/>
      <c r="E11" s="603"/>
      <c r="F11" s="603"/>
      <c r="G11" s="561"/>
      <c r="H11" s="568"/>
      <c r="I11" s="569"/>
      <c r="J11" s="569"/>
      <c r="K11" s="574" t="s">
        <v>419</v>
      </c>
      <c r="L11" s="569"/>
      <c r="M11" s="569"/>
      <c r="N11" s="569"/>
      <c r="O11" s="569"/>
      <c r="P11" s="577" t="s">
        <v>263</v>
      </c>
      <c r="Q11" s="580"/>
      <c r="R11" s="201"/>
      <c r="S11" s="201"/>
      <c r="T11" s="202"/>
      <c r="U11" s="203"/>
    </row>
    <row r="12" spans="1:21" ht="10.199999999999999" customHeight="1">
      <c r="A12" s="557"/>
      <c r="B12" s="562"/>
      <c r="C12" s="604"/>
      <c r="D12" s="604"/>
      <c r="E12" s="604"/>
      <c r="F12" s="604"/>
      <c r="G12" s="564"/>
      <c r="H12" s="570"/>
      <c r="I12" s="571"/>
      <c r="J12" s="571"/>
      <c r="K12" s="575"/>
      <c r="L12" s="571"/>
      <c r="M12" s="571"/>
      <c r="N12" s="571"/>
      <c r="O12" s="571"/>
      <c r="P12" s="578"/>
      <c r="Q12" s="581"/>
      <c r="R12" s="583"/>
      <c r="S12" s="583"/>
      <c r="T12" s="605"/>
      <c r="U12" s="607"/>
    </row>
    <row r="13" spans="1:21" ht="10.199999999999999" customHeight="1">
      <c r="A13" s="558"/>
      <c r="B13" s="565"/>
      <c r="C13" s="566"/>
      <c r="D13" s="566"/>
      <c r="E13" s="566"/>
      <c r="F13" s="566"/>
      <c r="G13" s="567"/>
      <c r="H13" s="572"/>
      <c r="I13" s="573"/>
      <c r="J13" s="573"/>
      <c r="K13" s="576"/>
      <c r="L13" s="573"/>
      <c r="M13" s="573"/>
      <c r="N13" s="573"/>
      <c r="O13" s="573"/>
      <c r="P13" s="579"/>
      <c r="Q13" s="582"/>
      <c r="R13" s="584"/>
      <c r="S13" s="584"/>
      <c r="T13" s="606"/>
      <c r="U13" s="608"/>
    </row>
    <row r="14" spans="1:21" ht="19.95" customHeight="1">
      <c r="A14" s="556">
        <v>2</v>
      </c>
      <c r="B14" s="559">
        <f>dataSheet!AO3</f>
        <v>0</v>
      </c>
      <c r="C14" s="560"/>
      <c r="D14" s="560"/>
      <c r="E14" s="560"/>
      <c r="F14" s="560"/>
      <c r="G14" s="561"/>
      <c r="H14" s="568"/>
      <c r="I14" s="569"/>
      <c r="J14" s="569"/>
      <c r="K14" s="574" t="s">
        <v>263</v>
      </c>
      <c r="L14" s="569"/>
      <c r="M14" s="569"/>
      <c r="N14" s="569"/>
      <c r="O14" s="569"/>
      <c r="P14" s="577" t="s">
        <v>263</v>
      </c>
      <c r="Q14" s="580"/>
      <c r="R14" s="201"/>
      <c r="S14" s="201"/>
      <c r="T14" s="202"/>
      <c r="U14" s="203"/>
    </row>
    <row r="15" spans="1:21" ht="10.199999999999999" customHeight="1">
      <c r="A15" s="557"/>
      <c r="B15" s="562"/>
      <c r="C15" s="563"/>
      <c r="D15" s="563"/>
      <c r="E15" s="563"/>
      <c r="F15" s="563"/>
      <c r="G15" s="564"/>
      <c r="H15" s="570"/>
      <c r="I15" s="571"/>
      <c r="J15" s="571"/>
      <c r="K15" s="575"/>
      <c r="L15" s="571"/>
      <c r="M15" s="571"/>
      <c r="N15" s="571"/>
      <c r="O15" s="571"/>
      <c r="P15" s="578"/>
      <c r="Q15" s="581"/>
      <c r="R15" s="583"/>
      <c r="S15" s="583"/>
      <c r="T15" s="605"/>
      <c r="U15" s="607"/>
    </row>
    <row r="16" spans="1:21" ht="10.199999999999999" customHeight="1">
      <c r="A16" s="558"/>
      <c r="B16" s="565"/>
      <c r="C16" s="566"/>
      <c r="D16" s="566"/>
      <c r="E16" s="566"/>
      <c r="F16" s="566"/>
      <c r="G16" s="567"/>
      <c r="H16" s="572"/>
      <c r="I16" s="573"/>
      <c r="J16" s="573"/>
      <c r="K16" s="576"/>
      <c r="L16" s="573"/>
      <c r="M16" s="573"/>
      <c r="N16" s="573"/>
      <c r="O16" s="573"/>
      <c r="P16" s="579"/>
      <c r="Q16" s="582"/>
      <c r="R16" s="584"/>
      <c r="S16" s="584"/>
      <c r="T16" s="606"/>
      <c r="U16" s="608"/>
    </row>
    <row r="17" spans="1:21" ht="19.95" customHeight="1">
      <c r="A17" s="556">
        <v>3</v>
      </c>
      <c r="B17" s="559">
        <f>dataSheet!AO4</f>
        <v>0</v>
      </c>
      <c r="C17" s="560"/>
      <c r="D17" s="560"/>
      <c r="E17" s="560"/>
      <c r="F17" s="560"/>
      <c r="G17" s="561"/>
      <c r="H17" s="568"/>
      <c r="I17" s="569"/>
      <c r="J17" s="569"/>
      <c r="K17" s="574" t="s">
        <v>263</v>
      </c>
      <c r="L17" s="569"/>
      <c r="M17" s="569"/>
      <c r="N17" s="569"/>
      <c r="O17" s="569"/>
      <c r="P17" s="577" t="s">
        <v>263</v>
      </c>
      <c r="Q17" s="580"/>
      <c r="R17" s="201"/>
      <c r="S17" s="201"/>
      <c r="T17" s="202"/>
      <c r="U17" s="203"/>
    </row>
    <row r="18" spans="1:21" ht="10.199999999999999" customHeight="1">
      <c r="A18" s="557"/>
      <c r="B18" s="562"/>
      <c r="C18" s="563"/>
      <c r="D18" s="563"/>
      <c r="E18" s="563"/>
      <c r="F18" s="563"/>
      <c r="G18" s="564"/>
      <c r="H18" s="570"/>
      <c r="I18" s="571"/>
      <c r="J18" s="571"/>
      <c r="K18" s="575"/>
      <c r="L18" s="571"/>
      <c r="M18" s="571"/>
      <c r="N18" s="571"/>
      <c r="O18" s="571"/>
      <c r="P18" s="578"/>
      <c r="Q18" s="581"/>
      <c r="R18" s="583"/>
      <c r="S18" s="583"/>
      <c r="T18" s="605"/>
      <c r="U18" s="607"/>
    </row>
    <row r="19" spans="1:21" ht="10.199999999999999" customHeight="1">
      <c r="A19" s="558"/>
      <c r="B19" s="565"/>
      <c r="C19" s="566"/>
      <c r="D19" s="566"/>
      <c r="E19" s="566"/>
      <c r="F19" s="566"/>
      <c r="G19" s="567"/>
      <c r="H19" s="572"/>
      <c r="I19" s="573"/>
      <c r="J19" s="573"/>
      <c r="K19" s="576"/>
      <c r="L19" s="573"/>
      <c r="M19" s="573"/>
      <c r="N19" s="573"/>
      <c r="O19" s="573"/>
      <c r="P19" s="579"/>
      <c r="Q19" s="582"/>
      <c r="R19" s="584"/>
      <c r="S19" s="584"/>
      <c r="T19" s="606"/>
      <c r="U19" s="608"/>
    </row>
    <row r="20" spans="1:21" ht="19.95" customHeight="1">
      <c r="A20" s="556">
        <v>4</v>
      </c>
      <c r="B20" s="559">
        <f>dataSheet!AO5</f>
        <v>0</v>
      </c>
      <c r="C20" s="560"/>
      <c r="D20" s="560"/>
      <c r="E20" s="560"/>
      <c r="F20" s="560"/>
      <c r="G20" s="561"/>
      <c r="H20" s="568"/>
      <c r="I20" s="569"/>
      <c r="J20" s="569"/>
      <c r="K20" s="574" t="s">
        <v>263</v>
      </c>
      <c r="L20" s="569"/>
      <c r="M20" s="569"/>
      <c r="N20" s="569"/>
      <c r="O20" s="569"/>
      <c r="P20" s="577" t="s">
        <v>263</v>
      </c>
      <c r="Q20" s="580"/>
      <c r="R20" s="201"/>
      <c r="S20" s="201"/>
      <c r="T20" s="202"/>
      <c r="U20" s="203"/>
    </row>
    <row r="21" spans="1:21" ht="10.199999999999999" customHeight="1">
      <c r="A21" s="557"/>
      <c r="B21" s="562"/>
      <c r="C21" s="563"/>
      <c r="D21" s="563"/>
      <c r="E21" s="563"/>
      <c r="F21" s="563"/>
      <c r="G21" s="564"/>
      <c r="H21" s="570"/>
      <c r="I21" s="571"/>
      <c r="J21" s="571"/>
      <c r="K21" s="575"/>
      <c r="L21" s="571"/>
      <c r="M21" s="571"/>
      <c r="N21" s="571"/>
      <c r="O21" s="571"/>
      <c r="P21" s="578"/>
      <c r="Q21" s="581"/>
      <c r="R21" s="583"/>
      <c r="S21" s="583"/>
      <c r="T21" s="605"/>
      <c r="U21" s="607"/>
    </row>
    <row r="22" spans="1:21" ht="10.199999999999999" customHeight="1">
      <c r="A22" s="558"/>
      <c r="B22" s="565"/>
      <c r="C22" s="566"/>
      <c r="D22" s="566"/>
      <c r="E22" s="566"/>
      <c r="F22" s="566"/>
      <c r="G22" s="567"/>
      <c r="H22" s="572"/>
      <c r="I22" s="573"/>
      <c r="J22" s="573"/>
      <c r="K22" s="576"/>
      <c r="L22" s="573"/>
      <c r="M22" s="573"/>
      <c r="N22" s="573"/>
      <c r="O22" s="573"/>
      <c r="P22" s="579"/>
      <c r="Q22" s="582"/>
      <c r="R22" s="584"/>
      <c r="S22" s="584"/>
      <c r="T22" s="606"/>
      <c r="U22" s="608"/>
    </row>
    <row r="23" spans="1:21" ht="19.95" customHeight="1">
      <c r="A23" s="556">
        <v>5</v>
      </c>
      <c r="B23" s="559">
        <f>dataSheet!AO6</f>
        <v>0</v>
      </c>
      <c r="C23" s="560"/>
      <c r="D23" s="560"/>
      <c r="E23" s="560"/>
      <c r="F23" s="560"/>
      <c r="G23" s="561"/>
      <c r="H23" s="568"/>
      <c r="I23" s="569"/>
      <c r="J23" s="569"/>
      <c r="K23" s="574" t="s">
        <v>263</v>
      </c>
      <c r="L23" s="569"/>
      <c r="M23" s="569"/>
      <c r="N23" s="569"/>
      <c r="O23" s="569"/>
      <c r="P23" s="577" t="s">
        <v>263</v>
      </c>
      <c r="Q23" s="580"/>
      <c r="R23" s="201"/>
      <c r="S23" s="201"/>
      <c r="T23" s="202"/>
      <c r="U23" s="203"/>
    </row>
    <row r="24" spans="1:21" ht="10.199999999999999" customHeight="1">
      <c r="A24" s="557"/>
      <c r="B24" s="562"/>
      <c r="C24" s="563"/>
      <c r="D24" s="563"/>
      <c r="E24" s="563"/>
      <c r="F24" s="563"/>
      <c r="G24" s="564"/>
      <c r="H24" s="570"/>
      <c r="I24" s="571"/>
      <c r="J24" s="571"/>
      <c r="K24" s="575"/>
      <c r="L24" s="571"/>
      <c r="M24" s="571"/>
      <c r="N24" s="571"/>
      <c r="O24" s="571"/>
      <c r="P24" s="578"/>
      <c r="Q24" s="581"/>
      <c r="R24" s="583"/>
      <c r="S24" s="583"/>
      <c r="T24" s="605"/>
      <c r="U24" s="607"/>
    </row>
    <row r="25" spans="1:21" ht="10.199999999999999" customHeight="1">
      <c r="A25" s="558"/>
      <c r="B25" s="565"/>
      <c r="C25" s="566"/>
      <c r="D25" s="566"/>
      <c r="E25" s="566"/>
      <c r="F25" s="566"/>
      <c r="G25" s="567"/>
      <c r="H25" s="572"/>
      <c r="I25" s="573"/>
      <c r="J25" s="573"/>
      <c r="K25" s="576"/>
      <c r="L25" s="573"/>
      <c r="M25" s="573"/>
      <c r="N25" s="573"/>
      <c r="O25" s="573"/>
      <c r="P25" s="579"/>
      <c r="Q25" s="582"/>
      <c r="R25" s="584"/>
      <c r="S25" s="584"/>
      <c r="T25" s="606"/>
      <c r="U25" s="608"/>
    </row>
    <row r="26" spans="1:21" ht="19.95" customHeight="1">
      <c r="A26" s="556">
        <v>6</v>
      </c>
      <c r="B26" s="559">
        <f>dataSheet!AO7</f>
        <v>0</v>
      </c>
      <c r="C26" s="560"/>
      <c r="D26" s="560"/>
      <c r="E26" s="560"/>
      <c r="F26" s="560"/>
      <c r="G26" s="561"/>
      <c r="H26" s="568"/>
      <c r="I26" s="569"/>
      <c r="J26" s="569"/>
      <c r="K26" s="574" t="s">
        <v>263</v>
      </c>
      <c r="L26" s="569"/>
      <c r="M26" s="569"/>
      <c r="N26" s="569"/>
      <c r="O26" s="569"/>
      <c r="P26" s="577" t="s">
        <v>263</v>
      </c>
      <c r="Q26" s="580"/>
      <c r="R26" s="201"/>
      <c r="S26" s="201"/>
      <c r="T26" s="202"/>
      <c r="U26" s="203"/>
    </row>
    <row r="27" spans="1:21" ht="10.199999999999999" customHeight="1">
      <c r="A27" s="557"/>
      <c r="B27" s="562"/>
      <c r="C27" s="563"/>
      <c r="D27" s="563"/>
      <c r="E27" s="563"/>
      <c r="F27" s="563"/>
      <c r="G27" s="564"/>
      <c r="H27" s="570"/>
      <c r="I27" s="571"/>
      <c r="J27" s="571"/>
      <c r="K27" s="575"/>
      <c r="L27" s="571"/>
      <c r="M27" s="571"/>
      <c r="N27" s="571"/>
      <c r="O27" s="571"/>
      <c r="P27" s="578"/>
      <c r="Q27" s="581"/>
      <c r="R27" s="583"/>
      <c r="S27" s="583"/>
      <c r="T27" s="605"/>
      <c r="U27" s="607"/>
    </row>
    <row r="28" spans="1:21" ht="10.199999999999999" customHeight="1">
      <c r="A28" s="558"/>
      <c r="B28" s="565"/>
      <c r="C28" s="566"/>
      <c r="D28" s="566"/>
      <c r="E28" s="566"/>
      <c r="F28" s="566"/>
      <c r="G28" s="567"/>
      <c r="H28" s="572"/>
      <c r="I28" s="573"/>
      <c r="J28" s="573"/>
      <c r="K28" s="576"/>
      <c r="L28" s="573"/>
      <c r="M28" s="573"/>
      <c r="N28" s="573"/>
      <c r="O28" s="573"/>
      <c r="P28" s="579"/>
      <c r="Q28" s="582"/>
      <c r="R28" s="584"/>
      <c r="S28" s="584"/>
      <c r="T28" s="606"/>
      <c r="U28" s="608"/>
    </row>
    <row r="29" spans="1:21" ht="19.95" customHeight="1">
      <c r="A29" s="556">
        <v>7</v>
      </c>
      <c r="B29" s="559">
        <f>dataSheet!AO8</f>
        <v>0</v>
      </c>
      <c r="C29" s="560"/>
      <c r="D29" s="560"/>
      <c r="E29" s="560"/>
      <c r="F29" s="560"/>
      <c r="G29" s="561"/>
      <c r="H29" s="568"/>
      <c r="I29" s="569"/>
      <c r="J29" s="569"/>
      <c r="K29" s="574" t="s">
        <v>263</v>
      </c>
      <c r="L29" s="569"/>
      <c r="M29" s="569"/>
      <c r="N29" s="569"/>
      <c r="O29" s="569"/>
      <c r="P29" s="577" t="s">
        <v>263</v>
      </c>
      <c r="Q29" s="580"/>
      <c r="R29" s="201"/>
      <c r="S29" s="201"/>
      <c r="T29" s="202"/>
      <c r="U29" s="203"/>
    </row>
    <row r="30" spans="1:21" ht="10.199999999999999" customHeight="1">
      <c r="A30" s="557"/>
      <c r="B30" s="562"/>
      <c r="C30" s="563"/>
      <c r="D30" s="563"/>
      <c r="E30" s="563"/>
      <c r="F30" s="563"/>
      <c r="G30" s="564"/>
      <c r="H30" s="570"/>
      <c r="I30" s="571"/>
      <c r="J30" s="571"/>
      <c r="K30" s="575"/>
      <c r="L30" s="571"/>
      <c r="M30" s="571"/>
      <c r="N30" s="571"/>
      <c r="O30" s="571"/>
      <c r="P30" s="578"/>
      <c r="Q30" s="581"/>
      <c r="R30" s="583"/>
      <c r="S30" s="583"/>
      <c r="T30" s="605"/>
      <c r="U30" s="607"/>
    </row>
    <row r="31" spans="1:21" ht="10.199999999999999" customHeight="1">
      <c r="A31" s="558"/>
      <c r="B31" s="565"/>
      <c r="C31" s="566"/>
      <c r="D31" s="566"/>
      <c r="E31" s="566"/>
      <c r="F31" s="566"/>
      <c r="G31" s="567"/>
      <c r="H31" s="572"/>
      <c r="I31" s="573"/>
      <c r="J31" s="573"/>
      <c r="K31" s="576"/>
      <c r="L31" s="573"/>
      <c r="M31" s="573"/>
      <c r="N31" s="573"/>
      <c r="O31" s="573"/>
      <c r="P31" s="579"/>
      <c r="Q31" s="582"/>
      <c r="R31" s="584"/>
      <c r="S31" s="584"/>
      <c r="T31" s="606"/>
      <c r="U31" s="608"/>
    </row>
    <row r="32" spans="1:21" ht="19.95" customHeight="1">
      <c r="A32" s="556">
        <v>8</v>
      </c>
      <c r="B32" s="559">
        <f>dataSheet!AO9</f>
        <v>0</v>
      </c>
      <c r="C32" s="560"/>
      <c r="D32" s="560"/>
      <c r="E32" s="560"/>
      <c r="F32" s="560"/>
      <c r="G32" s="561"/>
      <c r="H32" s="568"/>
      <c r="I32" s="569"/>
      <c r="J32" s="569"/>
      <c r="K32" s="574" t="s">
        <v>263</v>
      </c>
      <c r="L32" s="569"/>
      <c r="M32" s="569"/>
      <c r="N32" s="569"/>
      <c r="O32" s="569"/>
      <c r="P32" s="577" t="s">
        <v>263</v>
      </c>
      <c r="Q32" s="580"/>
      <c r="R32" s="201"/>
      <c r="S32" s="201"/>
      <c r="T32" s="202"/>
      <c r="U32" s="203"/>
    </row>
    <row r="33" spans="1:22" ht="10.199999999999999" customHeight="1">
      <c r="A33" s="557"/>
      <c r="B33" s="562"/>
      <c r="C33" s="563"/>
      <c r="D33" s="563"/>
      <c r="E33" s="563"/>
      <c r="F33" s="563"/>
      <c r="G33" s="564"/>
      <c r="H33" s="570"/>
      <c r="I33" s="571"/>
      <c r="J33" s="571"/>
      <c r="K33" s="575"/>
      <c r="L33" s="571"/>
      <c r="M33" s="571"/>
      <c r="N33" s="571"/>
      <c r="O33" s="571"/>
      <c r="P33" s="578"/>
      <c r="Q33" s="581"/>
      <c r="R33" s="583"/>
      <c r="S33" s="583"/>
      <c r="T33" s="605"/>
      <c r="U33" s="607"/>
    </row>
    <row r="34" spans="1:22" ht="10.199999999999999" customHeight="1">
      <c r="A34" s="558"/>
      <c r="B34" s="565"/>
      <c r="C34" s="566"/>
      <c r="D34" s="566"/>
      <c r="E34" s="566"/>
      <c r="F34" s="566"/>
      <c r="G34" s="567"/>
      <c r="H34" s="572"/>
      <c r="I34" s="573"/>
      <c r="J34" s="573"/>
      <c r="K34" s="576"/>
      <c r="L34" s="573"/>
      <c r="M34" s="573"/>
      <c r="N34" s="573"/>
      <c r="O34" s="573"/>
      <c r="P34" s="579"/>
      <c r="Q34" s="582"/>
      <c r="R34" s="584"/>
      <c r="S34" s="584"/>
      <c r="T34" s="606"/>
      <c r="U34" s="608"/>
    </row>
    <row r="35" spans="1:22" ht="19.95" customHeight="1">
      <c r="A35" s="556">
        <v>9</v>
      </c>
      <c r="B35" s="559">
        <f>dataSheet!AO10</f>
        <v>0</v>
      </c>
      <c r="C35" s="560"/>
      <c r="D35" s="560"/>
      <c r="E35" s="560"/>
      <c r="F35" s="560"/>
      <c r="G35" s="561"/>
      <c r="H35" s="568"/>
      <c r="I35" s="569"/>
      <c r="J35" s="569"/>
      <c r="K35" s="574" t="s">
        <v>263</v>
      </c>
      <c r="L35" s="569"/>
      <c r="M35" s="569"/>
      <c r="N35" s="569"/>
      <c r="O35" s="569"/>
      <c r="P35" s="577" t="s">
        <v>263</v>
      </c>
      <c r="Q35" s="580"/>
      <c r="R35" s="201"/>
      <c r="S35" s="201"/>
      <c r="T35" s="202"/>
      <c r="U35" s="203"/>
    </row>
    <row r="36" spans="1:22" ht="10.199999999999999" customHeight="1">
      <c r="A36" s="557"/>
      <c r="B36" s="562"/>
      <c r="C36" s="563"/>
      <c r="D36" s="563"/>
      <c r="E36" s="563"/>
      <c r="F36" s="563"/>
      <c r="G36" s="564"/>
      <c r="H36" s="570"/>
      <c r="I36" s="571"/>
      <c r="J36" s="571"/>
      <c r="K36" s="575"/>
      <c r="L36" s="571"/>
      <c r="M36" s="571"/>
      <c r="N36" s="571"/>
      <c r="O36" s="571"/>
      <c r="P36" s="578"/>
      <c r="Q36" s="581"/>
      <c r="R36" s="583"/>
      <c r="S36" s="583"/>
      <c r="T36" s="605"/>
      <c r="U36" s="607"/>
    </row>
    <row r="37" spans="1:22" ht="10.199999999999999" customHeight="1">
      <c r="A37" s="558"/>
      <c r="B37" s="565"/>
      <c r="C37" s="566"/>
      <c r="D37" s="566"/>
      <c r="E37" s="566"/>
      <c r="F37" s="566"/>
      <c r="G37" s="567"/>
      <c r="H37" s="572"/>
      <c r="I37" s="573"/>
      <c r="J37" s="573"/>
      <c r="K37" s="576"/>
      <c r="L37" s="573"/>
      <c r="M37" s="573"/>
      <c r="N37" s="573"/>
      <c r="O37" s="573"/>
      <c r="P37" s="579"/>
      <c r="Q37" s="582"/>
      <c r="R37" s="584"/>
      <c r="S37" s="584"/>
      <c r="T37" s="606"/>
      <c r="U37" s="608"/>
    </row>
    <row r="38" spans="1:22" ht="19.95" customHeight="1">
      <c r="A38" s="556">
        <v>10</v>
      </c>
      <c r="B38" s="559">
        <f>dataSheet!AO11</f>
        <v>0</v>
      </c>
      <c r="C38" s="560"/>
      <c r="D38" s="560"/>
      <c r="E38" s="560"/>
      <c r="F38" s="560"/>
      <c r="G38" s="561"/>
      <c r="H38" s="568"/>
      <c r="I38" s="569"/>
      <c r="J38" s="569"/>
      <c r="K38" s="574" t="s">
        <v>263</v>
      </c>
      <c r="L38" s="569"/>
      <c r="M38" s="569"/>
      <c r="N38" s="569"/>
      <c r="O38" s="569"/>
      <c r="P38" s="577" t="s">
        <v>263</v>
      </c>
      <c r="Q38" s="580"/>
      <c r="R38" s="201"/>
      <c r="S38" s="201"/>
      <c r="T38" s="202"/>
      <c r="U38" s="203"/>
    </row>
    <row r="39" spans="1:22" ht="10.199999999999999" customHeight="1">
      <c r="A39" s="557"/>
      <c r="B39" s="562"/>
      <c r="C39" s="563"/>
      <c r="D39" s="563"/>
      <c r="E39" s="563"/>
      <c r="F39" s="563"/>
      <c r="G39" s="564"/>
      <c r="H39" s="570"/>
      <c r="I39" s="571"/>
      <c r="J39" s="571"/>
      <c r="K39" s="575"/>
      <c r="L39" s="571"/>
      <c r="M39" s="571"/>
      <c r="N39" s="571"/>
      <c r="O39" s="571"/>
      <c r="P39" s="578"/>
      <c r="Q39" s="581"/>
      <c r="R39" s="583"/>
      <c r="S39" s="583"/>
      <c r="T39" s="605"/>
      <c r="U39" s="607"/>
    </row>
    <row r="40" spans="1:22" ht="10.199999999999999" customHeight="1">
      <c r="A40" s="558"/>
      <c r="B40" s="565"/>
      <c r="C40" s="566"/>
      <c r="D40" s="566"/>
      <c r="E40" s="566"/>
      <c r="F40" s="566"/>
      <c r="G40" s="567"/>
      <c r="H40" s="572"/>
      <c r="I40" s="573"/>
      <c r="J40" s="573"/>
      <c r="K40" s="576"/>
      <c r="L40" s="573"/>
      <c r="M40" s="573"/>
      <c r="N40" s="573"/>
      <c r="O40" s="573"/>
      <c r="P40" s="579"/>
      <c r="Q40" s="582"/>
      <c r="R40" s="584"/>
      <c r="S40" s="584"/>
      <c r="T40" s="606"/>
      <c r="U40" s="608"/>
    </row>
    <row r="41" spans="1:22" ht="13.2" customHeight="1" thickBot="1">
      <c r="A41" s="612"/>
      <c r="B41" s="613"/>
      <c r="C41" s="613"/>
      <c r="D41" s="613"/>
      <c r="E41" s="613"/>
      <c r="F41" s="613"/>
      <c r="G41" s="613"/>
      <c r="H41" s="613"/>
      <c r="I41" s="613"/>
      <c r="J41" s="613"/>
      <c r="K41" s="613"/>
      <c r="L41" s="613"/>
      <c r="M41" s="613"/>
      <c r="N41" s="613"/>
      <c r="O41" s="613"/>
      <c r="P41" s="613"/>
      <c r="Q41" s="613"/>
      <c r="R41" s="613"/>
      <c r="S41" s="613"/>
      <c r="T41" s="613"/>
      <c r="U41" s="613"/>
    </row>
    <row r="42" spans="1:22" ht="20.100000000000001" customHeight="1" thickTop="1">
      <c r="A42" s="204" t="s">
        <v>420</v>
      </c>
      <c r="B42" s="205"/>
      <c r="C42" s="205"/>
      <c r="D42" s="205"/>
      <c r="E42" s="205"/>
      <c r="F42" s="205"/>
      <c r="G42" s="205"/>
      <c r="H42" s="205"/>
      <c r="I42" s="205"/>
      <c r="J42" s="205"/>
      <c r="K42" s="205"/>
      <c r="L42" s="205"/>
      <c r="M42" s="205"/>
      <c r="N42" s="206"/>
      <c r="O42" s="207"/>
      <c r="P42" s="208"/>
      <c r="Q42" s="209"/>
      <c r="R42" s="210" t="s">
        <v>421</v>
      </c>
      <c r="S42" s="210" t="s">
        <v>422</v>
      </c>
      <c r="T42" s="211" t="s">
        <v>423</v>
      </c>
      <c r="U42" s="210" t="s">
        <v>424</v>
      </c>
    </row>
    <row r="43" spans="1:22" ht="20.100000000000001" customHeight="1">
      <c r="A43" s="614" t="s">
        <v>425</v>
      </c>
      <c r="B43" s="615"/>
      <c r="C43" s="615"/>
      <c r="D43" s="615"/>
      <c r="E43" s="615"/>
      <c r="F43" s="615"/>
      <c r="G43" s="615"/>
      <c r="H43" s="615"/>
      <c r="I43" s="615"/>
      <c r="J43" s="615"/>
      <c r="K43" s="615"/>
      <c r="L43" s="616"/>
      <c r="M43" s="617"/>
      <c r="N43" s="618"/>
      <c r="O43" s="207"/>
      <c r="P43" s="619" t="s">
        <v>426</v>
      </c>
      <c r="Q43" s="620"/>
      <c r="R43" s="212" t="str">
        <f>IF(SUM(R11,R14,R17,R20,R23,R26,R29,R32,R35,R38)=0,"",SUM(R11,R14,R17,R20,R23,R26,R29,R32,R35,R38))</f>
        <v/>
      </c>
      <c r="S43" s="212" t="str">
        <f>IF(SUM(S11,S14,S17,S20,S23,S26,S29,S32,S35,S38)=0,"",SUM(S11,S14,S17,S20,S23,S26,S29,S32,S35,S38))</f>
        <v/>
      </c>
      <c r="T43" s="213" t="str">
        <f>IF(SUM(T11,T14,T17,T20,T23,T26,T29,T32,T35,T38)=0,"",SUM(T11,T14,T17,T20,T23,T26,T29,T32,T35,T38))</f>
        <v/>
      </c>
      <c r="U43" s="213" t="str">
        <f>IF(SUM(U11,U14,U17,U20,U23,U26,U29,U32,U35,U38)=0,"",SUM(U11,U14,U17,U20,U23,U26,U29,U32,U35,U38))</f>
        <v/>
      </c>
    </row>
    <row r="44" spans="1:22" ht="20.100000000000001" customHeight="1" thickBot="1">
      <c r="A44" s="621" t="s">
        <v>427</v>
      </c>
      <c r="B44" s="621"/>
      <c r="C44" s="621"/>
      <c r="D44" s="621"/>
      <c r="E44" s="621"/>
      <c r="F44" s="621"/>
      <c r="G44" s="621"/>
      <c r="H44" s="621"/>
      <c r="I44" s="621"/>
      <c r="J44" s="621"/>
      <c r="K44" s="621"/>
      <c r="L44" s="621"/>
      <c r="M44" s="621"/>
      <c r="N44" s="621"/>
      <c r="O44" s="621"/>
      <c r="P44" s="622" t="s">
        <v>428</v>
      </c>
      <c r="Q44" s="623"/>
      <c r="R44" s="214">
        <f>R11+R14+R17+R20+R23+R26+R29+R32+R35+R38</f>
        <v>0</v>
      </c>
      <c r="S44" s="214">
        <f>S11+S14+S17+S20+S23+S26+S29+S32+S35+S38</f>
        <v>0</v>
      </c>
      <c r="T44" s="215">
        <f>T11+T14+T17+T20+T23+T26+T29+T32+T35+T38</f>
        <v>0</v>
      </c>
      <c r="U44" s="214">
        <f>U11+U14+U17+U20+U23+U26+U29+U32+U35+U38</f>
        <v>0</v>
      </c>
    </row>
    <row r="45" spans="1:22" ht="20.100000000000001" customHeight="1" thickTop="1" thickBot="1">
      <c r="A45" s="621"/>
      <c r="B45" s="621"/>
      <c r="C45" s="621"/>
      <c r="D45" s="621"/>
      <c r="E45" s="621"/>
      <c r="F45" s="621"/>
      <c r="G45" s="621"/>
      <c r="H45" s="621"/>
      <c r="I45" s="621"/>
      <c r="J45" s="621"/>
      <c r="K45" s="621"/>
      <c r="L45" s="621"/>
      <c r="M45" s="621"/>
      <c r="N45" s="621"/>
      <c r="O45" s="621"/>
      <c r="P45" s="192"/>
      <c r="Q45" s="192"/>
      <c r="R45" s="192"/>
      <c r="S45" s="192"/>
      <c r="T45" s="192"/>
      <c r="U45" s="192"/>
    </row>
    <row r="46" spans="1:22" ht="58.5" customHeight="1" thickTop="1" thickBot="1">
      <c r="A46" s="621"/>
      <c r="B46" s="621"/>
      <c r="C46" s="621"/>
      <c r="D46" s="621"/>
      <c r="E46" s="621"/>
      <c r="F46" s="621"/>
      <c r="G46" s="621"/>
      <c r="H46" s="621"/>
      <c r="I46" s="621"/>
      <c r="J46" s="621"/>
      <c r="K46" s="621"/>
      <c r="L46" s="621"/>
      <c r="M46" s="621"/>
      <c r="N46" s="621"/>
      <c r="O46" s="621"/>
      <c r="P46" s="624" t="s">
        <v>429</v>
      </c>
      <c r="Q46" s="625"/>
      <c r="R46" s="216"/>
      <c r="S46" s="217" t="s">
        <v>430</v>
      </c>
      <c r="T46" s="218" t="str">
        <f>IF(R46="","",ROUNDUP(T44/R46,0))</f>
        <v/>
      </c>
      <c r="V46" s="219"/>
    </row>
    <row r="47" spans="1:22" ht="16.5" customHeight="1" thickTop="1">
      <c r="A47" s="220"/>
      <c r="B47" s="220"/>
      <c r="C47" s="220"/>
      <c r="D47" s="220"/>
      <c r="E47" s="220"/>
      <c r="F47" s="220"/>
      <c r="G47" s="220"/>
      <c r="H47" s="220"/>
      <c r="I47" s="220"/>
      <c r="J47" s="220"/>
      <c r="K47" s="220"/>
      <c r="L47" s="220"/>
      <c r="M47" s="220"/>
      <c r="N47" s="220"/>
      <c r="O47" s="220"/>
      <c r="P47" s="221"/>
      <c r="Q47" s="222"/>
      <c r="R47" s="223"/>
      <c r="S47" s="223"/>
      <c r="T47" s="223"/>
      <c r="U47" s="222"/>
    </row>
    <row r="48" spans="1:22" ht="13.5" customHeight="1">
      <c r="A48" s="185" t="s">
        <v>407</v>
      </c>
      <c r="B48" s="224"/>
      <c r="C48" s="200" t="s">
        <v>408</v>
      </c>
      <c r="D48" s="224"/>
      <c r="E48" s="200" t="s">
        <v>431</v>
      </c>
      <c r="F48" s="225"/>
      <c r="G48" s="226" t="s">
        <v>432</v>
      </c>
      <c r="H48" s="227"/>
      <c r="I48" s="200"/>
      <c r="J48" s="227"/>
      <c r="L48" s="227"/>
      <c r="M48" s="200"/>
      <c r="N48" s="227"/>
      <c r="O48" s="227"/>
      <c r="P48" s="198"/>
      <c r="Q48" s="198"/>
      <c r="R48" s="198"/>
      <c r="S48" s="198"/>
      <c r="T48" s="198"/>
      <c r="U48" s="198"/>
    </row>
    <row r="49" spans="1:21" ht="15" customHeight="1">
      <c r="B49" s="192"/>
      <c r="C49" s="609" t="str">
        <f>"（名称）"&amp;dataSheet!H2</f>
        <v>（名称）</v>
      </c>
      <c r="D49" s="609"/>
      <c r="E49" s="609"/>
      <c r="F49" s="609"/>
      <c r="G49" s="609"/>
      <c r="H49" s="609"/>
      <c r="I49" s="609"/>
      <c r="J49" s="609"/>
      <c r="K49" s="192"/>
      <c r="L49" s="192"/>
      <c r="M49" s="192"/>
      <c r="N49" s="192"/>
      <c r="O49" s="228" t="s">
        <v>433</v>
      </c>
      <c r="P49" s="229"/>
      <c r="Q49" s="229"/>
      <c r="R49" s="229"/>
      <c r="S49" s="229"/>
      <c r="T49" s="230"/>
      <c r="U49" s="231"/>
    </row>
    <row r="50" spans="1:21" ht="15" customHeight="1">
      <c r="A50" s="192" t="s">
        <v>434</v>
      </c>
      <c r="B50" s="192"/>
      <c r="C50" s="192"/>
      <c r="D50" s="227" t="s">
        <v>435</v>
      </c>
      <c r="E50" s="227"/>
      <c r="F50" s="610">
        <f>dataSheet!L2</f>
        <v>0</v>
      </c>
      <c r="G50" s="610"/>
      <c r="H50" s="232" t="s">
        <v>436</v>
      </c>
      <c r="I50" s="610">
        <f>dataSheet!M2</f>
        <v>0</v>
      </c>
      <c r="J50" s="610"/>
      <c r="K50" s="232" t="s">
        <v>436</v>
      </c>
      <c r="L50" s="355">
        <f>dataSheet!N2</f>
        <v>0</v>
      </c>
      <c r="M50" s="227" t="s">
        <v>437</v>
      </c>
      <c r="N50" s="227"/>
      <c r="O50" s="233" t="s">
        <v>438</v>
      </c>
      <c r="P50" s="234"/>
      <c r="Q50" s="234"/>
      <c r="R50" s="234"/>
      <c r="S50" s="234"/>
      <c r="T50" s="235"/>
      <c r="U50" s="236"/>
    </row>
    <row r="51" spans="1:21" ht="15" customHeight="1">
      <c r="C51" s="609" t="str">
        <f>"（氏名）"&amp;dataSheet!J2&amp;"　"&amp;dataSheet!K2</f>
        <v>（氏名）　</v>
      </c>
      <c r="D51" s="609"/>
      <c r="E51" s="609"/>
      <c r="F51" s="609"/>
      <c r="G51" s="609"/>
      <c r="H51" s="609"/>
      <c r="I51" s="609"/>
      <c r="J51" s="224" t="s">
        <v>439</v>
      </c>
      <c r="K51" s="192"/>
      <c r="L51" s="192"/>
      <c r="M51" s="192"/>
      <c r="N51" s="192"/>
      <c r="O51" s="237" t="s">
        <v>440</v>
      </c>
      <c r="P51" s="238"/>
      <c r="Q51" s="238"/>
      <c r="R51" s="238"/>
      <c r="S51" s="238"/>
      <c r="T51" s="239"/>
      <c r="U51" s="240">
        <f>dataSheet!AN2</f>
        <v>0</v>
      </c>
    </row>
    <row r="52" spans="1:21" ht="21.75" customHeight="1" thickBot="1">
      <c r="A52" s="192" t="s">
        <v>441</v>
      </c>
      <c r="B52" s="192"/>
      <c r="C52" s="192"/>
      <c r="D52" s="192"/>
      <c r="E52" s="192"/>
      <c r="F52" s="192"/>
      <c r="G52" s="192"/>
      <c r="H52" s="192"/>
      <c r="I52" s="192"/>
      <c r="J52" s="192"/>
      <c r="K52" s="192"/>
      <c r="L52" s="192"/>
      <c r="M52" s="192"/>
      <c r="N52" s="192"/>
      <c r="O52" s="241"/>
      <c r="P52" s="242" t="s">
        <v>442</v>
      </c>
      <c r="Q52" s="241"/>
      <c r="R52" s="241"/>
      <c r="S52" s="241"/>
      <c r="T52" s="241"/>
      <c r="U52" s="241"/>
    </row>
    <row r="53" spans="1:21" ht="18" customHeight="1" thickBot="1">
      <c r="A53" s="192"/>
      <c r="B53" s="192"/>
      <c r="C53" s="609" t="s">
        <v>443</v>
      </c>
      <c r="D53" s="609"/>
      <c r="E53" s="609"/>
      <c r="F53" s="609"/>
      <c r="G53" s="609"/>
      <c r="H53" s="609"/>
      <c r="I53" s="609"/>
      <c r="J53" s="224" t="s">
        <v>439</v>
      </c>
      <c r="K53" s="192"/>
      <c r="L53" s="192"/>
      <c r="M53" s="192"/>
      <c r="N53" s="192"/>
      <c r="O53" s="192"/>
      <c r="P53" s="192"/>
      <c r="Q53" s="243"/>
      <c r="R53" s="195" t="s">
        <v>444</v>
      </c>
      <c r="S53" s="194"/>
      <c r="T53" s="244" t="s">
        <v>445</v>
      </c>
      <c r="U53" s="245"/>
    </row>
    <row r="54" spans="1:21" ht="12.75" customHeight="1"/>
    <row r="55" spans="1:21" ht="14.25" customHeight="1">
      <c r="A55" s="246"/>
      <c r="B55" s="246"/>
      <c r="C55" s="246"/>
      <c r="D55" s="246"/>
      <c r="E55" s="246"/>
      <c r="F55" s="246"/>
      <c r="G55" s="246"/>
      <c r="H55" s="246"/>
      <c r="I55" s="246"/>
      <c r="J55" s="246"/>
      <c r="K55" s="246"/>
      <c r="L55" s="246"/>
      <c r="M55" s="246"/>
      <c r="N55" s="246"/>
      <c r="O55" s="246"/>
      <c r="P55" s="246"/>
      <c r="Q55" s="246"/>
      <c r="R55" s="246"/>
      <c r="S55" s="246"/>
      <c r="T55" s="246"/>
      <c r="U55" s="246"/>
    </row>
    <row r="56" spans="1:21" ht="20.100000000000001" customHeight="1">
      <c r="A56" s="247"/>
      <c r="B56" s="611" t="s">
        <v>446</v>
      </c>
      <c r="C56" s="611"/>
      <c r="D56" s="611"/>
      <c r="E56" s="248"/>
      <c r="F56" s="248"/>
      <c r="G56" s="248"/>
      <c r="H56" s="248"/>
      <c r="I56" s="248"/>
      <c r="J56" s="248"/>
      <c r="K56" s="248"/>
      <c r="L56" s="248"/>
      <c r="M56" s="248"/>
      <c r="N56" s="248"/>
      <c r="O56" s="248"/>
      <c r="P56" s="248"/>
      <c r="Q56" s="248"/>
      <c r="R56" s="248"/>
      <c r="S56" s="248"/>
      <c r="T56" s="248"/>
      <c r="U56" s="248"/>
    </row>
    <row r="57" spans="1:21" ht="20.100000000000001" customHeight="1">
      <c r="A57" s="247"/>
      <c r="B57" s="248"/>
      <c r="C57" s="248"/>
      <c r="D57" s="248"/>
      <c r="E57" s="248"/>
      <c r="F57" s="248"/>
      <c r="G57" s="248"/>
      <c r="H57" s="248"/>
      <c r="I57" s="248"/>
      <c r="J57" s="248"/>
      <c r="K57" s="248"/>
      <c r="L57" s="248"/>
      <c r="M57" s="248"/>
      <c r="N57" s="248"/>
      <c r="O57" s="248"/>
      <c r="P57" s="248"/>
      <c r="Q57" s="248"/>
      <c r="R57" s="248"/>
      <c r="S57" s="248"/>
      <c r="T57" s="248"/>
      <c r="U57" s="248"/>
    </row>
    <row r="58" spans="1:21" ht="20.100000000000001" customHeight="1">
      <c r="A58" s="247">
        <v>1</v>
      </c>
      <c r="B58" s="626" t="s">
        <v>447</v>
      </c>
      <c r="C58" s="626"/>
      <c r="D58" s="626"/>
      <c r="E58" s="626"/>
      <c r="F58" s="626"/>
      <c r="G58" s="626"/>
      <c r="H58" s="626"/>
      <c r="I58" s="626"/>
      <c r="J58" s="626"/>
      <c r="K58" s="626"/>
      <c r="L58" s="626"/>
      <c r="M58" s="247">
        <v>6</v>
      </c>
      <c r="N58" s="626" t="s">
        <v>448</v>
      </c>
      <c r="O58" s="626"/>
      <c r="P58" s="626"/>
      <c r="Q58" s="626"/>
      <c r="R58" s="626"/>
      <c r="S58" s="626"/>
      <c r="T58" s="626"/>
      <c r="U58" s="626"/>
    </row>
    <row r="59" spans="1:21" ht="20.100000000000001" customHeight="1">
      <c r="A59" s="247"/>
      <c r="B59" s="626"/>
      <c r="C59" s="626"/>
      <c r="D59" s="626"/>
      <c r="E59" s="626"/>
      <c r="F59" s="626"/>
      <c r="G59" s="626"/>
      <c r="H59" s="626"/>
      <c r="I59" s="626"/>
      <c r="J59" s="626"/>
      <c r="K59" s="626"/>
      <c r="L59" s="626"/>
      <c r="M59" s="247"/>
      <c r="N59" s="626"/>
      <c r="O59" s="626"/>
      <c r="P59" s="626"/>
      <c r="Q59" s="626"/>
      <c r="R59" s="626"/>
      <c r="S59" s="626"/>
      <c r="T59" s="626"/>
      <c r="U59" s="626"/>
    </row>
    <row r="60" spans="1:21" ht="20.100000000000001" customHeight="1">
      <c r="A60" s="247"/>
      <c r="B60" s="626"/>
      <c r="C60" s="626"/>
      <c r="D60" s="626"/>
      <c r="E60" s="626"/>
      <c r="F60" s="626"/>
      <c r="G60" s="626"/>
      <c r="H60" s="626"/>
      <c r="I60" s="626"/>
      <c r="J60" s="626"/>
      <c r="K60" s="626"/>
      <c r="L60" s="626"/>
      <c r="M60" s="247"/>
      <c r="N60" s="626"/>
      <c r="O60" s="626"/>
      <c r="P60" s="626"/>
      <c r="Q60" s="626"/>
      <c r="R60" s="626"/>
      <c r="S60" s="626"/>
      <c r="T60" s="626"/>
      <c r="U60" s="626"/>
    </row>
    <row r="61" spans="1:21" ht="20.100000000000001" customHeight="1">
      <c r="A61" s="247"/>
      <c r="B61" s="247"/>
      <c r="C61" s="247"/>
      <c r="D61" s="247"/>
      <c r="E61" s="247"/>
      <c r="F61" s="247"/>
      <c r="G61" s="247"/>
      <c r="H61" s="247"/>
      <c r="I61" s="247"/>
      <c r="J61" s="247"/>
      <c r="K61" s="247"/>
      <c r="L61" s="247"/>
      <c r="M61" s="247"/>
      <c r="N61" s="626"/>
      <c r="O61" s="626"/>
      <c r="P61" s="626"/>
      <c r="Q61" s="626"/>
      <c r="R61" s="626"/>
      <c r="S61" s="626"/>
      <c r="T61" s="626"/>
      <c r="U61" s="626"/>
    </row>
    <row r="62" spans="1:21" ht="20.100000000000001" customHeight="1">
      <c r="A62" s="247">
        <v>2</v>
      </c>
      <c r="B62" s="626" t="s">
        <v>449</v>
      </c>
      <c r="C62" s="626"/>
      <c r="D62" s="626"/>
      <c r="E62" s="626"/>
      <c r="F62" s="626"/>
      <c r="G62" s="626"/>
      <c r="H62" s="626"/>
      <c r="I62" s="626"/>
      <c r="J62" s="626"/>
      <c r="K62" s="626"/>
      <c r="L62" s="626"/>
      <c r="M62" s="247"/>
      <c r="N62" s="626"/>
      <c r="O62" s="626"/>
      <c r="P62" s="626"/>
      <c r="Q62" s="626"/>
      <c r="R62" s="626"/>
      <c r="S62" s="626"/>
      <c r="T62" s="626"/>
      <c r="U62" s="626"/>
    </row>
    <row r="63" spans="1:21" ht="20.100000000000001" customHeight="1">
      <c r="A63" s="247"/>
      <c r="B63" s="626"/>
      <c r="C63" s="626"/>
      <c r="D63" s="626"/>
      <c r="E63" s="626"/>
      <c r="F63" s="626"/>
      <c r="G63" s="626"/>
      <c r="H63" s="626"/>
      <c r="I63" s="626"/>
      <c r="J63" s="626"/>
      <c r="K63" s="626"/>
      <c r="L63" s="626"/>
      <c r="M63" s="247"/>
      <c r="N63" s="626"/>
      <c r="O63" s="626"/>
      <c r="P63" s="626"/>
      <c r="Q63" s="626"/>
      <c r="R63" s="626"/>
      <c r="S63" s="626"/>
      <c r="T63" s="626"/>
      <c r="U63" s="626"/>
    </row>
    <row r="64" spans="1:21" ht="20.100000000000001" customHeight="1">
      <c r="A64" s="247"/>
      <c r="B64" s="626"/>
      <c r="C64" s="626"/>
      <c r="D64" s="626"/>
      <c r="E64" s="626"/>
      <c r="F64" s="626"/>
      <c r="G64" s="626"/>
      <c r="H64" s="626"/>
      <c r="I64" s="626"/>
      <c r="J64" s="626"/>
      <c r="K64" s="626"/>
      <c r="L64" s="626"/>
      <c r="M64" s="247"/>
      <c r="N64" s="247"/>
      <c r="O64" s="247"/>
      <c r="P64" s="247"/>
      <c r="Q64" s="247"/>
      <c r="R64" s="247"/>
      <c r="S64" s="247"/>
      <c r="T64" s="247"/>
      <c r="U64" s="247"/>
    </row>
    <row r="65" spans="1:21" ht="20.100000000000001" customHeight="1">
      <c r="A65" s="247"/>
      <c r="B65" s="247"/>
      <c r="C65" s="247"/>
      <c r="D65" s="247"/>
      <c r="E65" s="247"/>
      <c r="F65" s="247"/>
      <c r="G65" s="247"/>
      <c r="H65" s="247"/>
      <c r="I65" s="247"/>
      <c r="J65" s="247"/>
      <c r="K65" s="247"/>
      <c r="L65" s="247"/>
      <c r="M65" s="247">
        <v>7</v>
      </c>
      <c r="N65" s="626" t="s">
        <v>450</v>
      </c>
      <c r="O65" s="626"/>
      <c r="P65" s="626"/>
      <c r="Q65" s="626"/>
      <c r="R65" s="626"/>
      <c r="S65" s="626"/>
      <c r="T65" s="626"/>
      <c r="U65" s="626"/>
    </row>
    <row r="66" spans="1:21" ht="20.100000000000001" customHeight="1">
      <c r="A66" s="247">
        <v>3</v>
      </c>
      <c r="B66" s="626" t="s">
        <v>451</v>
      </c>
      <c r="C66" s="626"/>
      <c r="D66" s="626"/>
      <c r="E66" s="626"/>
      <c r="F66" s="626"/>
      <c r="G66" s="626"/>
      <c r="H66" s="626"/>
      <c r="I66" s="626"/>
      <c r="J66" s="626"/>
      <c r="K66" s="626"/>
      <c r="L66" s="626"/>
      <c r="M66" s="247"/>
      <c r="N66" s="626"/>
      <c r="O66" s="626"/>
      <c r="P66" s="626"/>
      <c r="Q66" s="626"/>
      <c r="R66" s="626"/>
      <c r="S66" s="626"/>
      <c r="T66" s="626"/>
      <c r="U66" s="626"/>
    </row>
    <row r="67" spans="1:21" ht="20.100000000000001" customHeight="1">
      <c r="A67" s="247"/>
      <c r="B67" s="626"/>
      <c r="C67" s="626"/>
      <c r="D67" s="626"/>
      <c r="E67" s="626"/>
      <c r="F67" s="626"/>
      <c r="G67" s="626"/>
      <c r="H67" s="626"/>
      <c r="I67" s="626"/>
      <c r="J67" s="626"/>
      <c r="K67" s="626"/>
      <c r="L67" s="626"/>
      <c r="M67" s="247"/>
      <c r="N67" s="626"/>
      <c r="O67" s="626"/>
      <c r="P67" s="626"/>
      <c r="Q67" s="626"/>
      <c r="R67" s="626"/>
      <c r="S67" s="626"/>
      <c r="T67" s="626"/>
      <c r="U67" s="626"/>
    </row>
    <row r="68" spans="1:21" ht="20.100000000000001" customHeight="1">
      <c r="A68" s="247"/>
      <c r="B68" s="247"/>
      <c r="C68" s="247"/>
      <c r="D68" s="247"/>
      <c r="E68" s="247"/>
      <c r="F68" s="247"/>
      <c r="G68" s="247"/>
      <c r="H68" s="247"/>
      <c r="I68" s="247"/>
      <c r="J68" s="247"/>
      <c r="K68" s="247"/>
      <c r="L68" s="247"/>
      <c r="M68" s="247"/>
      <c r="N68" s="247"/>
      <c r="O68" s="247"/>
      <c r="P68" s="247"/>
      <c r="Q68" s="247"/>
      <c r="R68" s="247"/>
      <c r="S68" s="247"/>
      <c r="T68" s="247"/>
      <c r="U68" s="247"/>
    </row>
    <row r="69" spans="1:21" ht="20.100000000000001" customHeight="1">
      <c r="A69" s="249">
        <v>4</v>
      </c>
      <c r="B69" s="626" t="s">
        <v>452</v>
      </c>
      <c r="C69" s="626"/>
      <c r="D69" s="626"/>
      <c r="E69" s="626"/>
      <c r="F69" s="626"/>
      <c r="G69" s="626"/>
      <c r="H69" s="626"/>
      <c r="I69" s="626"/>
      <c r="J69" s="626"/>
      <c r="K69" s="626"/>
      <c r="L69" s="626"/>
      <c r="M69" s="247">
        <v>8</v>
      </c>
      <c r="N69" s="626" t="s">
        <v>453</v>
      </c>
      <c r="O69" s="626"/>
      <c r="P69" s="626"/>
      <c r="Q69" s="626"/>
      <c r="R69" s="626"/>
      <c r="S69" s="626"/>
      <c r="T69" s="626"/>
      <c r="U69" s="626"/>
    </row>
    <row r="70" spans="1:21" ht="20.100000000000001" customHeight="1">
      <c r="A70" s="249"/>
      <c r="B70" s="626"/>
      <c r="C70" s="626"/>
      <c r="D70" s="626"/>
      <c r="E70" s="626"/>
      <c r="F70" s="626"/>
      <c r="G70" s="626"/>
      <c r="H70" s="626"/>
      <c r="I70" s="626"/>
      <c r="J70" s="626"/>
      <c r="K70" s="626"/>
      <c r="L70" s="626"/>
      <c r="M70" s="247"/>
      <c r="N70" s="626"/>
      <c r="O70" s="626"/>
      <c r="P70" s="626"/>
      <c r="Q70" s="626"/>
      <c r="R70" s="626"/>
      <c r="S70" s="626"/>
      <c r="T70" s="626"/>
      <c r="U70" s="626"/>
    </row>
    <row r="71" spans="1:21" ht="20.100000000000001" customHeight="1">
      <c r="A71" s="247"/>
      <c r="B71" s="626"/>
      <c r="C71" s="626"/>
      <c r="D71" s="626"/>
      <c r="E71" s="626"/>
      <c r="F71" s="626"/>
      <c r="G71" s="626"/>
      <c r="H71" s="626"/>
      <c r="I71" s="626"/>
      <c r="J71" s="626"/>
      <c r="K71" s="626"/>
      <c r="L71" s="626"/>
      <c r="M71" s="247"/>
      <c r="N71" s="626"/>
      <c r="O71" s="626"/>
      <c r="P71" s="626"/>
      <c r="Q71" s="626"/>
      <c r="R71" s="626"/>
      <c r="S71" s="626"/>
      <c r="T71" s="626"/>
      <c r="U71" s="626"/>
    </row>
    <row r="72" spans="1:21" ht="20.100000000000001" customHeight="1">
      <c r="A72" s="247"/>
      <c r="B72" s="626"/>
      <c r="C72" s="626"/>
      <c r="D72" s="626"/>
      <c r="E72" s="626"/>
      <c r="F72" s="626"/>
      <c r="G72" s="626"/>
      <c r="H72" s="626"/>
      <c r="I72" s="626"/>
      <c r="J72" s="626"/>
      <c r="K72" s="626"/>
      <c r="L72" s="626"/>
      <c r="M72" s="247"/>
      <c r="N72" s="626"/>
      <c r="O72" s="626"/>
      <c r="P72" s="626"/>
      <c r="Q72" s="626"/>
      <c r="R72" s="626"/>
      <c r="S72" s="626"/>
      <c r="T72" s="626"/>
      <c r="U72" s="626"/>
    </row>
    <row r="73" spans="1:21" ht="20.100000000000001" customHeight="1">
      <c r="A73" s="247"/>
      <c r="B73" s="626"/>
      <c r="C73" s="626"/>
      <c r="D73" s="626"/>
      <c r="E73" s="626"/>
      <c r="F73" s="626"/>
      <c r="G73" s="626"/>
      <c r="H73" s="626"/>
      <c r="I73" s="626"/>
      <c r="J73" s="626"/>
      <c r="K73" s="626"/>
      <c r="L73" s="626"/>
      <c r="M73" s="247"/>
      <c r="N73" s="247"/>
      <c r="O73" s="247"/>
      <c r="P73" s="247"/>
      <c r="Q73" s="247"/>
      <c r="R73" s="247"/>
      <c r="S73" s="247"/>
      <c r="T73" s="247"/>
      <c r="U73" s="247"/>
    </row>
    <row r="74" spans="1:21" ht="20.100000000000001" customHeight="1">
      <c r="A74" s="247"/>
      <c r="B74" s="247"/>
      <c r="C74" s="247"/>
      <c r="D74" s="247"/>
      <c r="E74" s="247"/>
      <c r="F74" s="247"/>
      <c r="G74" s="247"/>
      <c r="H74" s="247"/>
      <c r="I74" s="247"/>
      <c r="J74" s="247"/>
      <c r="K74" s="247"/>
      <c r="L74" s="247"/>
      <c r="M74" s="247">
        <v>9</v>
      </c>
      <c r="N74" s="626" t="s">
        <v>454</v>
      </c>
      <c r="O74" s="626"/>
      <c r="P74" s="626"/>
      <c r="Q74" s="626"/>
      <c r="R74" s="626"/>
      <c r="S74" s="626"/>
      <c r="T74" s="626"/>
      <c r="U74" s="626"/>
    </row>
    <row r="75" spans="1:21" ht="20.100000000000001" customHeight="1">
      <c r="A75" s="249">
        <v>5</v>
      </c>
      <c r="B75" s="626" t="s">
        <v>455</v>
      </c>
      <c r="C75" s="626"/>
      <c r="D75" s="626"/>
      <c r="E75" s="626"/>
      <c r="F75" s="626"/>
      <c r="G75" s="626"/>
      <c r="H75" s="626"/>
      <c r="I75" s="626"/>
      <c r="J75" s="626"/>
      <c r="K75" s="626"/>
      <c r="L75" s="626"/>
      <c r="M75" s="247"/>
      <c r="N75" s="626"/>
      <c r="O75" s="626"/>
      <c r="P75" s="626"/>
      <c r="Q75" s="626"/>
      <c r="R75" s="626"/>
      <c r="S75" s="626"/>
      <c r="T75" s="626"/>
      <c r="U75" s="626"/>
    </row>
    <row r="76" spans="1:21" ht="20.100000000000001" customHeight="1">
      <c r="A76" s="249"/>
      <c r="B76" s="626"/>
      <c r="C76" s="626"/>
      <c r="D76" s="626"/>
      <c r="E76" s="626"/>
      <c r="F76" s="626"/>
      <c r="G76" s="626"/>
      <c r="H76" s="626"/>
      <c r="I76" s="626"/>
      <c r="J76" s="626"/>
      <c r="K76" s="626"/>
      <c r="L76" s="626"/>
      <c r="M76" s="247"/>
      <c r="N76" s="247"/>
      <c r="O76" s="247"/>
      <c r="P76" s="247"/>
      <c r="Q76" s="247"/>
      <c r="R76" s="247"/>
      <c r="S76" s="247"/>
      <c r="T76" s="247"/>
      <c r="U76" s="247"/>
    </row>
    <row r="77" spans="1:21" ht="20.100000000000001" customHeight="1">
      <c r="A77" s="247"/>
      <c r="B77" s="626"/>
      <c r="C77" s="626"/>
      <c r="D77" s="626"/>
      <c r="E77" s="626"/>
      <c r="F77" s="626"/>
      <c r="G77" s="626"/>
      <c r="H77" s="626"/>
      <c r="I77" s="626"/>
      <c r="J77" s="626"/>
      <c r="K77" s="626"/>
      <c r="L77" s="626"/>
      <c r="M77" s="250">
        <v>10</v>
      </c>
      <c r="N77" s="626" t="s">
        <v>456</v>
      </c>
      <c r="O77" s="626"/>
      <c r="P77" s="626"/>
      <c r="Q77" s="626"/>
      <c r="R77" s="626"/>
      <c r="S77" s="626"/>
      <c r="T77" s="626"/>
      <c r="U77" s="626"/>
    </row>
    <row r="78" spans="1:21" ht="20.100000000000001" customHeight="1">
      <c r="A78" s="251"/>
      <c r="B78" s="626"/>
      <c r="C78" s="626"/>
      <c r="D78" s="626"/>
      <c r="E78" s="626"/>
      <c r="F78" s="626"/>
      <c r="G78" s="626"/>
      <c r="H78" s="626"/>
      <c r="I78" s="626"/>
      <c r="J78" s="626"/>
      <c r="K78" s="626"/>
      <c r="L78" s="626"/>
      <c r="M78" s="250"/>
      <c r="N78" s="626"/>
      <c r="O78" s="626"/>
      <c r="P78" s="626"/>
      <c r="Q78" s="626"/>
      <c r="R78" s="626"/>
      <c r="S78" s="626"/>
      <c r="T78" s="626"/>
      <c r="U78" s="626"/>
    </row>
    <row r="79" spans="1:21" ht="20.100000000000001" customHeight="1">
      <c r="A79" s="251"/>
      <c r="B79" s="626"/>
      <c r="C79" s="626"/>
      <c r="D79" s="626"/>
      <c r="E79" s="626"/>
      <c r="F79" s="626"/>
      <c r="G79" s="626"/>
      <c r="H79" s="626"/>
      <c r="I79" s="626"/>
      <c r="J79" s="626"/>
      <c r="K79" s="626"/>
      <c r="L79" s="626"/>
      <c r="M79" s="250"/>
      <c r="N79" s="626"/>
      <c r="O79" s="626"/>
      <c r="P79" s="626"/>
      <c r="Q79" s="626"/>
      <c r="R79" s="626"/>
      <c r="S79" s="626"/>
      <c r="T79" s="626"/>
      <c r="U79" s="626"/>
    </row>
    <row r="80" spans="1:21" ht="20.100000000000001" customHeight="1">
      <c r="A80" s="247"/>
      <c r="B80" s="247"/>
      <c r="C80" s="247"/>
      <c r="D80" s="247"/>
      <c r="E80" s="247"/>
      <c r="F80" s="247"/>
      <c r="G80" s="247"/>
      <c r="H80" s="247"/>
      <c r="I80" s="247"/>
      <c r="J80" s="247"/>
      <c r="K80" s="247"/>
      <c r="L80" s="247"/>
      <c r="M80" s="247"/>
      <c r="N80" s="626"/>
      <c r="O80" s="626"/>
      <c r="P80" s="626"/>
      <c r="Q80" s="626"/>
      <c r="R80" s="626"/>
      <c r="S80" s="626"/>
      <c r="T80" s="626"/>
      <c r="U80" s="626"/>
    </row>
    <row r="81" spans="1:21" ht="20.100000000000001" customHeight="1">
      <c r="A81" s="247"/>
      <c r="B81" s="247"/>
      <c r="C81" s="247"/>
      <c r="D81" s="247"/>
      <c r="E81" s="247"/>
      <c r="F81" s="247"/>
      <c r="G81" s="247"/>
      <c r="H81" s="247"/>
      <c r="I81" s="247"/>
      <c r="J81" s="247"/>
      <c r="K81" s="247"/>
      <c r="L81" s="247"/>
      <c r="M81" s="247">
        <v>11</v>
      </c>
      <c r="N81" s="626" t="s">
        <v>457</v>
      </c>
      <c r="O81" s="626"/>
      <c r="P81" s="626"/>
      <c r="Q81" s="626"/>
      <c r="R81" s="626"/>
      <c r="S81" s="626"/>
      <c r="T81" s="626"/>
      <c r="U81" s="626"/>
    </row>
    <row r="82" spans="1:21" ht="20.100000000000001" customHeight="1">
      <c r="A82" s="247"/>
      <c r="B82" s="247"/>
      <c r="C82" s="247"/>
      <c r="D82" s="247"/>
      <c r="E82" s="247"/>
      <c r="F82" s="247"/>
      <c r="G82" s="247"/>
      <c r="H82" s="247"/>
      <c r="I82" s="247"/>
      <c r="J82" s="247"/>
      <c r="K82" s="247"/>
      <c r="L82" s="247"/>
      <c r="M82" s="247"/>
      <c r="N82" s="626"/>
      <c r="O82" s="626"/>
      <c r="P82" s="626"/>
      <c r="Q82" s="626"/>
      <c r="R82" s="626"/>
      <c r="S82" s="626"/>
      <c r="T82" s="626"/>
      <c r="U82" s="626"/>
    </row>
    <row r="83" spans="1:21" ht="20.100000000000001" customHeight="1">
      <c r="A83" s="247"/>
      <c r="B83" s="247"/>
      <c r="C83" s="247"/>
      <c r="D83" s="247"/>
      <c r="E83" s="247"/>
      <c r="F83" s="247"/>
      <c r="G83" s="247"/>
      <c r="H83" s="247"/>
      <c r="I83" s="247"/>
      <c r="J83" s="247"/>
      <c r="K83" s="247"/>
      <c r="L83" s="247"/>
      <c r="M83" s="247"/>
      <c r="N83" s="626"/>
      <c r="O83" s="626"/>
      <c r="P83" s="626"/>
      <c r="Q83" s="626"/>
      <c r="R83" s="626"/>
      <c r="S83" s="626"/>
      <c r="T83" s="626"/>
      <c r="U83" s="626"/>
    </row>
    <row r="84" spans="1:21" ht="20.100000000000001" customHeight="1">
      <c r="A84" s="249"/>
      <c r="B84" s="247"/>
      <c r="C84" s="247"/>
      <c r="D84" s="247"/>
      <c r="E84" s="247"/>
      <c r="F84" s="247"/>
      <c r="G84" s="247"/>
      <c r="H84" s="247"/>
      <c r="I84" s="247"/>
      <c r="J84" s="247"/>
      <c r="K84" s="247"/>
      <c r="L84" s="247"/>
      <c r="M84" s="247"/>
      <c r="N84" s="247"/>
      <c r="O84" s="247"/>
      <c r="P84" s="247"/>
      <c r="Q84" s="247"/>
      <c r="R84" s="247"/>
      <c r="S84" s="247"/>
      <c r="T84" s="247"/>
      <c r="U84" s="247"/>
    </row>
    <row r="85" spans="1:21" ht="20.100000000000001" customHeight="1">
      <c r="A85" s="249"/>
      <c r="B85" s="247"/>
      <c r="C85" s="247"/>
      <c r="D85" s="247"/>
      <c r="E85" s="247"/>
      <c r="F85" s="247"/>
      <c r="G85" s="247"/>
      <c r="H85" s="247"/>
      <c r="I85" s="247"/>
      <c r="J85" s="247"/>
      <c r="K85" s="247"/>
      <c r="L85" s="247"/>
      <c r="M85" s="247"/>
      <c r="N85" s="247"/>
      <c r="O85" s="247"/>
      <c r="P85" s="247"/>
      <c r="Q85" s="247"/>
      <c r="R85" s="247"/>
      <c r="S85" s="247"/>
      <c r="T85" s="247"/>
      <c r="U85" s="247"/>
    </row>
    <row r="86" spans="1:21">
      <c r="A86" s="252"/>
      <c r="B86" s="252"/>
      <c r="C86" s="252"/>
      <c r="D86" s="252"/>
      <c r="E86" s="252"/>
      <c r="F86" s="252"/>
      <c r="G86" s="252"/>
      <c r="H86" s="252"/>
      <c r="I86" s="252"/>
      <c r="J86" s="252"/>
      <c r="K86" s="252"/>
      <c r="L86" s="252"/>
      <c r="M86" s="252"/>
      <c r="N86" s="252"/>
      <c r="O86" s="252"/>
      <c r="P86" s="252"/>
      <c r="Q86" s="252"/>
      <c r="R86" s="252"/>
      <c r="S86" s="252"/>
      <c r="T86" s="252"/>
      <c r="U86" s="252"/>
    </row>
    <row r="87" spans="1:21">
      <c r="A87" s="252"/>
      <c r="B87" s="252"/>
      <c r="C87" s="252"/>
      <c r="D87" s="252"/>
      <c r="E87" s="252"/>
      <c r="F87" s="252"/>
      <c r="G87" s="252"/>
      <c r="H87" s="252"/>
      <c r="I87" s="252"/>
      <c r="J87" s="252"/>
      <c r="K87" s="252"/>
      <c r="L87" s="252"/>
      <c r="M87" s="252"/>
      <c r="N87" s="252"/>
      <c r="O87" s="252"/>
      <c r="P87" s="252"/>
      <c r="Q87" s="252"/>
      <c r="R87" s="252"/>
      <c r="S87" s="252"/>
      <c r="T87" s="252"/>
      <c r="U87" s="252"/>
    </row>
    <row r="88" spans="1:21">
      <c r="A88" s="252"/>
      <c r="B88" s="252"/>
      <c r="C88" s="252"/>
      <c r="D88" s="252"/>
      <c r="E88" s="252"/>
      <c r="F88" s="252"/>
      <c r="G88" s="252"/>
      <c r="H88" s="252"/>
      <c r="I88" s="252"/>
      <c r="J88" s="252"/>
      <c r="K88" s="252"/>
      <c r="L88" s="252"/>
      <c r="M88" s="252"/>
      <c r="N88" s="252"/>
      <c r="O88" s="252"/>
      <c r="P88" s="252"/>
      <c r="Q88" s="252"/>
      <c r="R88" s="252"/>
      <c r="S88" s="252"/>
      <c r="T88" s="252"/>
      <c r="U88" s="252"/>
    </row>
    <row r="89" spans="1:21" ht="13.5" customHeight="1">
      <c r="A89" s="252"/>
      <c r="B89" s="252"/>
      <c r="C89" s="252"/>
      <c r="D89" s="252"/>
      <c r="E89" s="252"/>
      <c r="F89" s="252"/>
      <c r="G89" s="252"/>
      <c r="H89" s="252"/>
      <c r="I89" s="252"/>
      <c r="J89" s="252"/>
      <c r="K89" s="252"/>
      <c r="L89" s="252"/>
      <c r="M89" s="252"/>
      <c r="N89" s="252"/>
      <c r="O89" s="252"/>
      <c r="P89" s="252"/>
      <c r="Q89" s="252"/>
      <c r="R89" s="252"/>
      <c r="S89" s="252"/>
      <c r="T89" s="252"/>
      <c r="U89" s="252"/>
    </row>
    <row r="90" spans="1:21">
      <c r="B90" s="252"/>
      <c r="C90" s="252"/>
      <c r="D90" s="252"/>
      <c r="E90" s="252"/>
      <c r="F90" s="252"/>
      <c r="G90" s="252"/>
      <c r="H90" s="252"/>
      <c r="I90" s="252"/>
      <c r="J90" s="252"/>
      <c r="K90" s="252"/>
      <c r="L90" s="252"/>
      <c r="M90" s="252"/>
      <c r="N90" s="252"/>
      <c r="O90" s="252"/>
      <c r="P90" s="252"/>
      <c r="Q90" s="252"/>
      <c r="R90" s="252"/>
      <c r="S90" s="252"/>
      <c r="T90" s="252"/>
      <c r="U90" s="252"/>
    </row>
    <row r="91" spans="1:21" ht="13.5" customHeight="1">
      <c r="B91" s="252"/>
      <c r="C91" s="252"/>
      <c r="D91" s="252"/>
      <c r="E91" s="252"/>
      <c r="F91" s="252"/>
      <c r="G91" s="252"/>
      <c r="H91" s="252"/>
      <c r="I91" s="252"/>
      <c r="J91" s="252"/>
      <c r="K91" s="252"/>
      <c r="L91" s="252"/>
      <c r="M91" s="252"/>
      <c r="N91" s="252"/>
      <c r="O91" s="252"/>
      <c r="P91" s="252"/>
      <c r="Q91" s="252"/>
      <c r="R91" s="252"/>
      <c r="S91" s="252"/>
      <c r="T91" s="252"/>
      <c r="U91" s="252"/>
    </row>
    <row r="92" spans="1:21">
      <c r="A92" s="252"/>
      <c r="B92" s="252"/>
      <c r="C92" s="252"/>
      <c r="D92" s="252"/>
      <c r="E92" s="252"/>
      <c r="F92" s="252"/>
      <c r="G92" s="252"/>
      <c r="H92" s="252"/>
      <c r="I92" s="252"/>
      <c r="J92" s="252"/>
      <c r="K92" s="252"/>
      <c r="L92" s="252"/>
      <c r="M92" s="252"/>
      <c r="N92" s="252"/>
      <c r="O92" s="252"/>
      <c r="P92" s="252"/>
      <c r="Q92" s="252"/>
      <c r="R92" s="252"/>
      <c r="S92" s="252"/>
      <c r="T92" s="252"/>
      <c r="U92" s="252"/>
    </row>
    <row r="93" spans="1:21">
      <c r="A93" s="252"/>
      <c r="B93" s="252"/>
      <c r="C93" s="252"/>
      <c r="D93" s="252"/>
      <c r="E93" s="252"/>
      <c r="F93" s="252"/>
      <c r="G93" s="252"/>
      <c r="H93" s="252"/>
      <c r="I93" s="252"/>
      <c r="J93" s="252"/>
      <c r="K93" s="252"/>
      <c r="L93" s="252"/>
      <c r="M93" s="252"/>
      <c r="N93" s="252"/>
      <c r="O93" s="252"/>
      <c r="P93" s="252"/>
      <c r="Q93" s="252"/>
      <c r="R93" s="252"/>
      <c r="S93" s="252"/>
      <c r="T93" s="252"/>
      <c r="U93" s="252"/>
    </row>
    <row r="94" spans="1:21" ht="13.5" customHeight="1">
      <c r="A94" s="252"/>
      <c r="B94" s="252"/>
      <c r="C94" s="252"/>
      <c r="D94" s="252"/>
      <c r="E94" s="252"/>
      <c r="F94" s="252"/>
      <c r="G94" s="252"/>
      <c r="H94" s="252"/>
      <c r="I94" s="252"/>
      <c r="J94" s="252"/>
      <c r="K94" s="252"/>
      <c r="L94" s="252"/>
      <c r="M94" s="252"/>
      <c r="N94" s="252"/>
      <c r="O94" s="252"/>
      <c r="P94" s="252"/>
      <c r="Q94" s="252"/>
      <c r="R94" s="252"/>
      <c r="S94" s="252"/>
      <c r="T94" s="252"/>
      <c r="U94" s="252"/>
    </row>
    <row r="95" spans="1:21">
      <c r="A95" s="252"/>
      <c r="B95" s="252"/>
      <c r="C95" s="252"/>
      <c r="D95" s="252"/>
      <c r="E95" s="252"/>
      <c r="F95" s="252"/>
      <c r="G95" s="252"/>
      <c r="H95" s="252"/>
      <c r="I95" s="252"/>
      <c r="J95" s="252"/>
      <c r="K95" s="252"/>
      <c r="L95" s="252"/>
      <c r="M95" s="252"/>
      <c r="N95" s="252"/>
      <c r="O95" s="252"/>
      <c r="P95" s="252"/>
      <c r="Q95" s="252"/>
      <c r="R95" s="252"/>
      <c r="S95" s="252"/>
      <c r="T95" s="252"/>
      <c r="U95" s="252"/>
    </row>
    <row r="96" spans="1:21">
      <c r="A96" s="252"/>
      <c r="B96" s="252"/>
      <c r="C96" s="252"/>
      <c r="D96" s="252"/>
      <c r="E96" s="252"/>
      <c r="F96" s="252"/>
      <c r="G96" s="252"/>
      <c r="H96" s="252"/>
      <c r="I96" s="252"/>
      <c r="J96" s="252"/>
      <c r="K96" s="252"/>
      <c r="L96" s="252"/>
      <c r="M96" s="252"/>
      <c r="N96" s="252"/>
      <c r="O96" s="252"/>
      <c r="P96" s="252"/>
      <c r="Q96" s="252"/>
      <c r="R96" s="252"/>
      <c r="S96" s="252"/>
      <c r="T96" s="252"/>
      <c r="U96" s="252"/>
    </row>
    <row r="97" spans="1:21">
      <c r="A97" s="252"/>
      <c r="B97" s="252"/>
      <c r="C97" s="252"/>
      <c r="D97" s="252"/>
      <c r="E97" s="252"/>
      <c r="F97" s="252"/>
      <c r="G97" s="252"/>
      <c r="H97" s="252"/>
      <c r="I97" s="252"/>
      <c r="J97" s="252"/>
      <c r="K97" s="252"/>
      <c r="L97" s="252"/>
      <c r="M97" s="252"/>
      <c r="N97" s="252"/>
      <c r="O97" s="252"/>
      <c r="P97" s="252"/>
      <c r="Q97" s="252"/>
      <c r="R97" s="252"/>
      <c r="S97" s="252"/>
      <c r="T97" s="252"/>
      <c r="U97" s="252"/>
    </row>
    <row r="98" spans="1:21">
      <c r="A98" s="252"/>
      <c r="B98" s="252"/>
      <c r="C98" s="252"/>
      <c r="D98" s="252"/>
      <c r="E98" s="252"/>
      <c r="F98" s="252"/>
      <c r="G98" s="252"/>
      <c r="H98" s="252"/>
      <c r="I98" s="252"/>
      <c r="J98" s="252"/>
      <c r="K98" s="252"/>
      <c r="L98" s="252"/>
      <c r="M98" s="252"/>
      <c r="N98" s="252"/>
      <c r="O98" s="252"/>
      <c r="P98" s="252"/>
      <c r="Q98" s="252"/>
      <c r="R98" s="252"/>
      <c r="S98" s="252"/>
      <c r="T98" s="252"/>
      <c r="U98" s="252"/>
    </row>
    <row r="99" spans="1:21">
      <c r="A99" s="252"/>
      <c r="B99" s="252"/>
      <c r="C99" s="252"/>
      <c r="D99" s="252"/>
      <c r="E99" s="252"/>
      <c r="F99" s="252"/>
      <c r="G99" s="252"/>
      <c r="H99" s="252"/>
      <c r="I99" s="252"/>
      <c r="J99" s="252"/>
      <c r="K99" s="252"/>
      <c r="L99" s="252"/>
      <c r="M99" s="252"/>
      <c r="N99" s="252"/>
      <c r="O99" s="252"/>
      <c r="P99" s="252"/>
      <c r="Q99" s="252"/>
      <c r="R99" s="252"/>
      <c r="S99" s="252"/>
      <c r="T99" s="252"/>
      <c r="U99" s="252"/>
    </row>
    <row r="100" spans="1:21" ht="13.5" customHeight="1">
      <c r="A100" s="252"/>
      <c r="B100" s="252"/>
      <c r="C100" s="252"/>
      <c r="D100" s="252"/>
      <c r="E100" s="252"/>
      <c r="F100" s="252"/>
      <c r="G100" s="252"/>
      <c r="H100" s="252"/>
      <c r="I100" s="252"/>
      <c r="J100" s="252"/>
      <c r="K100" s="252"/>
      <c r="L100" s="252"/>
      <c r="M100" s="252"/>
      <c r="N100" s="252"/>
      <c r="O100" s="252"/>
      <c r="P100" s="252"/>
      <c r="Q100" s="252"/>
      <c r="R100" s="252"/>
      <c r="S100" s="252"/>
      <c r="T100" s="252"/>
      <c r="U100" s="252"/>
    </row>
    <row r="101" spans="1:21">
      <c r="A101" s="252"/>
      <c r="B101" s="252"/>
      <c r="C101" s="252"/>
      <c r="D101" s="252"/>
      <c r="E101" s="252"/>
      <c r="F101" s="252"/>
      <c r="G101" s="252"/>
      <c r="H101" s="252"/>
      <c r="I101" s="252"/>
      <c r="J101" s="252"/>
      <c r="K101" s="252"/>
      <c r="L101" s="252"/>
      <c r="M101" s="252"/>
      <c r="N101" s="252"/>
      <c r="O101" s="252"/>
      <c r="P101" s="252"/>
      <c r="Q101" s="252"/>
      <c r="R101" s="252"/>
      <c r="S101" s="252"/>
      <c r="T101" s="252"/>
      <c r="U101" s="252"/>
    </row>
    <row r="102" spans="1:21">
      <c r="A102" s="252"/>
      <c r="B102" s="252"/>
      <c r="C102" s="252"/>
      <c r="D102" s="252"/>
      <c r="E102" s="252"/>
      <c r="F102" s="252"/>
      <c r="G102" s="252"/>
      <c r="H102" s="252"/>
      <c r="I102" s="252"/>
      <c r="J102" s="252"/>
      <c r="K102" s="252"/>
      <c r="L102" s="252"/>
      <c r="M102" s="252"/>
      <c r="N102" s="252"/>
      <c r="O102" s="252"/>
      <c r="P102" s="252"/>
      <c r="Q102" s="252"/>
      <c r="R102" s="252"/>
      <c r="S102" s="252"/>
      <c r="T102" s="252"/>
      <c r="U102" s="252"/>
    </row>
    <row r="103" spans="1:21">
      <c r="A103" s="252"/>
      <c r="B103" s="252"/>
      <c r="C103" s="252"/>
      <c r="D103" s="252"/>
      <c r="E103" s="252"/>
      <c r="F103" s="252"/>
      <c r="G103" s="252"/>
      <c r="H103" s="252"/>
      <c r="I103" s="252"/>
      <c r="J103" s="252"/>
      <c r="K103" s="252"/>
      <c r="L103" s="252"/>
      <c r="M103" s="252"/>
      <c r="N103" s="252"/>
      <c r="O103" s="252"/>
      <c r="P103" s="252"/>
      <c r="Q103" s="252"/>
      <c r="R103" s="252"/>
      <c r="S103" s="252"/>
      <c r="T103" s="252"/>
      <c r="U103" s="252"/>
    </row>
    <row r="104" spans="1:21" ht="13.5" customHeight="1">
      <c r="A104" s="252"/>
      <c r="B104" s="252"/>
      <c r="C104" s="252"/>
      <c r="D104" s="252"/>
      <c r="E104" s="252"/>
      <c r="F104" s="252"/>
      <c r="G104" s="252"/>
      <c r="H104" s="252"/>
      <c r="I104" s="252"/>
      <c r="J104" s="252"/>
      <c r="K104" s="252"/>
      <c r="L104" s="252"/>
      <c r="M104" s="252"/>
      <c r="N104" s="252"/>
      <c r="O104" s="252"/>
      <c r="P104" s="252"/>
      <c r="Q104" s="252"/>
      <c r="R104" s="252"/>
      <c r="S104" s="252"/>
      <c r="T104" s="252"/>
      <c r="U104" s="252"/>
    </row>
    <row r="105" spans="1:21">
      <c r="B105" s="252"/>
      <c r="C105" s="252"/>
      <c r="D105" s="252"/>
      <c r="E105" s="252"/>
      <c r="F105" s="252"/>
      <c r="G105" s="252"/>
      <c r="H105" s="252"/>
      <c r="I105" s="252"/>
      <c r="J105" s="252"/>
      <c r="K105" s="252"/>
      <c r="L105" s="252"/>
      <c r="M105" s="252"/>
      <c r="N105" s="252"/>
      <c r="O105" s="252"/>
      <c r="P105" s="252"/>
      <c r="Q105" s="252"/>
      <c r="R105" s="252"/>
      <c r="S105" s="252"/>
      <c r="T105" s="252"/>
      <c r="U105" s="252"/>
    </row>
    <row r="106" spans="1:21">
      <c r="B106" s="252"/>
      <c r="C106" s="252"/>
      <c r="D106" s="252"/>
      <c r="E106" s="252"/>
      <c r="F106" s="252"/>
      <c r="G106" s="252"/>
      <c r="H106" s="252"/>
      <c r="I106" s="252"/>
      <c r="J106" s="252"/>
      <c r="K106" s="252"/>
      <c r="L106" s="252"/>
      <c r="M106" s="252"/>
      <c r="N106" s="252"/>
      <c r="O106" s="252"/>
      <c r="P106" s="252"/>
      <c r="Q106" s="252"/>
      <c r="R106" s="252"/>
      <c r="S106" s="252"/>
      <c r="T106" s="252"/>
      <c r="U106" s="252"/>
    </row>
    <row r="107" spans="1:21">
      <c r="B107" s="252"/>
      <c r="C107" s="252"/>
      <c r="D107" s="252"/>
      <c r="E107" s="252"/>
      <c r="F107" s="252"/>
      <c r="G107" s="252"/>
      <c r="H107" s="252"/>
      <c r="I107" s="252"/>
      <c r="J107" s="252"/>
      <c r="K107" s="252"/>
      <c r="L107" s="252"/>
      <c r="M107" s="252"/>
      <c r="N107" s="252"/>
      <c r="O107" s="252"/>
      <c r="P107" s="252"/>
      <c r="Q107" s="252"/>
      <c r="R107" s="252"/>
      <c r="S107" s="252"/>
      <c r="T107" s="252"/>
      <c r="U107" s="252"/>
    </row>
    <row r="157" spans="1:21">
      <c r="A157" s="252">
        <v>6</v>
      </c>
      <c r="B157" s="627"/>
      <c r="C157" s="628"/>
      <c r="D157" s="628"/>
      <c r="E157" s="628"/>
      <c r="F157" s="628"/>
      <c r="G157" s="628"/>
      <c r="H157" s="628"/>
      <c r="I157" s="628"/>
      <c r="J157" s="628"/>
      <c r="K157" s="628"/>
      <c r="L157" s="628"/>
      <c r="M157" s="628"/>
      <c r="N157" s="628"/>
      <c r="O157" s="628"/>
      <c r="P157" s="628"/>
      <c r="Q157" s="628"/>
      <c r="R157" s="628"/>
      <c r="S157" s="628"/>
      <c r="T157" s="628"/>
      <c r="U157" s="628"/>
    </row>
    <row r="158" spans="1:21">
      <c r="A158" s="252"/>
      <c r="B158" s="628"/>
      <c r="C158" s="628"/>
      <c r="D158" s="628"/>
      <c r="E158" s="628"/>
      <c r="F158" s="628"/>
      <c r="G158" s="628"/>
      <c r="H158" s="628"/>
      <c r="I158" s="628"/>
      <c r="J158" s="628"/>
      <c r="K158" s="628"/>
      <c r="L158" s="628"/>
      <c r="M158" s="628"/>
      <c r="N158" s="628"/>
      <c r="O158" s="628"/>
      <c r="P158" s="628"/>
      <c r="Q158" s="628"/>
      <c r="R158" s="628"/>
      <c r="S158" s="628"/>
      <c r="T158" s="628"/>
      <c r="U158" s="628"/>
    </row>
    <row r="159" spans="1:21">
      <c r="A159" s="252"/>
      <c r="B159" s="628"/>
      <c r="C159" s="628"/>
      <c r="D159" s="628"/>
      <c r="E159" s="628"/>
      <c r="F159" s="628"/>
      <c r="G159" s="628"/>
      <c r="H159" s="628"/>
      <c r="I159" s="628"/>
      <c r="J159" s="628"/>
      <c r="K159" s="628"/>
      <c r="L159" s="628"/>
      <c r="M159" s="628"/>
      <c r="N159" s="628"/>
      <c r="O159" s="628"/>
      <c r="P159" s="628"/>
      <c r="Q159" s="628"/>
      <c r="R159" s="628"/>
      <c r="S159" s="628"/>
      <c r="T159" s="628"/>
      <c r="U159" s="628"/>
    </row>
    <row r="160" spans="1:21">
      <c r="A160" s="252"/>
      <c r="B160" s="628"/>
      <c r="C160" s="628"/>
      <c r="D160" s="628"/>
      <c r="E160" s="628"/>
      <c r="F160" s="628"/>
      <c r="G160" s="628"/>
      <c r="H160" s="628"/>
      <c r="I160" s="628"/>
      <c r="J160" s="628"/>
      <c r="K160" s="628"/>
      <c r="L160" s="628"/>
      <c r="M160" s="628"/>
      <c r="N160" s="628"/>
      <c r="O160" s="628"/>
      <c r="P160" s="628"/>
      <c r="Q160" s="628"/>
      <c r="R160" s="628"/>
      <c r="S160" s="628"/>
      <c r="T160" s="628"/>
      <c r="U160" s="628"/>
    </row>
    <row r="161" spans="2:21">
      <c r="B161" s="629"/>
      <c r="C161" s="629"/>
      <c r="D161" s="629"/>
      <c r="E161" s="629"/>
      <c r="F161" s="629"/>
      <c r="G161" s="629"/>
      <c r="H161" s="629"/>
      <c r="I161" s="629"/>
      <c r="J161" s="629"/>
      <c r="K161" s="629"/>
      <c r="L161" s="629"/>
      <c r="M161" s="629"/>
      <c r="N161" s="629"/>
      <c r="O161" s="629"/>
      <c r="P161" s="629"/>
      <c r="Q161" s="629"/>
      <c r="R161" s="629"/>
      <c r="S161" s="629"/>
      <c r="T161" s="629"/>
      <c r="U161" s="629"/>
    </row>
    <row r="162" spans="2:21">
      <c r="B162" s="629"/>
      <c r="C162" s="629"/>
      <c r="D162" s="629"/>
      <c r="E162" s="629"/>
      <c r="F162" s="629"/>
      <c r="G162" s="629"/>
      <c r="H162" s="629"/>
      <c r="I162" s="629"/>
      <c r="J162" s="629"/>
      <c r="K162" s="629"/>
      <c r="L162" s="629"/>
      <c r="M162" s="629"/>
      <c r="N162" s="629"/>
      <c r="O162" s="629"/>
      <c r="P162" s="629"/>
      <c r="Q162" s="629"/>
      <c r="R162" s="629"/>
      <c r="S162" s="629"/>
      <c r="T162" s="629"/>
      <c r="U162" s="629"/>
    </row>
  </sheetData>
  <sheetProtection password="CC7D" sheet="1" formatCells="0" selectLockedCells="1"/>
  <mergeCells count="145">
    <mergeCell ref="N74:U75"/>
    <mergeCell ref="B75:L79"/>
    <mergeCell ref="N77:U80"/>
    <mergeCell ref="N81:U83"/>
    <mergeCell ref="B157:U162"/>
    <mergeCell ref="B58:L60"/>
    <mergeCell ref="N58:U63"/>
    <mergeCell ref="B62:L64"/>
    <mergeCell ref="N65:U67"/>
    <mergeCell ref="B66:L67"/>
    <mergeCell ref="B69:L73"/>
    <mergeCell ref="N69:U72"/>
    <mergeCell ref="C49:J49"/>
    <mergeCell ref="F50:G50"/>
    <mergeCell ref="I50:J50"/>
    <mergeCell ref="C51:I51"/>
    <mergeCell ref="C53:I53"/>
    <mergeCell ref="B56:D56"/>
    <mergeCell ref="A41:U41"/>
    <mergeCell ref="A43:L43"/>
    <mergeCell ref="M43:N43"/>
    <mergeCell ref="P43:Q43"/>
    <mergeCell ref="A44:O46"/>
    <mergeCell ref="P44:Q44"/>
    <mergeCell ref="P46:Q46"/>
    <mergeCell ref="Q38:Q40"/>
    <mergeCell ref="R39:R40"/>
    <mergeCell ref="S39:S40"/>
    <mergeCell ref="T39:T40"/>
    <mergeCell ref="U39:U40"/>
    <mergeCell ref="Q35:Q37"/>
    <mergeCell ref="R36:R37"/>
    <mergeCell ref="S36:S37"/>
    <mergeCell ref="T36:T37"/>
    <mergeCell ref="U36:U37"/>
    <mergeCell ref="P29:P31"/>
    <mergeCell ref="A38:A40"/>
    <mergeCell ref="B38:G40"/>
    <mergeCell ref="H38:J40"/>
    <mergeCell ref="K38:K40"/>
    <mergeCell ref="L38:O40"/>
    <mergeCell ref="A35:A37"/>
    <mergeCell ref="B35:G37"/>
    <mergeCell ref="H35:J37"/>
    <mergeCell ref="K35:K37"/>
    <mergeCell ref="L35:O37"/>
    <mergeCell ref="P38:P40"/>
    <mergeCell ref="P35:P37"/>
    <mergeCell ref="T24:T25"/>
    <mergeCell ref="U24:U25"/>
    <mergeCell ref="P23:P25"/>
    <mergeCell ref="A32:A34"/>
    <mergeCell ref="B32:G34"/>
    <mergeCell ref="H32:J34"/>
    <mergeCell ref="K32:K34"/>
    <mergeCell ref="L32:O34"/>
    <mergeCell ref="A29:A31"/>
    <mergeCell ref="B29:G31"/>
    <mergeCell ref="H29:J31"/>
    <mergeCell ref="K29:K31"/>
    <mergeCell ref="L29:O31"/>
    <mergeCell ref="P32:P34"/>
    <mergeCell ref="Q32:Q34"/>
    <mergeCell ref="R33:R34"/>
    <mergeCell ref="S33:S34"/>
    <mergeCell ref="T33:T34"/>
    <mergeCell ref="U33:U34"/>
    <mergeCell ref="Q29:Q31"/>
    <mergeCell ref="R30:R31"/>
    <mergeCell ref="S30:S31"/>
    <mergeCell ref="T30:T31"/>
    <mergeCell ref="U30:U31"/>
    <mergeCell ref="R18:R19"/>
    <mergeCell ref="S18:S19"/>
    <mergeCell ref="T18:T19"/>
    <mergeCell ref="U18:U19"/>
    <mergeCell ref="P17:P19"/>
    <mergeCell ref="A26:A28"/>
    <mergeCell ref="B26:G28"/>
    <mergeCell ref="H26:J28"/>
    <mergeCell ref="K26:K28"/>
    <mergeCell ref="L26:O28"/>
    <mergeCell ref="A23:A25"/>
    <mergeCell ref="B23:G25"/>
    <mergeCell ref="H23:J25"/>
    <mergeCell ref="K23:K25"/>
    <mergeCell ref="L23:O25"/>
    <mergeCell ref="P26:P28"/>
    <mergeCell ref="Q26:Q28"/>
    <mergeCell ref="R27:R28"/>
    <mergeCell ref="S27:S28"/>
    <mergeCell ref="T27:T28"/>
    <mergeCell ref="U27:U28"/>
    <mergeCell ref="Q23:Q25"/>
    <mergeCell ref="R24:R25"/>
    <mergeCell ref="S24:S25"/>
    <mergeCell ref="T15:T16"/>
    <mergeCell ref="U15:U16"/>
    <mergeCell ref="Q11:Q13"/>
    <mergeCell ref="R12:R13"/>
    <mergeCell ref="S12:S13"/>
    <mergeCell ref="T12:T13"/>
    <mergeCell ref="U12:U13"/>
    <mergeCell ref="A20:A22"/>
    <mergeCell ref="B20:G22"/>
    <mergeCell ref="H20:J22"/>
    <mergeCell ref="K20:K22"/>
    <mergeCell ref="L20:O22"/>
    <mergeCell ref="A17:A19"/>
    <mergeCell ref="B17:G19"/>
    <mergeCell ref="H17:J19"/>
    <mergeCell ref="K17:K19"/>
    <mergeCell ref="L17:O19"/>
    <mergeCell ref="P20:P22"/>
    <mergeCell ref="Q20:Q22"/>
    <mergeCell ref="R21:R22"/>
    <mergeCell ref="S21:S22"/>
    <mergeCell ref="T21:T22"/>
    <mergeCell ref="U21:U22"/>
    <mergeCell ref="Q17:Q19"/>
    <mergeCell ref="T8:T10"/>
    <mergeCell ref="U8:U10"/>
    <mergeCell ref="A9:G10"/>
    <mergeCell ref="H9:Q10"/>
    <mergeCell ref="A11:A13"/>
    <mergeCell ref="B11:G13"/>
    <mergeCell ref="H11:J13"/>
    <mergeCell ref="K11:K13"/>
    <mergeCell ref="L11:O13"/>
    <mergeCell ref="P11:P13"/>
    <mergeCell ref="F3:F4"/>
    <mergeCell ref="K3:K4"/>
    <mergeCell ref="L3:O4"/>
    <mergeCell ref="A8:Q8"/>
    <mergeCell ref="R8:R10"/>
    <mergeCell ref="S8:S10"/>
    <mergeCell ref="A14:A16"/>
    <mergeCell ref="B14:G16"/>
    <mergeCell ref="H14:J16"/>
    <mergeCell ref="K14:K16"/>
    <mergeCell ref="L14:O16"/>
    <mergeCell ref="P14:P16"/>
    <mergeCell ref="Q14:Q16"/>
    <mergeCell ref="R15:R16"/>
    <mergeCell ref="S15:S16"/>
  </mergeCells>
  <phoneticPr fontId="2"/>
  <dataValidations count="1">
    <dataValidation imeMode="halfAlpha" allowBlank="1" showInputMessage="1" showErrorMessage="1" sqref="M48:O48 JI48:JK48 TE48:TG48 ADA48:ADC48 AMW48:AMY48 AWS48:AWU48 BGO48:BGQ48 BQK48:BQM48 CAG48:CAI48 CKC48:CKE48 CTY48:CUA48 DDU48:DDW48 DNQ48:DNS48 DXM48:DXO48 EHI48:EHK48 ERE48:ERG48 FBA48:FBC48 FKW48:FKY48 FUS48:FUU48 GEO48:GEQ48 GOK48:GOM48 GYG48:GYI48 HIC48:HIE48 HRY48:HSA48 IBU48:IBW48 ILQ48:ILS48 IVM48:IVO48 JFI48:JFK48 JPE48:JPG48 JZA48:JZC48 KIW48:KIY48 KSS48:KSU48 LCO48:LCQ48 LMK48:LMM48 LWG48:LWI48 MGC48:MGE48 MPY48:MQA48 MZU48:MZW48 NJQ48:NJS48 NTM48:NTO48 ODI48:ODK48 ONE48:ONG48 OXA48:OXC48 PGW48:PGY48 PQS48:PQU48 QAO48:QAQ48 QKK48:QKM48 QUG48:QUI48 REC48:REE48 RNY48:ROA48 RXU48:RXW48 SHQ48:SHS48 SRM48:SRO48 TBI48:TBK48 TLE48:TLG48 TVA48:TVC48 UEW48:UEY48 UOS48:UOU48 UYO48:UYQ48 VIK48:VIM48 VSG48:VSI48 WCC48:WCE48 WLY48:WMA48 WVU48:WVW48 M65584:O65584 JI65584:JK65584 TE65584:TG65584 ADA65584:ADC65584 AMW65584:AMY65584 AWS65584:AWU65584 BGO65584:BGQ65584 BQK65584:BQM65584 CAG65584:CAI65584 CKC65584:CKE65584 CTY65584:CUA65584 DDU65584:DDW65584 DNQ65584:DNS65584 DXM65584:DXO65584 EHI65584:EHK65584 ERE65584:ERG65584 FBA65584:FBC65584 FKW65584:FKY65584 FUS65584:FUU65584 GEO65584:GEQ65584 GOK65584:GOM65584 GYG65584:GYI65584 HIC65584:HIE65584 HRY65584:HSA65584 IBU65584:IBW65584 ILQ65584:ILS65584 IVM65584:IVO65584 JFI65584:JFK65584 JPE65584:JPG65584 JZA65584:JZC65584 KIW65584:KIY65584 KSS65584:KSU65584 LCO65584:LCQ65584 LMK65584:LMM65584 LWG65584:LWI65584 MGC65584:MGE65584 MPY65584:MQA65584 MZU65584:MZW65584 NJQ65584:NJS65584 NTM65584:NTO65584 ODI65584:ODK65584 ONE65584:ONG65584 OXA65584:OXC65584 PGW65584:PGY65584 PQS65584:PQU65584 QAO65584:QAQ65584 QKK65584:QKM65584 QUG65584:QUI65584 REC65584:REE65584 RNY65584:ROA65584 RXU65584:RXW65584 SHQ65584:SHS65584 SRM65584:SRO65584 TBI65584:TBK65584 TLE65584:TLG65584 TVA65584:TVC65584 UEW65584:UEY65584 UOS65584:UOU65584 UYO65584:UYQ65584 VIK65584:VIM65584 VSG65584:VSI65584 WCC65584:WCE65584 WLY65584:WMA65584 WVU65584:WVW65584 M131120:O131120 JI131120:JK131120 TE131120:TG131120 ADA131120:ADC131120 AMW131120:AMY131120 AWS131120:AWU131120 BGO131120:BGQ131120 BQK131120:BQM131120 CAG131120:CAI131120 CKC131120:CKE131120 CTY131120:CUA131120 DDU131120:DDW131120 DNQ131120:DNS131120 DXM131120:DXO131120 EHI131120:EHK131120 ERE131120:ERG131120 FBA131120:FBC131120 FKW131120:FKY131120 FUS131120:FUU131120 GEO131120:GEQ131120 GOK131120:GOM131120 GYG131120:GYI131120 HIC131120:HIE131120 HRY131120:HSA131120 IBU131120:IBW131120 ILQ131120:ILS131120 IVM131120:IVO131120 JFI131120:JFK131120 JPE131120:JPG131120 JZA131120:JZC131120 KIW131120:KIY131120 KSS131120:KSU131120 LCO131120:LCQ131120 LMK131120:LMM131120 LWG131120:LWI131120 MGC131120:MGE131120 MPY131120:MQA131120 MZU131120:MZW131120 NJQ131120:NJS131120 NTM131120:NTO131120 ODI131120:ODK131120 ONE131120:ONG131120 OXA131120:OXC131120 PGW131120:PGY131120 PQS131120:PQU131120 QAO131120:QAQ131120 QKK131120:QKM131120 QUG131120:QUI131120 REC131120:REE131120 RNY131120:ROA131120 RXU131120:RXW131120 SHQ131120:SHS131120 SRM131120:SRO131120 TBI131120:TBK131120 TLE131120:TLG131120 TVA131120:TVC131120 UEW131120:UEY131120 UOS131120:UOU131120 UYO131120:UYQ131120 VIK131120:VIM131120 VSG131120:VSI131120 WCC131120:WCE131120 WLY131120:WMA131120 WVU131120:WVW131120 M196656:O196656 JI196656:JK196656 TE196656:TG196656 ADA196656:ADC196656 AMW196656:AMY196656 AWS196656:AWU196656 BGO196656:BGQ196656 BQK196656:BQM196656 CAG196656:CAI196656 CKC196656:CKE196656 CTY196656:CUA196656 DDU196656:DDW196656 DNQ196656:DNS196656 DXM196656:DXO196656 EHI196656:EHK196656 ERE196656:ERG196656 FBA196656:FBC196656 FKW196656:FKY196656 FUS196656:FUU196656 GEO196656:GEQ196656 GOK196656:GOM196656 GYG196656:GYI196656 HIC196656:HIE196656 HRY196656:HSA196656 IBU196656:IBW196656 ILQ196656:ILS196656 IVM196656:IVO196656 JFI196656:JFK196656 JPE196656:JPG196656 JZA196656:JZC196656 KIW196656:KIY196656 KSS196656:KSU196656 LCO196656:LCQ196656 LMK196656:LMM196656 LWG196656:LWI196656 MGC196656:MGE196656 MPY196656:MQA196656 MZU196656:MZW196656 NJQ196656:NJS196656 NTM196656:NTO196656 ODI196656:ODK196656 ONE196656:ONG196656 OXA196656:OXC196656 PGW196656:PGY196656 PQS196656:PQU196656 QAO196656:QAQ196656 QKK196656:QKM196656 QUG196656:QUI196656 REC196656:REE196656 RNY196656:ROA196656 RXU196656:RXW196656 SHQ196656:SHS196656 SRM196656:SRO196656 TBI196656:TBK196656 TLE196656:TLG196656 TVA196656:TVC196656 UEW196656:UEY196656 UOS196656:UOU196656 UYO196656:UYQ196656 VIK196656:VIM196656 VSG196656:VSI196656 WCC196656:WCE196656 WLY196656:WMA196656 WVU196656:WVW196656 M262192:O262192 JI262192:JK262192 TE262192:TG262192 ADA262192:ADC262192 AMW262192:AMY262192 AWS262192:AWU262192 BGO262192:BGQ262192 BQK262192:BQM262192 CAG262192:CAI262192 CKC262192:CKE262192 CTY262192:CUA262192 DDU262192:DDW262192 DNQ262192:DNS262192 DXM262192:DXO262192 EHI262192:EHK262192 ERE262192:ERG262192 FBA262192:FBC262192 FKW262192:FKY262192 FUS262192:FUU262192 GEO262192:GEQ262192 GOK262192:GOM262192 GYG262192:GYI262192 HIC262192:HIE262192 HRY262192:HSA262192 IBU262192:IBW262192 ILQ262192:ILS262192 IVM262192:IVO262192 JFI262192:JFK262192 JPE262192:JPG262192 JZA262192:JZC262192 KIW262192:KIY262192 KSS262192:KSU262192 LCO262192:LCQ262192 LMK262192:LMM262192 LWG262192:LWI262192 MGC262192:MGE262192 MPY262192:MQA262192 MZU262192:MZW262192 NJQ262192:NJS262192 NTM262192:NTO262192 ODI262192:ODK262192 ONE262192:ONG262192 OXA262192:OXC262192 PGW262192:PGY262192 PQS262192:PQU262192 QAO262192:QAQ262192 QKK262192:QKM262192 QUG262192:QUI262192 REC262192:REE262192 RNY262192:ROA262192 RXU262192:RXW262192 SHQ262192:SHS262192 SRM262192:SRO262192 TBI262192:TBK262192 TLE262192:TLG262192 TVA262192:TVC262192 UEW262192:UEY262192 UOS262192:UOU262192 UYO262192:UYQ262192 VIK262192:VIM262192 VSG262192:VSI262192 WCC262192:WCE262192 WLY262192:WMA262192 WVU262192:WVW262192 M327728:O327728 JI327728:JK327728 TE327728:TG327728 ADA327728:ADC327728 AMW327728:AMY327728 AWS327728:AWU327728 BGO327728:BGQ327728 BQK327728:BQM327728 CAG327728:CAI327728 CKC327728:CKE327728 CTY327728:CUA327728 DDU327728:DDW327728 DNQ327728:DNS327728 DXM327728:DXO327728 EHI327728:EHK327728 ERE327728:ERG327728 FBA327728:FBC327728 FKW327728:FKY327728 FUS327728:FUU327728 GEO327728:GEQ327728 GOK327728:GOM327728 GYG327728:GYI327728 HIC327728:HIE327728 HRY327728:HSA327728 IBU327728:IBW327728 ILQ327728:ILS327728 IVM327728:IVO327728 JFI327728:JFK327728 JPE327728:JPG327728 JZA327728:JZC327728 KIW327728:KIY327728 KSS327728:KSU327728 LCO327728:LCQ327728 LMK327728:LMM327728 LWG327728:LWI327728 MGC327728:MGE327728 MPY327728:MQA327728 MZU327728:MZW327728 NJQ327728:NJS327728 NTM327728:NTO327728 ODI327728:ODK327728 ONE327728:ONG327728 OXA327728:OXC327728 PGW327728:PGY327728 PQS327728:PQU327728 QAO327728:QAQ327728 QKK327728:QKM327728 QUG327728:QUI327728 REC327728:REE327728 RNY327728:ROA327728 RXU327728:RXW327728 SHQ327728:SHS327728 SRM327728:SRO327728 TBI327728:TBK327728 TLE327728:TLG327728 TVA327728:TVC327728 UEW327728:UEY327728 UOS327728:UOU327728 UYO327728:UYQ327728 VIK327728:VIM327728 VSG327728:VSI327728 WCC327728:WCE327728 WLY327728:WMA327728 WVU327728:WVW327728 M393264:O393264 JI393264:JK393264 TE393264:TG393264 ADA393264:ADC393264 AMW393264:AMY393264 AWS393264:AWU393264 BGO393264:BGQ393264 BQK393264:BQM393264 CAG393264:CAI393264 CKC393264:CKE393264 CTY393264:CUA393264 DDU393264:DDW393264 DNQ393264:DNS393264 DXM393264:DXO393264 EHI393264:EHK393264 ERE393264:ERG393264 FBA393264:FBC393264 FKW393264:FKY393264 FUS393264:FUU393264 GEO393264:GEQ393264 GOK393264:GOM393264 GYG393264:GYI393264 HIC393264:HIE393264 HRY393264:HSA393264 IBU393264:IBW393264 ILQ393264:ILS393264 IVM393264:IVO393264 JFI393264:JFK393264 JPE393264:JPG393264 JZA393264:JZC393264 KIW393264:KIY393264 KSS393264:KSU393264 LCO393264:LCQ393264 LMK393264:LMM393264 LWG393264:LWI393264 MGC393264:MGE393264 MPY393264:MQA393264 MZU393264:MZW393264 NJQ393264:NJS393264 NTM393264:NTO393264 ODI393264:ODK393264 ONE393264:ONG393264 OXA393264:OXC393264 PGW393264:PGY393264 PQS393264:PQU393264 QAO393264:QAQ393264 QKK393264:QKM393264 QUG393264:QUI393264 REC393264:REE393264 RNY393264:ROA393264 RXU393264:RXW393264 SHQ393264:SHS393264 SRM393264:SRO393264 TBI393264:TBK393264 TLE393264:TLG393264 TVA393264:TVC393264 UEW393264:UEY393264 UOS393264:UOU393264 UYO393264:UYQ393264 VIK393264:VIM393264 VSG393264:VSI393264 WCC393264:WCE393264 WLY393264:WMA393264 WVU393264:WVW393264 M458800:O458800 JI458800:JK458800 TE458800:TG458800 ADA458800:ADC458800 AMW458800:AMY458800 AWS458800:AWU458800 BGO458800:BGQ458800 BQK458800:BQM458800 CAG458800:CAI458800 CKC458800:CKE458800 CTY458800:CUA458800 DDU458800:DDW458800 DNQ458800:DNS458800 DXM458800:DXO458800 EHI458800:EHK458800 ERE458800:ERG458800 FBA458800:FBC458800 FKW458800:FKY458800 FUS458800:FUU458800 GEO458800:GEQ458800 GOK458800:GOM458800 GYG458800:GYI458800 HIC458800:HIE458800 HRY458800:HSA458800 IBU458800:IBW458800 ILQ458800:ILS458800 IVM458800:IVO458800 JFI458800:JFK458800 JPE458800:JPG458800 JZA458800:JZC458800 KIW458800:KIY458800 KSS458800:KSU458800 LCO458800:LCQ458800 LMK458800:LMM458800 LWG458800:LWI458800 MGC458800:MGE458800 MPY458800:MQA458800 MZU458800:MZW458800 NJQ458800:NJS458800 NTM458800:NTO458800 ODI458800:ODK458800 ONE458800:ONG458800 OXA458800:OXC458800 PGW458800:PGY458800 PQS458800:PQU458800 QAO458800:QAQ458800 QKK458800:QKM458800 QUG458800:QUI458800 REC458800:REE458800 RNY458800:ROA458800 RXU458800:RXW458800 SHQ458800:SHS458800 SRM458800:SRO458800 TBI458800:TBK458800 TLE458800:TLG458800 TVA458800:TVC458800 UEW458800:UEY458800 UOS458800:UOU458800 UYO458800:UYQ458800 VIK458800:VIM458800 VSG458800:VSI458800 WCC458800:WCE458800 WLY458800:WMA458800 WVU458800:WVW458800 M524336:O524336 JI524336:JK524336 TE524336:TG524336 ADA524336:ADC524336 AMW524336:AMY524336 AWS524336:AWU524336 BGO524336:BGQ524336 BQK524336:BQM524336 CAG524336:CAI524336 CKC524336:CKE524336 CTY524336:CUA524336 DDU524336:DDW524336 DNQ524336:DNS524336 DXM524336:DXO524336 EHI524336:EHK524336 ERE524336:ERG524336 FBA524336:FBC524336 FKW524336:FKY524336 FUS524336:FUU524336 GEO524336:GEQ524336 GOK524336:GOM524336 GYG524336:GYI524336 HIC524336:HIE524336 HRY524336:HSA524336 IBU524336:IBW524336 ILQ524336:ILS524336 IVM524336:IVO524336 JFI524336:JFK524336 JPE524336:JPG524336 JZA524336:JZC524336 KIW524336:KIY524336 KSS524336:KSU524336 LCO524336:LCQ524336 LMK524336:LMM524336 LWG524336:LWI524336 MGC524336:MGE524336 MPY524336:MQA524336 MZU524336:MZW524336 NJQ524336:NJS524336 NTM524336:NTO524336 ODI524336:ODK524336 ONE524336:ONG524336 OXA524336:OXC524336 PGW524336:PGY524336 PQS524336:PQU524336 QAO524336:QAQ524336 QKK524336:QKM524336 QUG524336:QUI524336 REC524336:REE524336 RNY524336:ROA524336 RXU524336:RXW524336 SHQ524336:SHS524336 SRM524336:SRO524336 TBI524336:TBK524336 TLE524336:TLG524336 TVA524336:TVC524336 UEW524336:UEY524336 UOS524336:UOU524336 UYO524336:UYQ524336 VIK524336:VIM524336 VSG524336:VSI524336 WCC524336:WCE524336 WLY524336:WMA524336 WVU524336:WVW524336 M589872:O589872 JI589872:JK589872 TE589872:TG589872 ADA589872:ADC589872 AMW589872:AMY589872 AWS589872:AWU589872 BGO589872:BGQ589872 BQK589872:BQM589872 CAG589872:CAI589872 CKC589872:CKE589872 CTY589872:CUA589872 DDU589872:DDW589872 DNQ589872:DNS589872 DXM589872:DXO589872 EHI589872:EHK589872 ERE589872:ERG589872 FBA589872:FBC589872 FKW589872:FKY589872 FUS589872:FUU589872 GEO589872:GEQ589872 GOK589872:GOM589872 GYG589872:GYI589872 HIC589872:HIE589872 HRY589872:HSA589872 IBU589872:IBW589872 ILQ589872:ILS589872 IVM589872:IVO589872 JFI589872:JFK589872 JPE589872:JPG589872 JZA589872:JZC589872 KIW589872:KIY589872 KSS589872:KSU589872 LCO589872:LCQ589872 LMK589872:LMM589872 LWG589872:LWI589872 MGC589872:MGE589872 MPY589872:MQA589872 MZU589872:MZW589872 NJQ589872:NJS589872 NTM589872:NTO589872 ODI589872:ODK589872 ONE589872:ONG589872 OXA589872:OXC589872 PGW589872:PGY589872 PQS589872:PQU589872 QAO589872:QAQ589872 QKK589872:QKM589872 QUG589872:QUI589872 REC589872:REE589872 RNY589872:ROA589872 RXU589872:RXW589872 SHQ589872:SHS589872 SRM589872:SRO589872 TBI589872:TBK589872 TLE589872:TLG589872 TVA589872:TVC589872 UEW589872:UEY589872 UOS589872:UOU589872 UYO589872:UYQ589872 VIK589872:VIM589872 VSG589872:VSI589872 WCC589872:WCE589872 WLY589872:WMA589872 WVU589872:WVW589872 M655408:O655408 JI655408:JK655408 TE655408:TG655408 ADA655408:ADC655408 AMW655408:AMY655408 AWS655408:AWU655408 BGO655408:BGQ655408 BQK655408:BQM655408 CAG655408:CAI655408 CKC655408:CKE655408 CTY655408:CUA655408 DDU655408:DDW655408 DNQ655408:DNS655408 DXM655408:DXO655408 EHI655408:EHK655408 ERE655408:ERG655408 FBA655408:FBC655408 FKW655408:FKY655408 FUS655408:FUU655408 GEO655408:GEQ655408 GOK655408:GOM655408 GYG655408:GYI655408 HIC655408:HIE655408 HRY655408:HSA655408 IBU655408:IBW655408 ILQ655408:ILS655408 IVM655408:IVO655408 JFI655408:JFK655408 JPE655408:JPG655408 JZA655408:JZC655408 KIW655408:KIY655408 KSS655408:KSU655408 LCO655408:LCQ655408 LMK655408:LMM655408 LWG655408:LWI655408 MGC655408:MGE655408 MPY655408:MQA655408 MZU655408:MZW655408 NJQ655408:NJS655408 NTM655408:NTO655408 ODI655408:ODK655408 ONE655408:ONG655408 OXA655408:OXC655408 PGW655408:PGY655408 PQS655408:PQU655408 QAO655408:QAQ655408 QKK655408:QKM655408 QUG655408:QUI655408 REC655408:REE655408 RNY655408:ROA655408 RXU655408:RXW655408 SHQ655408:SHS655408 SRM655408:SRO655408 TBI655408:TBK655408 TLE655408:TLG655408 TVA655408:TVC655408 UEW655408:UEY655408 UOS655408:UOU655408 UYO655408:UYQ655408 VIK655408:VIM655408 VSG655408:VSI655408 WCC655408:WCE655408 WLY655408:WMA655408 WVU655408:WVW655408 M720944:O720944 JI720944:JK720944 TE720944:TG720944 ADA720944:ADC720944 AMW720944:AMY720944 AWS720944:AWU720944 BGO720944:BGQ720944 BQK720944:BQM720944 CAG720944:CAI720944 CKC720944:CKE720944 CTY720944:CUA720944 DDU720944:DDW720944 DNQ720944:DNS720944 DXM720944:DXO720944 EHI720944:EHK720944 ERE720944:ERG720944 FBA720944:FBC720944 FKW720944:FKY720944 FUS720944:FUU720944 GEO720944:GEQ720944 GOK720944:GOM720944 GYG720944:GYI720944 HIC720944:HIE720944 HRY720944:HSA720944 IBU720944:IBW720944 ILQ720944:ILS720944 IVM720944:IVO720944 JFI720944:JFK720944 JPE720944:JPG720944 JZA720944:JZC720944 KIW720944:KIY720944 KSS720944:KSU720944 LCO720944:LCQ720944 LMK720944:LMM720944 LWG720944:LWI720944 MGC720944:MGE720944 MPY720944:MQA720944 MZU720944:MZW720944 NJQ720944:NJS720944 NTM720944:NTO720944 ODI720944:ODK720944 ONE720944:ONG720944 OXA720944:OXC720944 PGW720944:PGY720944 PQS720944:PQU720944 QAO720944:QAQ720944 QKK720944:QKM720944 QUG720944:QUI720944 REC720944:REE720944 RNY720944:ROA720944 RXU720944:RXW720944 SHQ720944:SHS720944 SRM720944:SRO720944 TBI720944:TBK720944 TLE720944:TLG720944 TVA720944:TVC720944 UEW720944:UEY720944 UOS720944:UOU720944 UYO720944:UYQ720944 VIK720944:VIM720944 VSG720944:VSI720944 WCC720944:WCE720944 WLY720944:WMA720944 WVU720944:WVW720944 M786480:O786480 JI786480:JK786480 TE786480:TG786480 ADA786480:ADC786480 AMW786480:AMY786480 AWS786480:AWU786480 BGO786480:BGQ786480 BQK786480:BQM786480 CAG786480:CAI786480 CKC786480:CKE786480 CTY786480:CUA786480 DDU786480:DDW786480 DNQ786480:DNS786480 DXM786480:DXO786480 EHI786480:EHK786480 ERE786480:ERG786480 FBA786480:FBC786480 FKW786480:FKY786480 FUS786480:FUU786480 GEO786480:GEQ786480 GOK786480:GOM786480 GYG786480:GYI786480 HIC786480:HIE786480 HRY786480:HSA786480 IBU786480:IBW786480 ILQ786480:ILS786480 IVM786480:IVO786480 JFI786480:JFK786480 JPE786480:JPG786480 JZA786480:JZC786480 KIW786480:KIY786480 KSS786480:KSU786480 LCO786480:LCQ786480 LMK786480:LMM786480 LWG786480:LWI786480 MGC786480:MGE786480 MPY786480:MQA786480 MZU786480:MZW786480 NJQ786480:NJS786480 NTM786480:NTO786480 ODI786480:ODK786480 ONE786480:ONG786480 OXA786480:OXC786480 PGW786480:PGY786480 PQS786480:PQU786480 QAO786480:QAQ786480 QKK786480:QKM786480 QUG786480:QUI786480 REC786480:REE786480 RNY786480:ROA786480 RXU786480:RXW786480 SHQ786480:SHS786480 SRM786480:SRO786480 TBI786480:TBK786480 TLE786480:TLG786480 TVA786480:TVC786480 UEW786480:UEY786480 UOS786480:UOU786480 UYO786480:UYQ786480 VIK786480:VIM786480 VSG786480:VSI786480 WCC786480:WCE786480 WLY786480:WMA786480 WVU786480:WVW786480 M852016:O852016 JI852016:JK852016 TE852016:TG852016 ADA852016:ADC852016 AMW852016:AMY852016 AWS852016:AWU852016 BGO852016:BGQ852016 BQK852016:BQM852016 CAG852016:CAI852016 CKC852016:CKE852016 CTY852016:CUA852016 DDU852016:DDW852016 DNQ852016:DNS852016 DXM852016:DXO852016 EHI852016:EHK852016 ERE852016:ERG852016 FBA852016:FBC852016 FKW852016:FKY852016 FUS852016:FUU852016 GEO852016:GEQ852016 GOK852016:GOM852016 GYG852016:GYI852016 HIC852016:HIE852016 HRY852016:HSA852016 IBU852016:IBW852016 ILQ852016:ILS852016 IVM852016:IVO852016 JFI852016:JFK852016 JPE852016:JPG852016 JZA852016:JZC852016 KIW852016:KIY852016 KSS852016:KSU852016 LCO852016:LCQ852016 LMK852016:LMM852016 LWG852016:LWI852016 MGC852016:MGE852016 MPY852016:MQA852016 MZU852016:MZW852016 NJQ852016:NJS852016 NTM852016:NTO852016 ODI852016:ODK852016 ONE852016:ONG852016 OXA852016:OXC852016 PGW852016:PGY852016 PQS852016:PQU852016 QAO852016:QAQ852016 QKK852016:QKM852016 QUG852016:QUI852016 REC852016:REE852016 RNY852016:ROA852016 RXU852016:RXW852016 SHQ852016:SHS852016 SRM852016:SRO852016 TBI852016:TBK852016 TLE852016:TLG852016 TVA852016:TVC852016 UEW852016:UEY852016 UOS852016:UOU852016 UYO852016:UYQ852016 VIK852016:VIM852016 VSG852016:VSI852016 WCC852016:WCE852016 WLY852016:WMA852016 WVU852016:WVW852016 M917552:O917552 JI917552:JK917552 TE917552:TG917552 ADA917552:ADC917552 AMW917552:AMY917552 AWS917552:AWU917552 BGO917552:BGQ917552 BQK917552:BQM917552 CAG917552:CAI917552 CKC917552:CKE917552 CTY917552:CUA917552 DDU917552:DDW917552 DNQ917552:DNS917552 DXM917552:DXO917552 EHI917552:EHK917552 ERE917552:ERG917552 FBA917552:FBC917552 FKW917552:FKY917552 FUS917552:FUU917552 GEO917552:GEQ917552 GOK917552:GOM917552 GYG917552:GYI917552 HIC917552:HIE917552 HRY917552:HSA917552 IBU917552:IBW917552 ILQ917552:ILS917552 IVM917552:IVO917552 JFI917552:JFK917552 JPE917552:JPG917552 JZA917552:JZC917552 KIW917552:KIY917552 KSS917552:KSU917552 LCO917552:LCQ917552 LMK917552:LMM917552 LWG917552:LWI917552 MGC917552:MGE917552 MPY917552:MQA917552 MZU917552:MZW917552 NJQ917552:NJS917552 NTM917552:NTO917552 ODI917552:ODK917552 ONE917552:ONG917552 OXA917552:OXC917552 PGW917552:PGY917552 PQS917552:PQU917552 QAO917552:QAQ917552 QKK917552:QKM917552 QUG917552:QUI917552 REC917552:REE917552 RNY917552:ROA917552 RXU917552:RXW917552 SHQ917552:SHS917552 SRM917552:SRO917552 TBI917552:TBK917552 TLE917552:TLG917552 TVA917552:TVC917552 UEW917552:UEY917552 UOS917552:UOU917552 UYO917552:UYQ917552 VIK917552:VIM917552 VSG917552:VSI917552 WCC917552:WCE917552 WLY917552:WMA917552 WVU917552:WVW917552 M983088:O983088 JI983088:JK983088 TE983088:TG983088 ADA983088:ADC983088 AMW983088:AMY983088 AWS983088:AWU983088 BGO983088:BGQ983088 BQK983088:BQM983088 CAG983088:CAI983088 CKC983088:CKE983088 CTY983088:CUA983088 DDU983088:DDW983088 DNQ983088:DNS983088 DXM983088:DXO983088 EHI983088:EHK983088 ERE983088:ERG983088 FBA983088:FBC983088 FKW983088:FKY983088 FUS983088:FUU983088 GEO983088:GEQ983088 GOK983088:GOM983088 GYG983088:GYI983088 HIC983088:HIE983088 HRY983088:HSA983088 IBU983088:IBW983088 ILQ983088:ILS983088 IVM983088:IVO983088 JFI983088:JFK983088 JPE983088:JPG983088 JZA983088:JZC983088 KIW983088:KIY983088 KSS983088:KSU983088 LCO983088:LCQ983088 LMK983088:LMM983088 LWG983088:LWI983088 MGC983088:MGE983088 MPY983088:MQA983088 MZU983088:MZW983088 NJQ983088:NJS983088 NTM983088:NTO983088 ODI983088:ODK983088 ONE983088:ONG983088 OXA983088:OXC983088 PGW983088:PGY983088 PQS983088:PQU983088 QAO983088:QAQ983088 QKK983088:QKM983088 QUG983088:QUI983088 REC983088:REE983088 RNY983088:ROA983088 RXU983088:RXW983088 SHQ983088:SHS983088 SRM983088:SRO983088 TBI983088:TBK983088 TLE983088:TLG983088 TVA983088:TVC983088 UEW983088:UEY983088 UOS983088:UOU983088 UYO983088:UYQ983088 VIK983088:VIM983088 VSG983088:VSI983088 WCC983088:WCE983088 WLY983088:WMA983088 WVU983088:WVW983088 H52:I52 JD52:JE52 SZ52:TA52 ACV52:ACW52 AMR52:AMS52 AWN52:AWO52 BGJ52:BGK52 BQF52:BQG52 CAB52:CAC52 CJX52:CJY52 CTT52:CTU52 DDP52:DDQ52 DNL52:DNM52 DXH52:DXI52 EHD52:EHE52 EQZ52:ERA52 FAV52:FAW52 FKR52:FKS52 FUN52:FUO52 GEJ52:GEK52 GOF52:GOG52 GYB52:GYC52 HHX52:HHY52 HRT52:HRU52 IBP52:IBQ52 ILL52:ILM52 IVH52:IVI52 JFD52:JFE52 JOZ52:JPA52 JYV52:JYW52 KIR52:KIS52 KSN52:KSO52 LCJ52:LCK52 LMF52:LMG52 LWB52:LWC52 MFX52:MFY52 MPT52:MPU52 MZP52:MZQ52 NJL52:NJM52 NTH52:NTI52 ODD52:ODE52 OMZ52:ONA52 OWV52:OWW52 PGR52:PGS52 PQN52:PQO52 QAJ52:QAK52 QKF52:QKG52 QUB52:QUC52 RDX52:RDY52 RNT52:RNU52 RXP52:RXQ52 SHL52:SHM52 SRH52:SRI52 TBD52:TBE52 TKZ52:TLA52 TUV52:TUW52 UER52:UES52 UON52:UOO52 UYJ52:UYK52 VIF52:VIG52 VSB52:VSC52 WBX52:WBY52 WLT52:WLU52 WVP52:WVQ52 H65588:I65588 JD65588:JE65588 SZ65588:TA65588 ACV65588:ACW65588 AMR65588:AMS65588 AWN65588:AWO65588 BGJ65588:BGK65588 BQF65588:BQG65588 CAB65588:CAC65588 CJX65588:CJY65588 CTT65588:CTU65588 DDP65588:DDQ65588 DNL65588:DNM65588 DXH65588:DXI65588 EHD65588:EHE65588 EQZ65588:ERA65588 FAV65588:FAW65588 FKR65588:FKS65588 FUN65588:FUO65588 GEJ65588:GEK65588 GOF65588:GOG65588 GYB65588:GYC65588 HHX65588:HHY65588 HRT65588:HRU65588 IBP65588:IBQ65588 ILL65588:ILM65588 IVH65588:IVI65588 JFD65588:JFE65588 JOZ65588:JPA65588 JYV65588:JYW65588 KIR65588:KIS65588 KSN65588:KSO65588 LCJ65588:LCK65588 LMF65588:LMG65588 LWB65588:LWC65588 MFX65588:MFY65588 MPT65588:MPU65588 MZP65588:MZQ65588 NJL65588:NJM65588 NTH65588:NTI65588 ODD65588:ODE65588 OMZ65588:ONA65588 OWV65588:OWW65588 PGR65588:PGS65588 PQN65588:PQO65588 QAJ65588:QAK65588 QKF65588:QKG65588 QUB65588:QUC65588 RDX65588:RDY65588 RNT65588:RNU65588 RXP65588:RXQ65588 SHL65588:SHM65588 SRH65588:SRI65588 TBD65588:TBE65588 TKZ65588:TLA65588 TUV65588:TUW65588 UER65588:UES65588 UON65588:UOO65588 UYJ65588:UYK65588 VIF65588:VIG65588 VSB65588:VSC65588 WBX65588:WBY65588 WLT65588:WLU65588 WVP65588:WVQ65588 H131124:I131124 JD131124:JE131124 SZ131124:TA131124 ACV131124:ACW131124 AMR131124:AMS131124 AWN131124:AWO131124 BGJ131124:BGK131124 BQF131124:BQG131124 CAB131124:CAC131124 CJX131124:CJY131124 CTT131124:CTU131124 DDP131124:DDQ131124 DNL131124:DNM131124 DXH131124:DXI131124 EHD131124:EHE131124 EQZ131124:ERA131124 FAV131124:FAW131124 FKR131124:FKS131124 FUN131124:FUO131124 GEJ131124:GEK131124 GOF131124:GOG131124 GYB131124:GYC131124 HHX131124:HHY131124 HRT131124:HRU131124 IBP131124:IBQ131124 ILL131124:ILM131124 IVH131124:IVI131124 JFD131124:JFE131124 JOZ131124:JPA131124 JYV131124:JYW131124 KIR131124:KIS131124 KSN131124:KSO131124 LCJ131124:LCK131124 LMF131124:LMG131124 LWB131124:LWC131124 MFX131124:MFY131124 MPT131124:MPU131124 MZP131124:MZQ131124 NJL131124:NJM131124 NTH131124:NTI131124 ODD131124:ODE131124 OMZ131124:ONA131124 OWV131124:OWW131124 PGR131124:PGS131124 PQN131124:PQO131124 QAJ131124:QAK131124 QKF131124:QKG131124 QUB131124:QUC131124 RDX131124:RDY131124 RNT131124:RNU131124 RXP131124:RXQ131124 SHL131124:SHM131124 SRH131124:SRI131124 TBD131124:TBE131124 TKZ131124:TLA131124 TUV131124:TUW131124 UER131124:UES131124 UON131124:UOO131124 UYJ131124:UYK131124 VIF131124:VIG131124 VSB131124:VSC131124 WBX131124:WBY131124 WLT131124:WLU131124 WVP131124:WVQ131124 H196660:I196660 JD196660:JE196660 SZ196660:TA196660 ACV196660:ACW196660 AMR196660:AMS196660 AWN196660:AWO196660 BGJ196660:BGK196660 BQF196660:BQG196660 CAB196660:CAC196660 CJX196660:CJY196660 CTT196660:CTU196660 DDP196660:DDQ196660 DNL196660:DNM196660 DXH196660:DXI196660 EHD196660:EHE196660 EQZ196660:ERA196660 FAV196660:FAW196660 FKR196660:FKS196660 FUN196660:FUO196660 GEJ196660:GEK196660 GOF196660:GOG196660 GYB196660:GYC196660 HHX196660:HHY196660 HRT196660:HRU196660 IBP196660:IBQ196660 ILL196660:ILM196660 IVH196660:IVI196660 JFD196660:JFE196660 JOZ196660:JPA196660 JYV196660:JYW196660 KIR196660:KIS196660 KSN196660:KSO196660 LCJ196660:LCK196660 LMF196660:LMG196660 LWB196660:LWC196660 MFX196660:MFY196660 MPT196660:MPU196660 MZP196660:MZQ196660 NJL196660:NJM196660 NTH196660:NTI196660 ODD196660:ODE196660 OMZ196660:ONA196660 OWV196660:OWW196660 PGR196660:PGS196660 PQN196660:PQO196660 QAJ196660:QAK196660 QKF196660:QKG196660 QUB196660:QUC196660 RDX196660:RDY196660 RNT196660:RNU196660 RXP196660:RXQ196660 SHL196660:SHM196660 SRH196660:SRI196660 TBD196660:TBE196660 TKZ196660:TLA196660 TUV196660:TUW196660 UER196660:UES196660 UON196660:UOO196660 UYJ196660:UYK196660 VIF196660:VIG196660 VSB196660:VSC196660 WBX196660:WBY196660 WLT196660:WLU196660 WVP196660:WVQ196660 H262196:I262196 JD262196:JE262196 SZ262196:TA262196 ACV262196:ACW262196 AMR262196:AMS262196 AWN262196:AWO262196 BGJ262196:BGK262196 BQF262196:BQG262196 CAB262196:CAC262196 CJX262196:CJY262196 CTT262196:CTU262196 DDP262196:DDQ262196 DNL262196:DNM262196 DXH262196:DXI262196 EHD262196:EHE262196 EQZ262196:ERA262196 FAV262196:FAW262196 FKR262196:FKS262196 FUN262196:FUO262196 GEJ262196:GEK262196 GOF262196:GOG262196 GYB262196:GYC262196 HHX262196:HHY262196 HRT262196:HRU262196 IBP262196:IBQ262196 ILL262196:ILM262196 IVH262196:IVI262196 JFD262196:JFE262196 JOZ262196:JPA262196 JYV262196:JYW262196 KIR262196:KIS262196 KSN262196:KSO262196 LCJ262196:LCK262196 LMF262196:LMG262196 LWB262196:LWC262196 MFX262196:MFY262196 MPT262196:MPU262196 MZP262196:MZQ262196 NJL262196:NJM262196 NTH262196:NTI262196 ODD262196:ODE262196 OMZ262196:ONA262196 OWV262196:OWW262196 PGR262196:PGS262196 PQN262196:PQO262196 QAJ262196:QAK262196 QKF262196:QKG262196 QUB262196:QUC262196 RDX262196:RDY262196 RNT262196:RNU262196 RXP262196:RXQ262196 SHL262196:SHM262196 SRH262196:SRI262196 TBD262196:TBE262196 TKZ262196:TLA262196 TUV262196:TUW262196 UER262196:UES262196 UON262196:UOO262196 UYJ262196:UYK262196 VIF262196:VIG262196 VSB262196:VSC262196 WBX262196:WBY262196 WLT262196:WLU262196 WVP262196:WVQ262196 H327732:I327732 JD327732:JE327732 SZ327732:TA327732 ACV327732:ACW327732 AMR327732:AMS327732 AWN327732:AWO327732 BGJ327732:BGK327732 BQF327732:BQG327732 CAB327732:CAC327732 CJX327732:CJY327732 CTT327732:CTU327732 DDP327732:DDQ327732 DNL327732:DNM327732 DXH327732:DXI327732 EHD327732:EHE327732 EQZ327732:ERA327732 FAV327732:FAW327732 FKR327732:FKS327732 FUN327732:FUO327732 GEJ327732:GEK327732 GOF327732:GOG327732 GYB327732:GYC327732 HHX327732:HHY327732 HRT327732:HRU327732 IBP327732:IBQ327732 ILL327732:ILM327732 IVH327732:IVI327732 JFD327732:JFE327732 JOZ327732:JPA327732 JYV327732:JYW327732 KIR327732:KIS327732 KSN327732:KSO327732 LCJ327732:LCK327732 LMF327732:LMG327732 LWB327732:LWC327732 MFX327732:MFY327732 MPT327732:MPU327732 MZP327732:MZQ327732 NJL327732:NJM327732 NTH327732:NTI327732 ODD327732:ODE327732 OMZ327732:ONA327732 OWV327732:OWW327732 PGR327732:PGS327732 PQN327732:PQO327732 QAJ327732:QAK327732 QKF327732:QKG327732 QUB327732:QUC327732 RDX327732:RDY327732 RNT327732:RNU327732 RXP327732:RXQ327732 SHL327732:SHM327732 SRH327732:SRI327732 TBD327732:TBE327732 TKZ327732:TLA327732 TUV327732:TUW327732 UER327732:UES327732 UON327732:UOO327732 UYJ327732:UYK327732 VIF327732:VIG327732 VSB327732:VSC327732 WBX327732:WBY327732 WLT327732:WLU327732 WVP327732:WVQ327732 H393268:I393268 JD393268:JE393268 SZ393268:TA393268 ACV393268:ACW393268 AMR393268:AMS393268 AWN393268:AWO393268 BGJ393268:BGK393268 BQF393268:BQG393268 CAB393268:CAC393268 CJX393268:CJY393268 CTT393268:CTU393268 DDP393268:DDQ393268 DNL393268:DNM393268 DXH393268:DXI393268 EHD393268:EHE393268 EQZ393268:ERA393268 FAV393268:FAW393268 FKR393268:FKS393268 FUN393268:FUO393268 GEJ393268:GEK393268 GOF393268:GOG393268 GYB393268:GYC393268 HHX393268:HHY393268 HRT393268:HRU393268 IBP393268:IBQ393268 ILL393268:ILM393268 IVH393268:IVI393268 JFD393268:JFE393268 JOZ393268:JPA393268 JYV393268:JYW393268 KIR393268:KIS393268 KSN393268:KSO393268 LCJ393268:LCK393268 LMF393268:LMG393268 LWB393268:LWC393268 MFX393268:MFY393268 MPT393268:MPU393268 MZP393268:MZQ393268 NJL393268:NJM393268 NTH393268:NTI393268 ODD393268:ODE393268 OMZ393268:ONA393268 OWV393268:OWW393268 PGR393268:PGS393268 PQN393268:PQO393268 QAJ393268:QAK393268 QKF393268:QKG393268 QUB393268:QUC393268 RDX393268:RDY393268 RNT393268:RNU393268 RXP393268:RXQ393268 SHL393268:SHM393268 SRH393268:SRI393268 TBD393268:TBE393268 TKZ393268:TLA393268 TUV393268:TUW393268 UER393268:UES393268 UON393268:UOO393268 UYJ393268:UYK393268 VIF393268:VIG393268 VSB393268:VSC393268 WBX393268:WBY393268 WLT393268:WLU393268 WVP393268:WVQ393268 H458804:I458804 JD458804:JE458804 SZ458804:TA458804 ACV458804:ACW458804 AMR458804:AMS458804 AWN458804:AWO458804 BGJ458804:BGK458804 BQF458804:BQG458804 CAB458804:CAC458804 CJX458804:CJY458804 CTT458804:CTU458804 DDP458804:DDQ458804 DNL458804:DNM458804 DXH458804:DXI458804 EHD458804:EHE458804 EQZ458804:ERA458804 FAV458804:FAW458804 FKR458804:FKS458804 FUN458804:FUO458804 GEJ458804:GEK458804 GOF458804:GOG458804 GYB458804:GYC458804 HHX458804:HHY458804 HRT458804:HRU458804 IBP458804:IBQ458804 ILL458804:ILM458804 IVH458804:IVI458804 JFD458804:JFE458804 JOZ458804:JPA458804 JYV458804:JYW458804 KIR458804:KIS458804 KSN458804:KSO458804 LCJ458804:LCK458804 LMF458804:LMG458804 LWB458804:LWC458804 MFX458804:MFY458804 MPT458804:MPU458804 MZP458804:MZQ458804 NJL458804:NJM458804 NTH458804:NTI458804 ODD458804:ODE458804 OMZ458804:ONA458804 OWV458804:OWW458804 PGR458804:PGS458804 PQN458804:PQO458804 QAJ458804:QAK458804 QKF458804:QKG458804 QUB458804:QUC458804 RDX458804:RDY458804 RNT458804:RNU458804 RXP458804:RXQ458804 SHL458804:SHM458804 SRH458804:SRI458804 TBD458804:TBE458804 TKZ458804:TLA458804 TUV458804:TUW458804 UER458804:UES458804 UON458804:UOO458804 UYJ458804:UYK458804 VIF458804:VIG458804 VSB458804:VSC458804 WBX458804:WBY458804 WLT458804:WLU458804 WVP458804:WVQ458804 H524340:I524340 JD524340:JE524340 SZ524340:TA524340 ACV524340:ACW524340 AMR524340:AMS524340 AWN524340:AWO524340 BGJ524340:BGK524340 BQF524340:BQG524340 CAB524340:CAC524340 CJX524340:CJY524340 CTT524340:CTU524340 DDP524340:DDQ524340 DNL524340:DNM524340 DXH524340:DXI524340 EHD524340:EHE524340 EQZ524340:ERA524340 FAV524340:FAW524340 FKR524340:FKS524340 FUN524340:FUO524340 GEJ524340:GEK524340 GOF524340:GOG524340 GYB524340:GYC524340 HHX524340:HHY524340 HRT524340:HRU524340 IBP524340:IBQ524340 ILL524340:ILM524340 IVH524340:IVI524340 JFD524340:JFE524340 JOZ524340:JPA524340 JYV524340:JYW524340 KIR524340:KIS524340 KSN524340:KSO524340 LCJ524340:LCK524340 LMF524340:LMG524340 LWB524340:LWC524340 MFX524340:MFY524340 MPT524340:MPU524340 MZP524340:MZQ524340 NJL524340:NJM524340 NTH524340:NTI524340 ODD524340:ODE524340 OMZ524340:ONA524340 OWV524340:OWW524340 PGR524340:PGS524340 PQN524340:PQO524340 QAJ524340:QAK524340 QKF524340:QKG524340 QUB524340:QUC524340 RDX524340:RDY524340 RNT524340:RNU524340 RXP524340:RXQ524340 SHL524340:SHM524340 SRH524340:SRI524340 TBD524340:TBE524340 TKZ524340:TLA524340 TUV524340:TUW524340 UER524340:UES524340 UON524340:UOO524340 UYJ524340:UYK524340 VIF524340:VIG524340 VSB524340:VSC524340 WBX524340:WBY524340 WLT524340:WLU524340 WVP524340:WVQ524340 H589876:I589876 JD589876:JE589876 SZ589876:TA589876 ACV589876:ACW589876 AMR589876:AMS589876 AWN589876:AWO589876 BGJ589876:BGK589876 BQF589876:BQG589876 CAB589876:CAC589876 CJX589876:CJY589876 CTT589876:CTU589876 DDP589876:DDQ589876 DNL589876:DNM589876 DXH589876:DXI589876 EHD589876:EHE589876 EQZ589876:ERA589876 FAV589876:FAW589876 FKR589876:FKS589876 FUN589876:FUO589876 GEJ589876:GEK589876 GOF589876:GOG589876 GYB589876:GYC589876 HHX589876:HHY589876 HRT589876:HRU589876 IBP589876:IBQ589876 ILL589876:ILM589876 IVH589876:IVI589876 JFD589876:JFE589876 JOZ589876:JPA589876 JYV589876:JYW589876 KIR589876:KIS589876 KSN589876:KSO589876 LCJ589876:LCK589876 LMF589876:LMG589876 LWB589876:LWC589876 MFX589876:MFY589876 MPT589876:MPU589876 MZP589876:MZQ589876 NJL589876:NJM589876 NTH589876:NTI589876 ODD589876:ODE589876 OMZ589876:ONA589876 OWV589876:OWW589876 PGR589876:PGS589876 PQN589876:PQO589876 QAJ589876:QAK589876 QKF589876:QKG589876 QUB589876:QUC589876 RDX589876:RDY589876 RNT589876:RNU589876 RXP589876:RXQ589876 SHL589876:SHM589876 SRH589876:SRI589876 TBD589876:TBE589876 TKZ589876:TLA589876 TUV589876:TUW589876 UER589876:UES589876 UON589876:UOO589876 UYJ589876:UYK589876 VIF589876:VIG589876 VSB589876:VSC589876 WBX589876:WBY589876 WLT589876:WLU589876 WVP589876:WVQ589876 H655412:I655412 JD655412:JE655412 SZ655412:TA655412 ACV655412:ACW655412 AMR655412:AMS655412 AWN655412:AWO655412 BGJ655412:BGK655412 BQF655412:BQG655412 CAB655412:CAC655412 CJX655412:CJY655412 CTT655412:CTU655412 DDP655412:DDQ655412 DNL655412:DNM655412 DXH655412:DXI655412 EHD655412:EHE655412 EQZ655412:ERA655412 FAV655412:FAW655412 FKR655412:FKS655412 FUN655412:FUO655412 GEJ655412:GEK655412 GOF655412:GOG655412 GYB655412:GYC655412 HHX655412:HHY655412 HRT655412:HRU655412 IBP655412:IBQ655412 ILL655412:ILM655412 IVH655412:IVI655412 JFD655412:JFE655412 JOZ655412:JPA655412 JYV655412:JYW655412 KIR655412:KIS655412 KSN655412:KSO655412 LCJ655412:LCK655412 LMF655412:LMG655412 LWB655412:LWC655412 MFX655412:MFY655412 MPT655412:MPU655412 MZP655412:MZQ655412 NJL655412:NJM655412 NTH655412:NTI655412 ODD655412:ODE655412 OMZ655412:ONA655412 OWV655412:OWW655412 PGR655412:PGS655412 PQN655412:PQO655412 QAJ655412:QAK655412 QKF655412:QKG655412 QUB655412:QUC655412 RDX655412:RDY655412 RNT655412:RNU655412 RXP655412:RXQ655412 SHL655412:SHM655412 SRH655412:SRI655412 TBD655412:TBE655412 TKZ655412:TLA655412 TUV655412:TUW655412 UER655412:UES655412 UON655412:UOO655412 UYJ655412:UYK655412 VIF655412:VIG655412 VSB655412:VSC655412 WBX655412:WBY655412 WLT655412:WLU655412 WVP655412:WVQ655412 H720948:I720948 JD720948:JE720948 SZ720948:TA720948 ACV720948:ACW720948 AMR720948:AMS720948 AWN720948:AWO720948 BGJ720948:BGK720948 BQF720948:BQG720948 CAB720948:CAC720948 CJX720948:CJY720948 CTT720948:CTU720948 DDP720948:DDQ720948 DNL720948:DNM720948 DXH720948:DXI720948 EHD720948:EHE720948 EQZ720948:ERA720948 FAV720948:FAW720948 FKR720948:FKS720948 FUN720948:FUO720948 GEJ720948:GEK720948 GOF720948:GOG720948 GYB720948:GYC720948 HHX720948:HHY720948 HRT720948:HRU720948 IBP720948:IBQ720948 ILL720948:ILM720948 IVH720948:IVI720948 JFD720948:JFE720948 JOZ720948:JPA720948 JYV720948:JYW720948 KIR720948:KIS720948 KSN720948:KSO720948 LCJ720948:LCK720948 LMF720948:LMG720948 LWB720948:LWC720948 MFX720948:MFY720948 MPT720948:MPU720948 MZP720948:MZQ720948 NJL720948:NJM720948 NTH720948:NTI720948 ODD720948:ODE720948 OMZ720948:ONA720948 OWV720948:OWW720948 PGR720948:PGS720948 PQN720948:PQO720948 QAJ720948:QAK720948 QKF720948:QKG720948 QUB720948:QUC720948 RDX720948:RDY720948 RNT720948:RNU720948 RXP720948:RXQ720948 SHL720948:SHM720948 SRH720948:SRI720948 TBD720948:TBE720948 TKZ720948:TLA720948 TUV720948:TUW720948 UER720948:UES720948 UON720948:UOO720948 UYJ720948:UYK720948 VIF720948:VIG720948 VSB720948:VSC720948 WBX720948:WBY720948 WLT720948:WLU720948 WVP720948:WVQ720948 H786484:I786484 JD786484:JE786484 SZ786484:TA786484 ACV786484:ACW786484 AMR786484:AMS786484 AWN786484:AWO786484 BGJ786484:BGK786484 BQF786484:BQG786484 CAB786484:CAC786484 CJX786484:CJY786484 CTT786484:CTU786484 DDP786484:DDQ786484 DNL786484:DNM786484 DXH786484:DXI786484 EHD786484:EHE786484 EQZ786484:ERA786484 FAV786484:FAW786484 FKR786484:FKS786484 FUN786484:FUO786484 GEJ786484:GEK786484 GOF786484:GOG786484 GYB786484:GYC786484 HHX786484:HHY786484 HRT786484:HRU786484 IBP786484:IBQ786484 ILL786484:ILM786484 IVH786484:IVI786484 JFD786484:JFE786484 JOZ786484:JPA786484 JYV786484:JYW786484 KIR786484:KIS786484 KSN786484:KSO786484 LCJ786484:LCK786484 LMF786484:LMG786484 LWB786484:LWC786484 MFX786484:MFY786484 MPT786484:MPU786484 MZP786484:MZQ786484 NJL786484:NJM786484 NTH786484:NTI786484 ODD786484:ODE786484 OMZ786484:ONA786484 OWV786484:OWW786484 PGR786484:PGS786484 PQN786484:PQO786484 QAJ786484:QAK786484 QKF786484:QKG786484 QUB786484:QUC786484 RDX786484:RDY786484 RNT786484:RNU786484 RXP786484:RXQ786484 SHL786484:SHM786484 SRH786484:SRI786484 TBD786484:TBE786484 TKZ786484:TLA786484 TUV786484:TUW786484 UER786484:UES786484 UON786484:UOO786484 UYJ786484:UYK786484 VIF786484:VIG786484 VSB786484:VSC786484 WBX786484:WBY786484 WLT786484:WLU786484 WVP786484:WVQ786484 H852020:I852020 JD852020:JE852020 SZ852020:TA852020 ACV852020:ACW852020 AMR852020:AMS852020 AWN852020:AWO852020 BGJ852020:BGK852020 BQF852020:BQG852020 CAB852020:CAC852020 CJX852020:CJY852020 CTT852020:CTU852020 DDP852020:DDQ852020 DNL852020:DNM852020 DXH852020:DXI852020 EHD852020:EHE852020 EQZ852020:ERA852020 FAV852020:FAW852020 FKR852020:FKS852020 FUN852020:FUO852020 GEJ852020:GEK852020 GOF852020:GOG852020 GYB852020:GYC852020 HHX852020:HHY852020 HRT852020:HRU852020 IBP852020:IBQ852020 ILL852020:ILM852020 IVH852020:IVI852020 JFD852020:JFE852020 JOZ852020:JPA852020 JYV852020:JYW852020 KIR852020:KIS852020 KSN852020:KSO852020 LCJ852020:LCK852020 LMF852020:LMG852020 LWB852020:LWC852020 MFX852020:MFY852020 MPT852020:MPU852020 MZP852020:MZQ852020 NJL852020:NJM852020 NTH852020:NTI852020 ODD852020:ODE852020 OMZ852020:ONA852020 OWV852020:OWW852020 PGR852020:PGS852020 PQN852020:PQO852020 QAJ852020:QAK852020 QKF852020:QKG852020 QUB852020:QUC852020 RDX852020:RDY852020 RNT852020:RNU852020 RXP852020:RXQ852020 SHL852020:SHM852020 SRH852020:SRI852020 TBD852020:TBE852020 TKZ852020:TLA852020 TUV852020:TUW852020 UER852020:UES852020 UON852020:UOO852020 UYJ852020:UYK852020 VIF852020:VIG852020 VSB852020:VSC852020 WBX852020:WBY852020 WLT852020:WLU852020 WVP852020:WVQ852020 H917556:I917556 JD917556:JE917556 SZ917556:TA917556 ACV917556:ACW917556 AMR917556:AMS917556 AWN917556:AWO917556 BGJ917556:BGK917556 BQF917556:BQG917556 CAB917556:CAC917556 CJX917556:CJY917556 CTT917556:CTU917556 DDP917556:DDQ917556 DNL917556:DNM917556 DXH917556:DXI917556 EHD917556:EHE917556 EQZ917556:ERA917556 FAV917556:FAW917556 FKR917556:FKS917556 FUN917556:FUO917556 GEJ917556:GEK917556 GOF917556:GOG917556 GYB917556:GYC917556 HHX917556:HHY917556 HRT917556:HRU917556 IBP917556:IBQ917556 ILL917556:ILM917556 IVH917556:IVI917556 JFD917556:JFE917556 JOZ917556:JPA917556 JYV917556:JYW917556 KIR917556:KIS917556 KSN917556:KSO917556 LCJ917556:LCK917556 LMF917556:LMG917556 LWB917556:LWC917556 MFX917556:MFY917556 MPT917556:MPU917556 MZP917556:MZQ917556 NJL917556:NJM917556 NTH917556:NTI917556 ODD917556:ODE917556 OMZ917556:ONA917556 OWV917556:OWW917556 PGR917556:PGS917556 PQN917556:PQO917556 QAJ917556:QAK917556 QKF917556:QKG917556 QUB917556:QUC917556 RDX917556:RDY917556 RNT917556:RNU917556 RXP917556:RXQ917556 SHL917556:SHM917556 SRH917556:SRI917556 TBD917556:TBE917556 TKZ917556:TLA917556 TUV917556:TUW917556 UER917556:UES917556 UON917556:UOO917556 UYJ917556:UYK917556 VIF917556:VIG917556 VSB917556:VSC917556 WBX917556:WBY917556 WLT917556:WLU917556 WVP917556:WVQ917556 H983092:I983092 JD983092:JE983092 SZ983092:TA983092 ACV983092:ACW983092 AMR983092:AMS983092 AWN983092:AWO983092 BGJ983092:BGK983092 BQF983092:BQG983092 CAB983092:CAC983092 CJX983092:CJY983092 CTT983092:CTU983092 DDP983092:DDQ983092 DNL983092:DNM983092 DXH983092:DXI983092 EHD983092:EHE983092 EQZ983092:ERA983092 FAV983092:FAW983092 FKR983092:FKS983092 FUN983092:FUO983092 GEJ983092:GEK983092 GOF983092:GOG983092 GYB983092:GYC983092 HHX983092:HHY983092 HRT983092:HRU983092 IBP983092:IBQ983092 ILL983092:ILM983092 IVH983092:IVI983092 JFD983092:JFE983092 JOZ983092:JPA983092 JYV983092:JYW983092 KIR983092:KIS983092 KSN983092:KSO983092 LCJ983092:LCK983092 LMF983092:LMG983092 LWB983092:LWC983092 MFX983092:MFY983092 MPT983092:MPU983092 MZP983092:MZQ983092 NJL983092:NJM983092 NTH983092:NTI983092 ODD983092:ODE983092 OMZ983092:ONA983092 OWV983092:OWW983092 PGR983092:PGS983092 PQN983092:PQO983092 QAJ983092:QAK983092 QKF983092:QKG983092 QUB983092:QUC983092 RDX983092:RDY983092 RNT983092:RNU983092 RXP983092:RXQ983092 SHL983092:SHM983092 SRH983092:SRI983092 TBD983092:TBE983092 TKZ983092:TLA983092 TUV983092:TUW983092 UER983092:UES983092 UON983092:UOO983092 UYJ983092:UYK983092 VIF983092:VIG983092 VSB983092:VSC983092 WBX983092:WBY983092 WLT983092:WLU983092 WVP983092:WVQ983092 T49:T51 JP49:JP51 TL49:TL51 ADH49:ADH51 AND49:AND51 AWZ49:AWZ51 BGV49:BGV51 BQR49:BQR51 CAN49:CAN51 CKJ49:CKJ51 CUF49:CUF51 DEB49:DEB51 DNX49:DNX51 DXT49:DXT51 EHP49:EHP51 ERL49:ERL51 FBH49:FBH51 FLD49:FLD51 FUZ49:FUZ51 GEV49:GEV51 GOR49:GOR51 GYN49:GYN51 HIJ49:HIJ51 HSF49:HSF51 ICB49:ICB51 ILX49:ILX51 IVT49:IVT51 JFP49:JFP51 JPL49:JPL51 JZH49:JZH51 KJD49:KJD51 KSZ49:KSZ51 LCV49:LCV51 LMR49:LMR51 LWN49:LWN51 MGJ49:MGJ51 MQF49:MQF51 NAB49:NAB51 NJX49:NJX51 NTT49:NTT51 ODP49:ODP51 ONL49:ONL51 OXH49:OXH51 PHD49:PHD51 PQZ49:PQZ51 QAV49:QAV51 QKR49:QKR51 QUN49:QUN51 REJ49:REJ51 ROF49:ROF51 RYB49:RYB51 SHX49:SHX51 SRT49:SRT51 TBP49:TBP51 TLL49:TLL51 TVH49:TVH51 UFD49:UFD51 UOZ49:UOZ51 UYV49:UYV51 VIR49:VIR51 VSN49:VSN51 WCJ49:WCJ51 WMF49:WMF51 WWB49:WWB51 T65585:T65587 JP65585:JP65587 TL65585:TL65587 ADH65585:ADH65587 AND65585:AND65587 AWZ65585:AWZ65587 BGV65585:BGV65587 BQR65585:BQR65587 CAN65585:CAN65587 CKJ65585:CKJ65587 CUF65585:CUF65587 DEB65585:DEB65587 DNX65585:DNX65587 DXT65585:DXT65587 EHP65585:EHP65587 ERL65585:ERL65587 FBH65585:FBH65587 FLD65585:FLD65587 FUZ65585:FUZ65587 GEV65585:GEV65587 GOR65585:GOR65587 GYN65585:GYN65587 HIJ65585:HIJ65587 HSF65585:HSF65587 ICB65585:ICB65587 ILX65585:ILX65587 IVT65585:IVT65587 JFP65585:JFP65587 JPL65585:JPL65587 JZH65585:JZH65587 KJD65585:KJD65587 KSZ65585:KSZ65587 LCV65585:LCV65587 LMR65585:LMR65587 LWN65585:LWN65587 MGJ65585:MGJ65587 MQF65585:MQF65587 NAB65585:NAB65587 NJX65585:NJX65587 NTT65585:NTT65587 ODP65585:ODP65587 ONL65585:ONL65587 OXH65585:OXH65587 PHD65585:PHD65587 PQZ65585:PQZ65587 QAV65585:QAV65587 QKR65585:QKR65587 QUN65585:QUN65587 REJ65585:REJ65587 ROF65585:ROF65587 RYB65585:RYB65587 SHX65585:SHX65587 SRT65585:SRT65587 TBP65585:TBP65587 TLL65585:TLL65587 TVH65585:TVH65587 UFD65585:UFD65587 UOZ65585:UOZ65587 UYV65585:UYV65587 VIR65585:VIR65587 VSN65585:VSN65587 WCJ65585:WCJ65587 WMF65585:WMF65587 WWB65585:WWB65587 T131121:T131123 JP131121:JP131123 TL131121:TL131123 ADH131121:ADH131123 AND131121:AND131123 AWZ131121:AWZ131123 BGV131121:BGV131123 BQR131121:BQR131123 CAN131121:CAN131123 CKJ131121:CKJ131123 CUF131121:CUF131123 DEB131121:DEB131123 DNX131121:DNX131123 DXT131121:DXT131123 EHP131121:EHP131123 ERL131121:ERL131123 FBH131121:FBH131123 FLD131121:FLD131123 FUZ131121:FUZ131123 GEV131121:GEV131123 GOR131121:GOR131123 GYN131121:GYN131123 HIJ131121:HIJ131123 HSF131121:HSF131123 ICB131121:ICB131123 ILX131121:ILX131123 IVT131121:IVT131123 JFP131121:JFP131123 JPL131121:JPL131123 JZH131121:JZH131123 KJD131121:KJD131123 KSZ131121:KSZ131123 LCV131121:LCV131123 LMR131121:LMR131123 LWN131121:LWN131123 MGJ131121:MGJ131123 MQF131121:MQF131123 NAB131121:NAB131123 NJX131121:NJX131123 NTT131121:NTT131123 ODP131121:ODP131123 ONL131121:ONL131123 OXH131121:OXH131123 PHD131121:PHD131123 PQZ131121:PQZ131123 QAV131121:QAV131123 QKR131121:QKR131123 QUN131121:QUN131123 REJ131121:REJ131123 ROF131121:ROF131123 RYB131121:RYB131123 SHX131121:SHX131123 SRT131121:SRT131123 TBP131121:TBP131123 TLL131121:TLL131123 TVH131121:TVH131123 UFD131121:UFD131123 UOZ131121:UOZ131123 UYV131121:UYV131123 VIR131121:VIR131123 VSN131121:VSN131123 WCJ131121:WCJ131123 WMF131121:WMF131123 WWB131121:WWB131123 T196657:T196659 JP196657:JP196659 TL196657:TL196659 ADH196657:ADH196659 AND196657:AND196659 AWZ196657:AWZ196659 BGV196657:BGV196659 BQR196657:BQR196659 CAN196657:CAN196659 CKJ196657:CKJ196659 CUF196657:CUF196659 DEB196657:DEB196659 DNX196657:DNX196659 DXT196657:DXT196659 EHP196657:EHP196659 ERL196657:ERL196659 FBH196657:FBH196659 FLD196657:FLD196659 FUZ196657:FUZ196659 GEV196657:GEV196659 GOR196657:GOR196659 GYN196657:GYN196659 HIJ196657:HIJ196659 HSF196657:HSF196659 ICB196657:ICB196659 ILX196657:ILX196659 IVT196657:IVT196659 JFP196657:JFP196659 JPL196657:JPL196659 JZH196657:JZH196659 KJD196657:KJD196659 KSZ196657:KSZ196659 LCV196657:LCV196659 LMR196657:LMR196659 LWN196657:LWN196659 MGJ196657:MGJ196659 MQF196657:MQF196659 NAB196657:NAB196659 NJX196657:NJX196659 NTT196657:NTT196659 ODP196657:ODP196659 ONL196657:ONL196659 OXH196657:OXH196659 PHD196657:PHD196659 PQZ196657:PQZ196659 QAV196657:QAV196659 QKR196657:QKR196659 QUN196657:QUN196659 REJ196657:REJ196659 ROF196657:ROF196659 RYB196657:RYB196659 SHX196657:SHX196659 SRT196657:SRT196659 TBP196657:TBP196659 TLL196657:TLL196659 TVH196657:TVH196659 UFD196657:UFD196659 UOZ196657:UOZ196659 UYV196657:UYV196659 VIR196657:VIR196659 VSN196657:VSN196659 WCJ196657:WCJ196659 WMF196657:WMF196659 WWB196657:WWB196659 T262193:T262195 JP262193:JP262195 TL262193:TL262195 ADH262193:ADH262195 AND262193:AND262195 AWZ262193:AWZ262195 BGV262193:BGV262195 BQR262193:BQR262195 CAN262193:CAN262195 CKJ262193:CKJ262195 CUF262193:CUF262195 DEB262193:DEB262195 DNX262193:DNX262195 DXT262193:DXT262195 EHP262193:EHP262195 ERL262193:ERL262195 FBH262193:FBH262195 FLD262193:FLD262195 FUZ262193:FUZ262195 GEV262193:GEV262195 GOR262193:GOR262195 GYN262193:GYN262195 HIJ262193:HIJ262195 HSF262193:HSF262195 ICB262193:ICB262195 ILX262193:ILX262195 IVT262193:IVT262195 JFP262193:JFP262195 JPL262193:JPL262195 JZH262193:JZH262195 KJD262193:KJD262195 KSZ262193:KSZ262195 LCV262193:LCV262195 LMR262193:LMR262195 LWN262193:LWN262195 MGJ262193:MGJ262195 MQF262193:MQF262195 NAB262193:NAB262195 NJX262193:NJX262195 NTT262193:NTT262195 ODP262193:ODP262195 ONL262193:ONL262195 OXH262193:OXH262195 PHD262193:PHD262195 PQZ262193:PQZ262195 QAV262193:QAV262195 QKR262193:QKR262195 QUN262193:QUN262195 REJ262193:REJ262195 ROF262193:ROF262195 RYB262193:RYB262195 SHX262193:SHX262195 SRT262193:SRT262195 TBP262193:TBP262195 TLL262193:TLL262195 TVH262193:TVH262195 UFD262193:UFD262195 UOZ262193:UOZ262195 UYV262193:UYV262195 VIR262193:VIR262195 VSN262193:VSN262195 WCJ262193:WCJ262195 WMF262193:WMF262195 WWB262193:WWB262195 T327729:T327731 JP327729:JP327731 TL327729:TL327731 ADH327729:ADH327731 AND327729:AND327731 AWZ327729:AWZ327731 BGV327729:BGV327731 BQR327729:BQR327731 CAN327729:CAN327731 CKJ327729:CKJ327731 CUF327729:CUF327731 DEB327729:DEB327731 DNX327729:DNX327731 DXT327729:DXT327731 EHP327729:EHP327731 ERL327729:ERL327731 FBH327729:FBH327731 FLD327729:FLD327731 FUZ327729:FUZ327731 GEV327729:GEV327731 GOR327729:GOR327731 GYN327729:GYN327731 HIJ327729:HIJ327731 HSF327729:HSF327731 ICB327729:ICB327731 ILX327729:ILX327731 IVT327729:IVT327731 JFP327729:JFP327731 JPL327729:JPL327731 JZH327729:JZH327731 KJD327729:KJD327731 KSZ327729:KSZ327731 LCV327729:LCV327731 LMR327729:LMR327731 LWN327729:LWN327731 MGJ327729:MGJ327731 MQF327729:MQF327731 NAB327729:NAB327731 NJX327729:NJX327731 NTT327729:NTT327731 ODP327729:ODP327731 ONL327729:ONL327731 OXH327729:OXH327731 PHD327729:PHD327731 PQZ327729:PQZ327731 QAV327729:QAV327731 QKR327729:QKR327731 QUN327729:QUN327731 REJ327729:REJ327731 ROF327729:ROF327731 RYB327729:RYB327731 SHX327729:SHX327731 SRT327729:SRT327731 TBP327729:TBP327731 TLL327729:TLL327731 TVH327729:TVH327731 UFD327729:UFD327731 UOZ327729:UOZ327731 UYV327729:UYV327731 VIR327729:VIR327731 VSN327729:VSN327731 WCJ327729:WCJ327731 WMF327729:WMF327731 WWB327729:WWB327731 T393265:T393267 JP393265:JP393267 TL393265:TL393267 ADH393265:ADH393267 AND393265:AND393267 AWZ393265:AWZ393267 BGV393265:BGV393267 BQR393265:BQR393267 CAN393265:CAN393267 CKJ393265:CKJ393267 CUF393265:CUF393267 DEB393265:DEB393267 DNX393265:DNX393267 DXT393265:DXT393267 EHP393265:EHP393267 ERL393265:ERL393267 FBH393265:FBH393267 FLD393265:FLD393267 FUZ393265:FUZ393267 GEV393265:GEV393267 GOR393265:GOR393267 GYN393265:GYN393267 HIJ393265:HIJ393267 HSF393265:HSF393267 ICB393265:ICB393267 ILX393265:ILX393267 IVT393265:IVT393267 JFP393265:JFP393267 JPL393265:JPL393267 JZH393265:JZH393267 KJD393265:KJD393267 KSZ393265:KSZ393267 LCV393265:LCV393267 LMR393265:LMR393267 LWN393265:LWN393267 MGJ393265:MGJ393267 MQF393265:MQF393267 NAB393265:NAB393267 NJX393265:NJX393267 NTT393265:NTT393267 ODP393265:ODP393267 ONL393265:ONL393267 OXH393265:OXH393267 PHD393265:PHD393267 PQZ393265:PQZ393267 QAV393265:QAV393267 QKR393265:QKR393267 QUN393265:QUN393267 REJ393265:REJ393267 ROF393265:ROF393267 RYB393265:RYB393267 SHX393265:SHX393267 SRT393265:SRT393267 TBP393265:TBP393267 TLL393265:TLL393267 TVH393265:TVH393267 UFD393265:UFD393267 UOZ393265:UOZ393267 UYV393265:UYV393267 VIR393265:VIR393267 VSN393265:VSN393267 WCJ393265:WCJ393267 WMF393265:WMF393267 WWB393265:WWB393267 T458801:T458803 JP458801:JP458803 TL458801:TL458803 ADH458801:ADH458803 AND458801:AND458803 AWZ458801:AWZ458803 BGV458801:BGV458803 BQR458801:BQR458803 CAN458801:CAN458803 CKJ458801:CKJ458803 CUF458801:CUF458803 DEB458801:DEB458803 DNX458801:DNX458803 DXT458801:DXT458803 EHP458801:EHP458803 ERL458801:ERL458803 FBH458801:FBH458803 FLD458801:FLD458803 FUZ458801:FUZ458803 GEV458801:GEV458803 GOR458801:GOR458803 GYN458801:GYN458803 HIJ458801:HIJ458803 HSF458801:HSF458803 ICB458801:ICB458803 ILX458801:ILX458803 IVT458801:IVT458803 JFP458801:JFP458803 JPL458801:JPL458803 JZH458801:JZH458803 KJD458801:KJD458803 KSZ458801:KSZ458803 LCV458801:LCV458803 LMR458801:LMR458803 LWN458801:LWN458803 MGJ458801:MGJ458803 MQF458801:MQF458803 NAB458801:NAB458803 NJX458801:NJX458803 NTT458801:NTT458803 ODP458801:ODP458803 ONL458801:ONL458803 OXH458801:OXH458803 PHD458801:PHD458803 PQZ458801:PQZ458803 QAV458801:QAV458803 QKR458801:QKR458803 QUN458801:QUN458803 REJ458801:REJ458803 ROF458801:ROF458803 RYB458801:RYB458803 SHX458801:SHX458803 SRT458801:SRT458803 TBP458801:TBP458803 TLL458801:TLL458803 TVH458801:TVH458803 UFD458801:UFD458803 UOZ458801:UOZ458803 UYV458801:UYV458803 VIR458801:VIR458803 VSN458801:VSN458803 WCJ458801:WCJ458803 WMF458801:WMF458803 WWB458801:WWB458803 T524337:T524339 JP524337:JP524339 TL524337:TL524339 ADH524337:ADH524339 AND524337:AND524339 AWZ524337:AWZ524339 BGV524337:BGV524339 BQR524337:BQR524339 CAN524337:CAN524339 CKJ524337:CKJ524339 CUF524337:CUF524339 DEB524337:DEB524339 DNX524337:DNX524339 DXT524337:DXT524339 EHP524337:EHP524339 ERL524337:ERL524339 FBH524337:FBH524339 FLD524337:FLD524339 FUZ524337:FUZ524339 GEV524337:GEV524339 GOR524337:GOR524339 GYN524337:GYN524339 HIJ524337:HIJ524339 HSF524337:HSF524339 ICB524337:ICB524339 ILX524337:ILX524339 IVT524337:IVT524339 JFP524337:JFP524339 JPL524337:JPL524339 JZH524337:JZH524339 KJD524337:KJD524339 KSZ524337:KSZ524339 LCV524337:LCV524339 LMR524337:LMR524339 LWN524337:LWN524339 MGJ524337:MGJ524339 MQF524337:MQF524339 NAB524337:NAB524339 NJX524337:NJX524339 NTT524337:NTT524339 ODP524337:ODP524339 ONL524337:ONL524339 OXH524337:OXH524339 PHD524337:PHD524339 PQZ524337:PQZ524339 QAV524337:QAV524339 QKR524337:QKR524339 QUN524337:QUN524339 REJ524337:REJ524339 ROF524337:ROF524339 RYB524337:RYB524339 SHX524337:SHX524339 SRT524337:SRT524339 TBP524337:TBP524339 TLL524337:TLL524339 TVH524337:TVH524339 UFD524337:UFD524339 UOZ524337:UOZ524339 UYV524337:UYV524339 VIR524337:VIR524339 VSN524337:VSN524339 WCJ524337:WCJ524339 WMF524337:WMF524339 WWB524337:WWB524339 T589873:T589875 JP589873:JP589875 TL589873:TL589875 ADH589873:ADH589875 AND589873:AND589875 AWZ589873:AWZ589875 BGV589873:BGV589875 BQR589873:BQR589875 CAN589873:CAN589875 CKJ589873:CKJ589875 CUF589873:CUF589875 DEB589873:DEB589875 DNX589873:DNX589875 DXT589873:DXT589875 EHP589873:EHP589875 ERL589873:ERL589875 FBH589873:FBH589875 FLD589873:FLD589875 FUZ589873:FUZ589875 GEV589873:GEV589875 GOR589873:GOR589875 GYN589873:GYN589875 HIJ589873:HIJ589875 HSF589873:HSF589875 ICB589873:ICB589875 ILX589873:ILX589875 IVT589873:IVT589875 JFP589873:JFP589875 JPL589873:JPL589875 JZH589873:JZH589875 KJD589873:KJD589875 KSZ589873:KSZ589875 LCV589873:LCV589875 LMR589873:LMR589875 LWN589873:LWN589875 MGJ589873:MGJ589875 MQF589873:MQF589875 NAB589873:NAB589875 NJX589873:NJX589875 NTT589873:NTT589875 ODP589873:ODP589875 ONL589873:ONL589875 OXH589873:OXH589875 PHD589873:PHD589875 PQZ589873:PQZ589875 QAV589873:QAV589875 QKR589873:QKR589875 QUN589873:QUN589875 REJ589873:REJ589875 ROF589873:ROF589875 RYB589873:RYB589875 SHX589873:SHX589875 SRT589873:SRT589875 TBP589873:TBP589875 TLL589873:TLL589875 TVH589873:TVH589875 UFD589873:UFD589875 UOZ589873:UOZ589875 UYV589873:UYV589875 VIR589873:VIR589875 VSN589873:VSN589875 WCJ589873:WCJ589875 WMF589873:WMF589875 WWB589873:WWB589875 T655409:T655411 JP655409:JP655411 TL655409:TL655411 ADH655409:ADH655411 AND655409:AND655411 AWZ655409:AWZ655411 BGV655409:BGV655411 BQR655409:BQR655411 CAN655409:CAN655411 CKJ655409:CKJ655411 CUF655409:CUF655411 DEB655409:DEB655411 DNX655409:DNX655411 DXT655409:DXT655411 EHP655409:EHP655411 ERL655409:ERL655411 FBH655409:FBH655411 FLD655409:FLD655411 FUZ655409:FUZ655411 GEV655409:GEV655411 GOR655409:GOR655411 GYN655409:GYN655411 HIJ655409:HIJ655411 HSF655409:HSF655411 ICB655409:ICB655411 ILX655409:ILX655411 IVT655409:IVT655411 JFP655409:JFP655411 JPL655409:JPL655411 JZH655409:JZH655411 KJD655409:KJD655411 KSZ655409:KSZ655411 LCV655409:LCV655411 LMR655409:LMR655411 LWN655409:LWN655411 MGJ655409:MGJ655411 MQF655409:MQF655411 NAB655409:NAB655411 NJX655409:NJX655411 NTT655409:NTT655411 ODP655409:ODP655411 ONL655409:ONL655411 OXH655409:OXH655411 PHD655409:PHD655411 PQZ655409:PQZ655411 QAV655409:QAV655411 QKR655409:QKR655411 QUN655409:QUN655411 REJ655409:REJ655411 ROF655409:ROF655411 RYB655409:RYB655411 SHX655409:SHX655411 SRT655409:SRT655411 TBP655409:TBP655411 TLL655409:TLL655411 TVH655409:TVH655411 UFD655409:UFD655411 UOZ655409:UOZ655411 UYV655409:UYV655411 VIR655409:VIR655411 VSN655409:VSN655411 WCJ655409:WCJ655411 WMF655409:WMF655411 WWB655409:WWB655411 T720945:T720947 JP720945:JP720947 TL720945:TL720947 ADH720945:ADH720947 AND720945:AND720947 AWZ720945:AWZ720947 BGV720945:BGV720947 BQR720945:BQR720947 CAN720945:CAN720947 CKJ720945:CKJ720947 CUF720945:CUF720947 DEB720945:DEB720947 DNX720945:DNX720947 DXT720945:DXT720947 EHP720945:EHP720947 ERL720945:ERL720947 FBH720945:FBH720947 FLD720945:FLD720947 FUZ720945:FUZ720947 GEV720945:GEV720947 GOR720945:GOR720947 GYN720945:GYN720947 HIJ720945:HIJ720947 HSF720945:HSF720947 ICB720945:ICB720947 ILX720945:ILX720947 IVT720945:IVT720947 JFP720945:JFP720947 JPL720945:JPL720947 JZH720945:JZH720947 KJD720945:KJD720947 KSZ720945:KSZ720947 LCV720945:LCV720947 LMR720945:LMR720947 LWN720945:LWN720947 MGJ720945:MGJ720947 MQF720945:MQF720947 NAB720945:NAB720947 NJX720945:NJX720947 NTT720945:NTT720947 ODP720945:ODP720947 ONL720945:ONL720947 OXH720945:OXH720947 PHD720945:PHD720947 PQZ720945:PQZ720947 QAV720945:QAV720947 QKR720945:QKR720947 QUN720945:QUN720947 REJ720945:REJ720947 ROF720945:ROF720947 RYB720945:RYB720947 SHX720945:SHX720947 SRT720945:SRT720947 TBP720945:TBP720947 TLL720945:TLL720947 TVH720945:TVH720947 UFD720945:UFD720947 UOZ720945:UOZ720947 UYV720945:UYV720947 VIR720945:VIR720947 VSN720945:VSN720947 WCJ720945:WCJ720947 WMF720945:WMF720947 WWB720945:WWB720947 T786481:T786483 JP786481:JP786483 TL786481:TL786483 ADH786481:ADH786483 AND786481:AND786483 AWZ786481:AWZ786483 BGV786481:BGV786483 BQR786481:BQR786483 CAN786481:CAN786483 CKJ786481:CKJ786483 CUF786481:CUF786483 DEB786481:DEB786483 DNX786481:DNX786483 DXT786481:DXT786483 EHP786481:EHP786483 ERL786481:ERL786483 FBH786481:FBH786483 FLD786481:FLD786483 FUZ786481:FUZ786483 GEV786481:GEV786483 GOR786481:GOR786483 GYN786481:GYN786483 HIJ786481:HIJ786483 HSF786481:HSF786483 ICB786481:ICB786483 ILX786481:ILX786483 IVT786481:IVT786483 JFP786481:JFP786483 JPL786481:JPL786483 JZH786481:JZH786483 KJD786481:KJD786483 KSZ786481:KSZ786483 LCV786481:LCV786483 LMR786481:LMR786483 LWN786481:LWN786483 MGJ786481:MGJ786483 MQF786481:MQF786483 NAB786481:NAB786483 NJX786481:NJX786483 NTT786481:NTT786483 ODP786481:ODP786483 ONL786481:ONL786483 OXH786481:OXH786483 PHD786481:PHD786483 PQZ786481:PQZ786483 QAV786481:QAV786483 QKR786481:QKR786483 QUN786481:QUN786483 REJ786481:REJ786483 ROF786481:ROF786483 RYB786481:RYB786483 SHX786481:SHX786483 SRT786481:SRT786483 TBP786481:TBP786483 TLL786481:TLL786483 TVH786481:TVH786483 UFD786481:UFD786483 UOZ786481:UOZ786483 UYV786481:UYV786483 VIR786481:VIR786483 VSN786481:VSN786483 WCJ786481:WCJ786483 WMF786481:WMF786483 WWB786481:WWB786483 T852017:T852019 JP852017:JP852019 TL852017:TL852019 ADH852017:ADH852019 AND852017:AND852019 AWZ852017:AWZ852019 BGV852017:BGV852019 BQR852017:BQR852019 CAN852017:CAN852019 CKJ852017:CKJ852019 CUF852017:CUF852019 DEB852017:DEB852019 DNX852017:DNX852019 DXT852017:DXT852019 EHP852017:EHP852019 ERL852017:ERL852019 FBH852017:FBH852019 FLD852017:FLD852019 FUZ852017:FUZ852019 GEV852017:GEV852019 GOR852017:GOR852019 GYN852017:GYN852019 HIJ852017:HIJ852019 HSF852017:HSF852019 ICB852017:ICB852019 ILX852017:ILX852019 IVT852017:IVT852019 JFP852017:JFP852019 JPL852017:JPL852019 JZH852017:JZH852019 KJD852017:KJD852019 KSZ852017:KSZ852019 LCV852017:LCV852019 LMR852017:LMR852019 LWN852017:LWN852019 MGJ852017:MGJ852019 MQF852017:MQF852019 NAB852017:NAB852019 NJX852017:NJX852019 NTT852017:NTT852019 ODP852017:ODP852019 ONL852017:ONL852019 OXH852017:OXH852019 PHD852017:PHD852019 PQZ852017:PQZ852019 QAV852017:QAV852019 QKR852017:QKR852019 QUN852017:QUN852019 REJ852017:REJ852019 ROF852017:ROF852019 RYB852017:RYB852019 SHX852017:SHX852019 SRT852017:SRT852019 TBP852017:TBP852019 TLL852017:TLL852019 TVH852017:TVH852019 UFD852017:UFD852019 UOZ852017:UOZ852019 UYV852017:UYV852019 VIR852017:VIR852019 VSN852017:VSN852019 WCJ852017:WCJ852019 WMF852017:WMF852019 WWB852017:WWB852019 T917553:T917555 JP917553:JP917555 TL917553:TL917555 ADH917553:ADH917555 AND917553:AND917555 AWZ917553:AWZ917555 BGV917553:BGV917555 BQR917553:BQR917555 CAN917553:CAN917555 CKJ917553:CKJ917555 CUF917553:CUF917555 DEB917553:DEB917555 DNX917553:DNX917555 DXT917553:DXT917555 EHP917553:EHP917555 ERL917553:ERL917555 FBH917553:FBH917555 FLD917553:FLD917555 FUZ917553:FUZ917555 GEV917553:GEV917555 GOR917553:GOR917555 GYN917553:GYN917555 HIJ917553:HIJ917555 HSF917553:HSF917555 ICB917553:ICB917555 ILX917553:ILX917555 IVT917553:IVT917555 JFP917553:JFP917555 JPL917553:JPL917555 JZH917553:JZH917555 KJD917553:KJD917555 KSZ917553:KSZ917555 LCV917553:LCV917555 LMR917553:LMR917555 LWN917553:LWN917555 MGJ917553:MGJ917555 MQF917553:MQF917555 NAB917553:NAB917555 NJX917553:NJX917555 NTT917553:NTT917555 ODP917553:ODP917555 ONL917553:ONL917555 OXH917553:OXH917555 PHD917553:PHD917555 PQZ917553:PQZ917555 QAV917553:QAV917555 QKR917553:QKR917555 QUN917553:QUN917555 REJ917553:REJ917555 ROF917553:ROF917555 RYB917553:RYB917555 SHX917553:SHX917555 SRT917553:SRT917555 TBP917553:TBP917555 TLL917553:TLL917555 TVH917553:TVH917555 UFD917553:UFD917555 UOZ917553:UOZ917555 UYV917553:UYV917555 VIR917553:VIR917555 VSN917553:VSN917555 WCJ917553:WCJ917555 WMF917553:WMF917555 WWB917553:WWB917555 T983089:T983091 JP983089:JP983091 TL983089:TL983091 ADH983089:ADH983091 AND983089:AND983091 AWZ983089:AWZ983091 BGV983089:BGV983091 BQR983089:BQR983091 CAN983089:CAN983091 CKJ983089:CKJ983091 CUF983089:CUF983091 DEB983089:DEB983091 DNX983089:DNX983091 DXT983089:DXT983091 EHP983089:EHP983091 ERL983089:ERL983091 FBH983089:FBH983091 FLD983089:FLD983091 FUZ983089:FUZ983091 GEV983089:GEV983091 GOR983089:GOR983091 GYN983089:GYN983091 HIJ983089:HIJ983091 HSF983089:HSF983091 ICB983089:ICB983091 ILX983089:ILX983091 IVT983089:IVT983091 JFP983089:JFP983091 JPL983089:JPL983091 JZH983089:JZH983091 KJD983089:KJD983091 KSZ983089:KSZ983091 LCV983089:LCV983091 LMR983089:LMR983091 LWN983089:LWN983091 MGJ983089:MGJ983091 MQF983089:MQF983091 NAB983089:NAB983091 NJX983089:NJX983091 NTT983089:NTT983091 ODP983089:ODP983091 ONL983089:ONL983091 OXH983089:OXH983091 PHD983089:PHD983091 PQZ983089:PQZ983091 QAV983089:QAV983091 QKR983089:QKR983091 QUN983089:QUN983091 REJ983089:REJ983091 ROF983089:ROF983091 RYB983089:RYB983091 SHX983089:SHX983091 SRT983089:SRT983091 TBP983089:TBP983091 TLL983089:TLL983091 TVH983089:TVH983091 UFD983089:UFD983091 UOZ983089:UOZ983091 UYV983089:UYV983091 VIR983089:VIR983091 VSN983089:VSN983091 WCJ983089:WCJ983091 WMF983089:WMF983091 WWB983089:WWB983091 I48:J48 JE48:JF48 TA48:TB48 ACW48:ACX48 AMS48:AMT48 AWO48:AWP48 BGK48:BGL48 BQG48:BQH48 CAC48:CAD48 CJY48:CJZ48 CTU48:CTV48 DDQ48:DDR48 DNM48:DNN48 DXI48:DXJ48 EHE48:EHF48 ERA48:ERB48 FAW48:FAX48 FKS48:FKT48 FUO48:FUP48 GEK48:GEL48 GOG48:GOH48 GYC48:GYD48 HHY48:HHZ48 HRU48:HRV48 IBQ48:IBR48 ILM48:ILN48 IVI48:IVJ48 JFE48:JFF48 JPA48:JPB48 JYW48:JYX48 KIS48:KIT48 KSO48:KSP48 LCK48:LCL48 LMG48:LMH48 LWC48:LWD48 MFY48:MFZ48 MPU48:MPV48 MZQ48:MZR48 NJM48:NJN48 NTI48:NTJ48 ODE48:ODF48 ONA48:ONB48 OWW48:OWX48 PGS48:PGT48 PQO48:PQP48 QAK48:QAL48 QKG48:QKH48 QUC48:QUD48 RDY48:RDZ48 RNU48:RNV48 RXQ48:RXR48 SHM48:SHN48 SRI48:SRJ48 TBE48:TBF48 TLA48:TLB48 TUW48:TUX48 UES48:UET48 UOO48:UOP48 UYK48:UYL48 VIG48:VIH48 VSC48:VSD48 WBY48:WBZ48 WLU48:WLV48 WVQ48:WVR48 I65584:J65584 JE65584:JF65584 TA65584:TB65584 ACW65584:ACX65584 AMS65584:AMT65584 AWO65584:AWP65584 BGK65584:BGL65584 BQG65584:BQH65584 CAC65584:CAD65584 CJY65584:CJZ65584 CTU65584:CTV65584 DDQ65584:DDR65584 DNM65584:DNN65584 DXI65584:DXJ65584 EHE65584:EHF65584 ERA65584:ERB65584 FAW65584:FAX65584 FKS65584:FKT65584 FUO65584:FUP65584 GEK65584:GEL65584 GOG65584:GOH65584 GYC65584:GYD65584 HHY65584:HHZ65584 HRU65584:HRV65584 IBQ65584:IBR65584 ILM65584:ILN65584 IVI65584:IVJ65584 JFE65584:JFF65584 JPA65584:JPB65584 JYW65584:JYX65584 KIS65584:KIT65584 KSO65584:KSP65584 LCK65584:LCL65584 LMG65584:LMH65584 LWC65584:LWD65584 MFY65584:MFZ65584 MPU65584:MPV65584 MZQ65584:MZR65584 NJM65584:NJN65584 NTI65584:NTJ65584 ODE65584:ODF65584 ONA65584:ONB65584 OWW65584:OWX65584 PGS65584:PGT65584 PQO65584:PQP65584 QAK65584:QAL65584 QKG65584:QKH65584 QUC65584:QUD65584 RDY65584:RDZ65584 RNU65584:RNV65584 RXQ65584:RXR65584 SHM65584:SHN65584 SRI65584:SRJ65584 TBE65584:TBF65584 TLA65584:TLB65584 TUW65584:TUX65584 UES65584:UET65584 UOO65584:UOP65584 UYK65584:UYL65584 VIG65584:VIH65584 VSC65584:VSD65584 WBY65584:WBZ65584 WLU65584:WLV65584 WVQ65584:WVR65584 I131120:J131120 JE131120:JF131120 TA131120:TB131120 ACW131120:ACX131120 AMS131120:AMT131120 AWO131120:AWP131120 BGK131120:BGL131120 BQG131120:BQH131120 CAC131120:CAD131120 CJY131120:CJZ131120 CTU131120:CTV131120 DDQ131120:DDR131120 DNM131120:DNN131120 DXI131120:DXJ131120 EHE131120:EHF131120 ERA131120:ERB131120 FAW131120:FAX131120 FKS131120:FKT131120 FUO131120:FUP131120 GEK131120:GEL131120 GOG131120:GOH131120 GYC131120:GYD131120 HHY131120:HHZ131120 HRU131120:HRV131120 IBQ131120:IBR131120 ILM131120:ILN131120 IVI131120:IVJ131120 JFE131120:JFF131120 JPA131120:JPB131120 JYW131120:JYX131120 KIS131120:KIT131120 KSO131120:KSP131120 LCK131120:LCL131120 LMG131120:LMH131120 LWC131120:LWD131120 MFY131120:MFZ131120 MPU131120:MPV131120 MZQ131120:MZR131120 NJM131120:NJN131120 NTI131120:NTJ131120 ODE131120:ODF131120 ONA131120:ONB131120 OWW131120:OWX131120 PGS131120:PGT131120 PQO131120:PQP131120 QAK131120:QAL131120 QKG131120:QKH131120 QUC131120:QUD131120 RDY131120:RDZ131120 RNU131120:RNV131120 RXQ131120:RXR131120 SHM131120:SHN131120 SRI131120:SRJ131120 TBE131120:TBF131120 TLA131120:TLB131120 TUW131120:TUX131120 UES131120:UET131120 UOO131120:UOP131120 UYK131120:UYL131120 VIG131120:VIH131120 VSC131120:VSD131120 WBY131120:WBZ131120 WLU131120:WLV131120 WVQ131120:WVR131120 I196656:J196656 JE196656:JF196656 TA196656:TB196656 ACW196656:ACX196656 AMS196656:AMT196656 AWO196656:AWP196656 BGK196656:BGL196656 BQG196656:BQH196656 CAC196656:CAD196656 CJY196656:CJZ196656 CTU196656:CTV196656 DDQ196656:DDR196656 DNM196656:DNN196656 DXI196656:DXJ196656 EHE196656:EHF196656 ERA196656:ERB196656 FAW196656:FAX196656 FKS196656:FKT196656 FUO196656:FUP196656 GEK196656:GEL196656 GOG196656:GOH196656 GYC196656:GYD196656 HHY196656:HHZ196656 HRU196656:HRV196656 IBQ196656:IBR196656 ILM196656:ILN196656 IVI196656:IVJ196656 JFE196656:JFF196656 JPA196656:JPB196656 JYW196656:JYX196656 KIS196656:KIT196656 KSO196656:KSP196656 LCK196656:LCL196656 LMG196656:LMH196656 LWC196656:LWD196656 MFY196656:MFZ196656 MPU196656:MPV196656 MZQ196656:MZR196656 NJM196656:NJN196656 NTI196656:NTJ196656 ODE196656:ODF196656 ONA196656:ONB196656 OWW196656:OWX196656 PGS196656:PGT196656 PQO196656:PQP196656 QAK196656:QAL196656 QKG196656:QKH196656 QUC196656:QUD196656 RDY196656:RDZ196656 RNU196656:RNV196656 RXQ196656:RXR196656 SHM196656:SHN196656 SRI196656:SRJ196656 TBE196656:TBF196656 TLA196656:TLB196656 TUW196656:TUX196656 UES196656:UET196656 UOO196656:UOP196656 UYK196656:UYL196656 VIG196656:VIH196656 VSC196656:VSD196656 WBY196656:WBZ196656 WLU196656:WLV196656 WVQ196656:WVR196656 I262192:J262192 JE262192:JF262192 TA262192:TB262192 ACW262192:ACX262192 AMS262192:AMT262192 AWO262192:AWP262192 BGK262192:BGL262192 BQG262192:BQH262192 CAC262192:CAD262192 CJY262192:CJZ262192 CTU262192:CTV262192 DDQ262192:DDR262192 DNM262192:DNN262192 DXI262192:DXJ262192 EHE262192:EHF262192 ERA262192:ERB262192 FAW262192:FAX262192 FKS262192:FKT262192 FUO262192:FUP262192 GEK262192:GEL262192 GOG262192:GOH262192 GYC262192:GYD262192 HHY262192:HHZ262192 HRU262192:HRV262192 IBQ262192:IBR262192 ILM262192:ILN262192 IVI262192:IVJ262192 JFE262192:JFF262192 JPA262192:JPB262192 JYW262192:JYX262192 KIS262192:KIT262192 KSO262192:KSP262192 LCK262192:LCL262192 LMG262192:LMH262192 LWC262192:LWD262192 MFY262192:MFZ262192 MPU262192:MPV262192 MZQ262192:MZR262192 NJM262192:NJN262192 NTI262192:NTJ262192 ODE262192:ODF262192 ONA262192:ONB262192 OWW262192:OWX262192 PGS262192:PGT262192 PQO262192:PQP262192 QAK262192:QAL262192 QKG262192:QKH262192 QUC262192:QUD262192 RDY262192:RDZ262192 RNU262192:RNV262192 RXQ262192:RXR262192 SHM262192:SHN262192 SRI262192:SRJ262192 TBE262192:TBF262192 TLA262192:TLB262192 TUW262192:TUX262192 UES262192:UET262192 UOO262192:UOP262192 UYK262192:UYL262192 VIG262192:VIH262192 VSC262192:VSD262192 WBY262192:WBZ262192 WLU262192:WLV262192 WVQ262192:WVR262192 I327728:J327728 JE327728:JF327728 TA327728:TB327728 ACW327728:ACX327728 AMS327728:AMT327728 AWO327728:AWP327728 BGK327728:BGL327728 BQG327728:BQH327728 CAC327728:CAD327728 CJY327728:CJZ327728 CTU327728:CTV327728 DDQ327728:DDR327728 DNM327728:DNN327728 DXI327728:DXJ327728 EHE327728:EHF327728 ERA327728:ERB327728 FAW327728:FAX327728 FKS327728:FKT327728 FUO327728:FUP327728 GEK327728:GEL327728 GOG327728:GOH327728 GYC327728:GYD327728 HHY327728:HHZ327728 HRU327728:HRV327728 IBQ327728:IBR327728 ILM327728:ILN327728 IVI327728:IVJ327728 JFE327728:JFF327728 JPA327728:JPB327728 JYW327728:JYX327728 KIS327728:KIT327728 KSO327728:KSP327728 LCK327728:LCL327728 LMG327728:LMH327728 LWC327728:LWD327728 MFY327728:MFZ327728 MPU327728:MPV327728 MZQ327728:MZR327728 NJM327728:NJN327728 NTI327728:NTJ327728 ODE327728:ODF327728 ONA327728:ONB327728 OWW327728:OWX327728 PGS327728:PGT327728 PQO327728:PQP327728 QAK327728:QAL327728 QKG327728:QKH327728 QUC327728:QUD327728 RDY327728:RDZ327728 RNU327728:RNV327728 RXQ327728:RXR327728 SHM327728:SHN327728 SRI327728:SRJ327728 TBE327728:TBF327728 TLA327728:TLB327728 TUW327728:TUX327728 UES327728:UET327728 UOO327728:UOP327728 UYK327728:UYL327728 VIG327728:VIH327728 VSC327728:VSD327728 WBY327728:WBZ327728 WLU327728:WLV327728 WVQ327728:WVR327728 I393264:J393264 JE393264:JF393264 TA393264:TB393264 ACW393264:ACX393264 AMS393264:AMT393264 AWO393264:AWP393264 BGK393264:BGL393264 BQG393264:BQH393264 CAC393264:CAD393264 CJY393264:CJZ393264 CTU393264:CTV393264 DDQ393264:DDR393264 DNM393264:DNN393264 DXI393264:DXJ393264 EHE393264:EHF393264 ERA393264:ERB393264 FAW393264:FAX393264 FKS393264:FKT393264 FUO393264:FUP393264 GEK393264:GEL393264 GOG393264:GOH393264 GYC393264:GYD393264 HHY393264:HHZ393264 HRU393264:HRV393264 IBQ393264:IBR393264 ILM393264:ILN393264 IVI393264:IVJ393264 JFE393264:JFF393264 JPA393264:JPB393264 JYW393264:JYX393264 KIS393264:KIT393264 KSO393264:KSP393264 LCK393264:LCL393264 LMG393264:LMH393264 LWC393264:LWD393264 MFY393264:MFZ393264 MPU393264:MPV393264 MZQ393264:MZR393264 NJM393264:NJN393264 NTI393264:NTJ393264 ODE393264:ODF393264 ONA393264:ONB393264 OWW393264:OWX393264 PGS393264:PGT393264 PQO393264:PQP393264 QAK393264:QAL393264 QKG393264:QKH393264 QUC393264:QUD393264 RDY393264:RDZ393264 RNU393264:RNV393264 RXQ393264:RXR393264 SHM393264:SHN393264 SRI393264:SRJ393264 TBE393264:TBF393264 TLA393264:TLB393264 TUW393264:TUX393264 UES393264:UET393264 UOO393264:UOP393264 UYK393264:UYL393264 VIG393264:VIH393264 VSC393264:VSD393264 WBY393264:WBZ393264 WLU393264:WLV393264 WVQ393264:WVR393264 I458800:J458800 JE458800:JF458800 TA458800:TB458800 ACW458800:ACX458800 AMS458800:AMT458800 AWO458800:AWP458800 BGK458800:BGL458800 BQG458800:BQH458800 CAC458800:CAD458800 CJY458800:CJZ458800 CTU458800:CTV458800 DDQ458800:DDR458800 DNM458800:DNN458800 DXI458800:DXJ458800 EHE458800:EHF458800 ERA458800:ERB458800 FAW458800:FAX458800 FKS458800:FKT458800 FUO458800:FUP458800 GEK458800:GEL458800 GOG458800:GOH458800 GYC458800:GYD458800 HHY458800:HHZ458800 HRU458800:HRV458800 IBQ458800:IBR458800 ILM458800:ILN458800 IVI458800:IVJ458800 JFE458800:JFF458800 JPA458800:JPB458800 JYW458800:JYX458800 KIS458800:KIT458800 KSO458800:KSP458800 LCK458800:LCL458800 LMG458800:LMH458800 LWC458800:LWD458800 MFY458800:MFZ458800 MPU458800:MPV458800 MZQ458800:MZR458800 NJM458800:NJN458800 NTI458800:NTJ458800 ODE458800:ODF458800 ONA458800:ONB458800 OWW458800:OWX458800 PGS458800:PGT458800 PQO458800:PQP458800 QAK458800:QAL458800 QKG458800:QKH458800 QUC458800:QUD458800 RDY458800:RDZ458800 RNU458800:RNV458800 RXQ458800:RXR458800 SHM458800:SHN458800 SRI458800:SRJ458800 TBE458800:TBF458800 TLA458800:TLB458800 TUW458800:TUX458800 UES458800:UET458800 UOO458800:UOP458800 UYK458800:UYL458800 VIG458800:VIH458800 VSC458800:VSD458800 WBY458800:WBZ458800 WLU458800:WLV458800 WVQ458800:WVR458800 I524336:J524336 JE524336:JF524336 TA524336:TB524336 ACW524336:ACX524336 AMS524336:AMT524336 AWO524336:AWP524336 BGK524336:BGL524336 BQG524336:BQH524336 CAC524336:CAD524336 CJY524336:CJZ524336 CTU524336:CTV524336 DDQ524336:DDR524336 DNM524336:DNN524336 DXI524336:DXJ524336 EHE524336:EHF524336 ERA524336:ERB524336 FAW524336:FAX524336 FKS524336:FKT524336 FUO524336:FUP524336 GEK524336:GEL524336 GOG524336:GOH524336 GYC524336:GYD524336 HHY524336:HHZ524336 HRU524336:HRV524336 IBQ524336:IBR524336 ILM524336:ILN524336 IVI524336:IVJ524336 JFE524336:JFF524336 JPA524336:JPB524336 JYW524336:JYX524336 KIS524336:KIT524336 KSO524336:KSP524336 LCK524336:LCL524336 LMG524336:LMH524336 LWC524336:LWD524336 MFY524336:MFZ524336 MPU524336:MPV524336 MZQ524336:MZR524336 NJM524336:NJN524336 NTI524336:NTJ524336 ODE524336:ODF524336 ONA524336:ONB524336 OWW524336:OWX524336 PGS524336:PGT524336 PQO524336:PQP524336 QAK524336:QAL524336 QKG524336:QKH524336 QUC524336:QUD524336 RDY524336:RDZ524336 RNU524336:RNV524336 RXQ524336:RXR524336 SHM524336:SHN524336 SRI524336:SRJ524336 TBE524336:TBF524336 TLA524336:TLB524336 TUW524336:TUX524336 UES524336:UET524336 UOO524336:UOP524336 UYK524336:UYL524336 VIG524336:VIH524336 VSC524336:VSD524336 WBY524336:WBZ524336 WLU524336:WLV524336 WVQ524336:WVR524336 I589872:J589872 JE589872:JF589872 TA589872:TB589872 ACW589872:ACX589872 AMS589872:AMT589872 AWO589872:AWP589872 BGK589872:BGL589872 BQG589872:BQH589872 CAC589872:CAD589872 CJY589872:CJZ589872 CTU589872:CTV589872 DDQ589872:DDR589872 DNM589872:DNN589872 DXI589872:DXJ589872 EHE589872:EHF589872 ERA589872:ERB589872 FAW589872:FAX589872 FKS589872:FKT589872 FUO589872:FUP589872 GEK589872:GEL589872 GOG589872:GOH589872 GYC589872:GYD589872 HHY589872:HHZ589872 HRU589872:HRV589872 IBQ589872:IBR589872 ILM589872:ILN589872 IVI589872:IVJ589872 JFE589872:JFF589872 JPA589872:JPB589872 JYW589872:JYX589872 KIS589872:KIT589872 KSO589872:KSP589872 LCK589872:LCL589872 LMG589872:LMH589872 LWC589872:LWD589872 MFY589872:MFZ589872 MPU589872:MPV589872 MZQ589872:MZR589872 NJM589872:NJN589872 NTI589872:NTJ589872 ODE589872:ODF589872 ONA589872:ONB589872 OWW589872:OWX589872 PGS589872:PGT589872 PQO589872:PQP589872 QAK589872:QAL589872 QKG589872:QKH589872 QUC589872:QUD589872 RDY589872:RDZ589872 RNU589872:RNV589872 RXQ589872:RXR589872 SHM589872:SHN589872 SRI589872:SRJ589872 TBE589872:TBF589872 TLA589872:TLB589872 TUW589872:TUX589872 UES589872:UET589872 UOO589872:UOP589872 UYK589872:UYL589872 VIG589872:VIH589872 VSC589872:VSD589872 WBY589872:WBZ589872 WLU589872:WLV589872 WVQ589872:WVR589872 I655408:J655408 JE655408:JF655408 TA655408:TB655408 ACW655408:ACX655408 AMS655408:AMT655408 AWO655408:AWP655408 BGK655408:BGL655408 BQG655408:BQH655408 CAC655408:CAD655408 CJY655408:CJZ655408 CTU655408:CTV655408 DDQ655408:DDR655408 DNM655408:DNN655408 DXI655408:DXJ655408 EHE655408:EHF655408 ERA655408:ERB655408 FAW655408:FAX655408 FKS655408:FKT655408 FUO655408:FUP655408 GEK655408:GEL655408 GOG655408:GOH655408 GYC655408:GYD655408 HHY655408:HHZ655408 HRU655408:HRV655408 IBQ655408:IBR655408 ILM655408:ILN655408 IVI655408:IVJ655408 JFE655408:JFF655408 JPA655408:JPB655408 JYW655408:JYX655408 KIS655408:KIT655408 KSO655408:KSP655408 LCK655408:LCL655408 LMG655408:LMH655408 LWC655408:LWD655408 MFY655408:MFZ655408 MPU655408:MPV655408 MZQ655408:MZR655408 NJM655408:NJN655408 NTI655408:NTJ655408 ODE655408:ODF655408 ONA655408:ONB655408 OWW655408:OWX655408 PGS655408:PGT655408 PQO655408:PQP655408 QAK655408:QAL655408 QKG655408:QKH655408 QUC655408:QUD655408 RDY655408:RDZ655408 RNU655408:RNV655408 RXQ655408:RXR655408 SHM655408:SHN655408 SRI655408:SRJ655408 TBE655408:TBF655408 TLA655408:TLB655408 TUW655408:TUX655408 UES655408:UET655408 UOO655408:UOP655408 UYK655408:UYL655408 VIG655408:VIH655408 VSC655408:VSD655408 WBY655408:WBZ655408 WLU655408:WLV655408 WVQ655408:WVR655408 I720944:J720944 JE720944:JF720944 TA720944:TB720944 ACW720944:ACX720944 AMS720944:AMT720944 AWO720944:AWP720944 BGK720944:BGL720944 BQG720944:BQH720944 CAC720944:CAD720944 CJY720944:CJZ720944 CTU720944:CTV720944 DDQ720944:DDR720944 DNM720944:DNN720944 DXI720944:DXJ720944 EHE720944:EHF720944 ERA720944:ERB720944 FAW720944:FAX720944 FKS720944:FKT720944 FUO720944:FUP720944 GEK720944:GEL720944 GOG720944:GOH720944 GYC720944:GYD720944 HHY720944:HHZ720944 HRU720944:HRV720944 IBQ720944:IBR720944 ILM720944:ILN720944 IVI720944:IVJ720944 JFE720944:JFF720944 JPA720944:JPB720944 JYW720944:JYX720944 KIS720944:KIT720944 KSO720944:KSP720944 LCK720944:LCL720944 LMG720944:LMH720944 LWC720944:LWD720944 MFY720944:MFZ720944 MPU720944:MPV720944 MZQ720944:MZR720944 NJM720944:NJN720944 NTI720944:NTJ720944 ODE720944:ODF720944 ONA720944:ONB720944 OWW720944:OWX720944 PGS720944:PGT720944 PQO720944:PQP720944 QAK720944:QAL720944 QKG720944:QKH720944 QUC720944:QUD720944 RDY720944:RDZ720944 RNU720944:RNV720944 RXQ720944:RXR720944 SHM720944:SHN720944 SRI720944:SRJ720944 TBE720944:TBF720944 TLA720944:TLB720944 TUW720944:TUX720944 UES720944:UET720944 UOO720944:UOP720944 UYK720944:UYL720944 VIG720944:VIH720944 VSC720944:VSD720944 WBY720944:WBZ720944 WLU720944:WLV720944 WVQ720944:WVR720944 I786480:J786480 JE786480:JF786480 TA786480:TB786480 ACW786480:ACX786480 AMS786480:AMT786480 AWO786480:AWP786480 BGK786480:BGL786480 BQG786480:BQH786480 CAC786480:CAD786480 CJY786480:CJZ786480 CTU786480:CTV786480 DDQ786480:DDR786480 DNM786480:DNN786480 DXI786480:DXJ786480 EHE786480:EHF786480 ERA786480:ERB786480 FAW786480:FAX786480 FKS786480:FKT786480 FUO786480:FUP786480 GEK786480:GEL786480 GOG786480:GOH786480 GYC786480:GYD786480 HHY786480:HHZ786480 HRU786480:HRV786480 IBQ786480:IBR786480 ILM786480:ILN786480 IVI786480:IVJ786480 JFE786480:JFF786480 JPA786480:JPB786480 JYW786480:JYX786480 KIS786480:KIT786480 KSO786480:KSP786480 LCK786480:LCL786480 LMG786480:LMH786480 LWC786480:LWD786480 MFY786480:MFZ786480 MPU786480:MPV786480 MZQ786480:MZR786480 NJM786480:NJN786480 NTI786480:NTJ786480 ODE786480:ODF786480 ONA786480:ONB786480 OWW786480:OWX786480 PGS786480:PGT786480 PQO786480:PQP786480 QAK786480:QAL786480 QKG786480:QKH786480 QUC786480:QUD786480 RDY786480:RDZ786480 RNU786480:RNV786480 RXQ786480:RXR786480 SHM786480:SHN786480 SRI786480:SRJ786480 TBE786480:TBF786480 TLA786480:TLB786480 TUW786480:TUX786480 UES786480:UET786480 UOO786480:UOP786480 UYK786480:UYL786480 VIG786480:VIH786480 VSC786480:VSD786480 WBY786480:WBZ786480 WLU786480:WLV786480 WVQ786480:WVR786480 I852016:J852016 JE852016:JF852016 TA852016:TB852016 ACW852016:ACX852016 AMS852016:AMT852016 AWO852016:AWP852016 BGK852016:BGL852016 BQG852016:BQH852016 CAC852016:CAD852016 CJY852016:CJZ852016 CTU852016:CTV852016 DDQ852016:DDR852016 DNM852016:DNN852016 DXI852016:DXJ852016 EHE852016:EHF852016 ERA852016:ERB852016 FAW852016:FAX852016 FKS852016:FKT852016 FUO852016:FUP852016 GEK852016:GEL852016 GOG852016:GOH852016 GYC852016:GYD852016 HHY852016:HHZ852016 HRU852016:HRV852016 IBQ852016:IBR852016 ILM852016:ILN852016 IVI852016:IVJ852016 JFE852016:JFF852016 JPA852016:JPB852016 JYW852016:JYX852016 KIS852016:KIT852016 KSO852016:KSP852016 LCK852016:LCL852016 LMG852016:LMH852016 LWC852016:LWD852016 MFY852016:MFZ852016 MPU852016:MPV852016 MZQ852016:MZR852016 NJM852016:NJN852016 NTI852016:NTJ852016 ODE852016:ODF852016 ONA852016:ONB852016 OWW852016:OWX852016 PGS852016:PGT852016 PQO852016:PQP852016 QAK852016:QAL852016 QKG852016:QKH852016 QUC852016:QUD852016 RDY852016:RDZ852016 RNU852016:RNV852016 RXQ852016:RXR852016 SHM852016:SHN852016 SRI852016:SRJ852016 TBE852016:TBF852016 TLA852016:TLB852016 TUW852016:TUX852016 UES852016:UET852016 UOO852016:UOP852016 UYK852016:UYL852016 VIG852016:VIH852016 VSC852016:VSD852016 WBY852016:WBZ852016 WLU852016:WLV852016 WVQ852016:WVR852016 I917552:J917552 JE917552:JF917552 TA917552:TB917552 ACW917552:ACX917552 AMS917552:AMT917552 AWO917552:AWP917552 BGK917552:BGL917552 BQG917552:BQH917552 CAC917552:CAD917552 CJY917552:CJZ917552 CTU917552:CTV917552 DDQ917552:DDR917552 DNM917552:DNN917552 DXI917552:DXJ917552 EHE917552:EHF917552 ERA917552:ERB917552 FAW917552:FAX917552 FKS917552:FKT917552 FUO917552:FUP917552 GEK917552:GEL917552 GOG917552:GOH917552 GYC917552:GYD917552 HHY917552:HHZ917552 HRU917552:HRV917552 IBQ917552:IBR917552 ILM917552:ILN917552 IVI917552:IVJ917552 JFE917552:JFF917552 JPA917552:JPB917552 JYW917552:JYX917552 KIS917552:KIT917552 KSO917552:KSP917552 LCK917552:LCL917552 LMG917552:LMH917552 LWC917552:LWD917552 MFY917552:MFZ917552 MPU917552:MPV917552 MZQ917552:MZR917552 NJM917552:NJN917552 NTI917552:NTJ917552 ODE917552:ODF917552 ONA917552:ONB917552 OWW917552:OWX917552 PGS917552:PGT917552 PQO917552:PQP917552 QAK917552:QAL917552 QKG917552:QKH917552 QUC917552:QUD917552 RDY917552:RDZ917552 RNU917552:RNV917552 RXQ917552:RXR917552 SHM917552:SHN917552 SRI917552:SRJ917552 TBE917552:TBF917552 TLA917552:TLB917552 TUW917552:TUX917552 UES917552:UET917552 UOO917552:UOP917552 UYK917552:UYL917552 VIG917552:VIH917552 VSC917552:VSD917552 WBY917552:WBZ917552 WLU917552:WLV917552 WVQ917552:WVR917552 I983088:J983088 JE983088:JF983088 TA983088:TB983088 ACW983088:ACX983088 AMS983088:AMT983088 AWO983088:AWP983088 BGK983088:BGL983088 BQG983088:BQH983088 CAC983088:CAD983088 CJY983088:CJZ983088 CTU983088:CTV983088 DDQ983088:DDR983088 DNM983088:DNN983088 DXI983088:DXJ983088 EHE983088:EHF983088 ERA983088:ERB983088 FAW983088:FAX983088 FKS983088:FKT983088 FUO983088:FUP983088 GEK983088:GEL983088 GOG983088:GOH983088 GYC983088:GYD983088 HHY983088:HHZ983088 HRU983088:HRV983088 IBQ983088:IBR983088 ILM983088:ILN983088 IVI983088:IVJ983088 JFE983088:JFF983088 JPA983088:JPB983088 JYW983088:JYX983088 KIS983088:KIT983088 KSO983088:KSP983088 LCK983088:LCL983088 LMG983088:LMH983088 LWC983088:LWD983088 MFY983088:MFZ983088 MPU983088:MPV983088 MZQ983088:MZR983088 NJM983088:NJN983088 NTI983088:NTJ983088 ODE983088:ODF983088 ONA983088:ONB983088 OWW983088:OWX983088 PGS983088:PGT983088 PQO983088:PQP983088 QAK983088:QAL983088 QKG983088:QKH983088 QUC983088:QUD983088 RDY983088:RDZ983088 RNU983088:RNV983088 RXQ983088:RXR983088 SHM983088:SHN983088 SRI983088:SRJ983088 TBE983088:TBF983088 TLA983088:TLB983088 TUW983088:TUX983088 UES983088:UET983088 UOO983088:UOP983088 UYK983088:UYL983088 VIG983088:VIH983088 VSC983088:VSD983088 WBY983088:WBZ983088 WLU983088:WLV983088 WVQ983088:WVR983088 F48 JB48 SX48 ACT48 AMP48 AWL48 BGH48 BQD48 BZZ48 CJV48 CTR48 DDN48 DNJ48 DXF48 EHB48 EQX48 FAT48 FKP48 FUL48 GEH48 GOD48 GXZ48 HHV48 HRR48 IBN48 ILJ48 IVF48 JFB48 JOX48 JYT48 KIP48 KSL48 LCH48 LMD48 LVZ48 MFV48 MPR48 MZN48 NJJ48 NTF48 ODB48 OMX48 OWT48 PGP48 PQL48 QAH48 QKD48 QTZ48 RDV48 RNR48 RXN48 SHJ48 SRF48 TBB48 TKX48 TUT48 UEP48 UOL48 UYH48 VID48 VRZ48 WBV48 WLR48 WVN48 F65584 JB65584 SX65584 ACT65584 AMP65584 AWL65584 BGH65584 BQD65584 BZZ65584 CJV65584 CTR65584 DDN65584 DNJ65584 DXF65584 EHB65584 EQX65584 FAT65584 FKP65584 FUL65584 GEH65584 GOD65584 GXZ65584 HHV65584 HRR65584 IBN65584 ILJ65584 IVF65584 JFB65584 JOX65584 JYT65584 KIP65584 KSL65584 LCH65584 LMD65584 LVZ65584 MFV65584 MPR65584 MZN65584 NJJ65584 NTF65584 ODB65584 OMX65584 OWT65584 PGP65584 PQL65584 QAH65584 QKD65584 QTZ65584 RDV65584 RNR65584 RXN65584 SHJ65584 SRF65584 TBB65584 TKX65584 TUT65584 UEP65584 UOL65584 UYH65584 VID65584 VRZ65584 WBV65584 WLR65584 WVN65584 F131120 JB131120 SX131120 ACT131120 AMP131120 AWL131120 BGH131120 BQD131120 BZZ131120 CJV131120 CTR131120 DDN131120 DNJ131120 DXF131120 EHB131120 EQX131120 FAT131120 FKP131120 FUL131120 GEH131120 GOD131120 GXZ131120 HHV131120 HRR131120 IBN131120 ILJ131120 IVF131120 JFB131120 JOX131120 JYT131120 KIP131120 KSL131120 LCH131120 LMD131120 LVZ131120 MFV131120 MPR131120 MZN131120 NJJ131120 NTF131120 ODB131120 OMX131120 OWT131120 PGP131120 PQL131120 QAH131120 QKD131120 QTZ131120 RDV131120 RNR131120 RXN131120 SHJ131120 SRF131120 TBB131120 TKX131120 TUT131120 UEP131120 UOL131120 UYH131120 VID131120 VRZ131120 WBV131120 WLR131120 WVN131120 F196656 JB196656 SX196656 ACT196656 AMP196656 AWL196656 BGH196656 BQD196656 BZZ196656 CJV196656 CTR196656 DDN196656 DNJ196656 DXF196656 EHB196656 EQX196656 FAT196656 FKP196656 FUL196656 GEH196656 GOD196656 GXZ196656 HHV196656 HRR196656 IBN196656 ILJ196656 IVF196656 JFB196656 JOX196656 JYT196656 KIP196656 KSL196656 LCH196656 LMD196656 LVZ196656 MFV196656 MPR196656 MZN196656 NJJ196656 NTF196656 ODB196656 OMX196656 OWT196656 PGP196656 PQL196656 QAH196656 QKD196656 QTZ196656 RDV196656 RNR196656 RXN196656 SHJ196656 SRF196656 TBB196656 TKX196656 TUT196656 UEP196656 UOL196656 UYH196656 VID196656 VRZ196656 WBV196656 WLR196656 WVN196656 F262192 JB262192 SX262192 ACT262192 AMP262192 AWL262192 BGH262192 BQD262192 BZZ262192 CJV262192 CTR262192 DDN262192 DNJ262192 DXF262192 EHB262192 EQX262192 FAT262192 FKP262192 FUL262192 GEH262192 GOD262192 GXZ262192 HHV262192 HRR262192 IBN262192 ILJ262192 IVF262192 JFB262192 JOX262192 JYT262192 KIP262192 KSL262192 LCH262192 LMD262192 LVZ262192 MFV262192 MPR262192 MZN262192 NJJ262192 NTF262192 ODB262192 OMX262192 OWT262192 PGP262192 PQL262192 QAH262192 QKD262192 QTZ262192 RDV262192 RNR262192 RXN262192 SHJ262192 SRF262192 TBB262192 TKX262192 TUT262192 UEP262192 UOL262192 UYH262192 VID262192 VRZ262192 WBV262192 WLR262192 WVN262192 F327728 JB327728 SX327728 ACT327728 AMP327728 AWL327728 BGH327728 BQD327728 BZZ327728 CJV327728 CTR327728 DDN327728 DNJ327728 DXF327728 EHB327728 EQX327728 FAT327728 FKP327728 FUL327728 GEH327728 GOD327728 GXZ327728 HHV327728 HRR327728 IBN327728 ILJ327728 IVF327728 JFB327728 JOX327728 JYT327728 KIP327728 KSL327728 LCH327728 LMD327728 LVZ327728 MFV327728 MPR327728 MZN327728 NJJ327728 NTF327728 ODB327728 OMX327728 OWT327728 PGP327728 PQL327728 QAH327728 QKD327728 QTZ327728 RDV327728 RNR327728 RXN327728 SHJ327728 SRF327728 TBB327728 TKX327728 TUT327728 UEP327728 UOL327728 UYH327728 VID327728 VRZ327728 WBV327728 WLR327728 WVN327728 F393264 JB393264 SX393264 ACT393264 AMP393264 AWL393264 BGH393264 BQD393264 BZZ393264 CJV393264 CTR393264 DDN393264 DNJ393264 DXF393264 EHB393264 EQX393264 FAT393264 FKP393264 FUL393264 GEH393264 GOD393264 GXZ393264 HHV393264 HRR393264 IBN393264 ILJ393264 IVF393264 JFB393264 JOX393264 JYT393264 KIP393264 KSL393264 LCH393264 LMD393264 LVZ393264 MFV393264 MPR393264 MZN393264 NJJ393264 NTF393264 ODB393264 OMX393264 OWT393264 PGP393264 PQL393264 QAH393264 QKD393264 QTZ393264 RDV393264 RNR393264 RXN393264 SHJ393264 SRF393264 TBB393264 TKX393264 TUT393264 UEP393264 UOL393264 UYH393264 VID393264 VRZ393264 WBV393264 WLR393264 WVN393264 F458800 JB458800 SX458800 ACT458800 AMP458800 AWL458800 BGH458800 BQD458800 BZZ458800 CJV458800 CTR458800 DDN458800 DNJ458800 DXF458800 EHB458800 EQX458800 FAT458800 FKP458800 FUL458800 GEH458800 GOD458800 GXZ458800 HHV458800 HRR458800 IBN458800 ILJ458800 IVF458800 JFB458800 JOX458800 JYT458800 KIP458800 KSL458800 LCH458800 LMD458800 LVZ458800 MFV458800 MPR458800 MZN458800 NJJ458800 NTF458800 ODB458800 OMX458800 OWT458800 PGP458800 PQL458800 QAH458800 QKD458800 QTZ458800 RDV458800 RNR458800 RXN458800 SHJ458800 SRF458800 TBB458800 TKX458800 TUT458800 UEP458800 UOL458800 UYH458800 VID458800 VRZ458800 WBV458800 WLR458800 WVN458800 F524336 JB524336 SX524336 ACT524336 AMP524336 AWL524336 BGH524336 BQD524336 BZZ524336 CJV524336 CTR524336 DDN524336 DNJ524336 DXF524336 EHB524336 EQX524336 FAT524336 FKP524336 FUL524336 GEH524336 GOD524336 GXZ524336 HHV524336 HRR524336 IBN524336 ILJ524336 IVF524336 JFB524336 JOX524336 JYT524336 KIP524336 KSL524336 LCH524336 LMD524336 LVZ524336 MFV524336 MPR524336 MZN524336 NJJ524336 NTF524336 ODB524336 OMX524336 OWT524336 PGP524336 PQL524336 QAH524336 QKD524336 QTZ524336 RDV524336 RNR524336 RXN524336 SHJ524336 SRF524336 TBB524336 TKX524336 TUT524336 UEP524336 UOL524336 UYH524336 VID524336 VRZ524336 WBV524336 WLR524336 WVN524336 F589872 JB589872 SX589872 ACT589872 AMP589872 AWL589872 BGH589872 BQD589872 BZZ589872 CJV589872 CTR589872 DDN589872 DNJ589872 DXF589872 EHB589872 EQX589872 FAT589872 FKP589872 FUL589872 GEH589872 GOD589872 GXZ589872 HHV589872 HRR589872 IBN589872 ILJ589872 IVF589872 JFB589872 JOX589872 JYT589872 KIP589872 KSL589872 LCH589872 LMD589872 LVZ589872 MFV589872 MPR589872 MZN589872 NJJ589872 NTF589872 ODB589872 OMX589872 OWT589872 PGP589872 PQL589872 QAH589872 QKD589872 QTZ589872 RDV589872 RNR589872 RXN589872 SHJ589872 SRF589872 TBB589872 TKX589872 TUT589872 UEP589872 UOL589872 UYH589872 VID589872 VRZ589872 WBV589872 WLR589872 WVN589872 F655408 JB655408 SX655408 ACT655408 AMP655408 AWL655408 BGH655408 BQD655408 BZZ655408 CJV655408 CTR655408 DDN655408 DNJ655408 DXF655408 EHB655408 EQX655408 FAT655408 FKP655408 FUL655408 GEH655408 GOD655408 GXZ655408 HHV655408 HRR655408 IBN655408 ILJ655408 IVF655408 JFB655408 JOX655408 JYT655408 KIP655408 KSL655408 LCH655408 LMD655408 LVZ655408 MFV655408 MPR655408 MZN655408 NJJ655408 NTF655408 ODB655408 OMX655408 OWT655408 PGP655408 PQL655408 QAH655408 QKD655408 QTZ655408 RDV655408 RNR655408 RXN655408 SHJ655408 SRF655408 TBB655408 TKX655408 TUT655408 UEP655408 UOL655408 UYH655408 VID655408 VRZ655408 WBV655408 WLR655408 WVN655408 F720944 JB720944 SX720944 ACT720944 AMP720944 AWL720944 BGH720944 BQD720944 BZZ720944 CJV720944 CTR720944 DDN720944 DNJ720944 DXF720944 EHB720944 EQX720944 FAT720944 FKP720944 FUL720944 GEH720944 GOD720944 GXZ720944 HHV720944 HRR720944 IBN720944 ILJ720944 IVF720944 JFB720944 JOX720944 JYT720944 KIP720944 KSL720944 LCH720944 LMD720944 LVZ720944 MFV720944 MPR720944 MZN720944 NJJ720944 NTF720944 ODB720944 OMX720944 OWT720944 PGP720944 PQL720944 QAH720944 QKD720944 QTZ720944 RDV720944 RNR720944 RXN720944 SHJ720944 SRF720944 TBB720944 TKX720944 TUT720944 UEP720944 UOL720944 UYH720944 VID720944 VRZ720944 WBV720944 WLR720944 WVN720944 F786480 JB786480 SX786480 ACT786480 AMP786480 AWL786480 BGH786480 BQD786480 BZZ786480 CJV786480 CTR786480 DDN786480 DNJ786480 DXF786480 EHB786480 EQX786480 FAT786480 FKP786480 FUL786480 GEH786480 GOD786480 GXZ786480 HHV786480 HRR786480 IBN786480 ILJ786480 IVF786480 JFB786480 JOX786480 JYT786480 KIP786480 KSL786480 LCH786480 LMD786480 LVZ786480 MFV786480 MPR786480 MZN786480 NJJ786480 NTF786480 ODB786480 OMX786480 OWT786480 PGP786480 PQL786480 QAH786480 QKD786480 QTZ786480 RDV786480 RNR786480 RXN786480 SHJ786480 SRF786480 TBB786480 TKX786480 TUT786480 UEP786480 UOL786480 UYH786480 VID786480 VRZ786480 WBV786480 WLR786480 WVN786480 F852016 JB852016 SX852016 ACT852016 AMP852016 AWL852016 BGH852016 BQD852016 BZZ852016 CJV852016 CTR852016 DDN852016 DNJ852016 DXF852016 EHB852016 EQX852016 FAT852016 FKP852016 FUL852016 GEH852016 GOD852016 GXZ852016 HHV852016 HRR852016 IBN852016 ILJ852016 IVF852016 JFB852016 JOX852016 JYT852016 KIP852016 KSL852016 LCH852016 LMD852016 LVZ852016 MFV852016 MPR852016 MZN852016 NJJ852016 NTF852016 ODB852016 OMX852016 OWT852016 PGP852016 PQL852016 QAH852016 QKD852016 QTZ852016 RDV852016 RNR852016 RXN852016 SHJ852016 SRF852016 TBB852016 TKX852016 TUT852016 UEP852016 UOL852016 UYH852016 VID852016 VRZ852016 WBV852016 WLR852016 WVN852016 F917552 JB917552 SX917552 ACT917552 AMP917552 AWL917552 BGH917552 BQD917552 BZZ917552 CJV917552 CTR917552 DDN917552 DNJ917552 DXF917552 EHB917552 EQX917552 FAT917552 FKP917552 FUL917552 GEH917552 GOD917552 GXZ917552 HHV917552 HRR917552 IBN917552 ILJ917552 IVF917552 JFB917552 JOX917552 JYT917552 KIP917552 KSL917552 LCH917552 LMD917552 LVZ917552 MFV917552 MPR917552 MZN917552 NJJ917552 NTF917552 ODB917552 OMX917552 OWT917552 PGP917552 PQL917552 QAH917552 QKD917552 QTZ917552 RDV917552 RNR917552 RXN917552 SHJ917552 SRF917552 TBB917552 TKX917552 TUT917552 UEP917552 UOL917552 UYH917552 VID917552 VRZ917552 WBV917552 WLR917552 WVN917552 F983088 JB983088 SX983088 ACT983088 AMP983088 AWL983088 BGH983088 BQD983088 BZZ983088 CJV983088 CTR983088 DDN983088 DNJ983088 DXF983088 EHB983088 EQX983088 FAT983088 FKP983088 FUL983088 GEH983088 GOD983088 GXZ983088 HHV983088 HRR983088 IBN983088 ILJ983088 IVF983088 JFB983088 JOX983088 JYT983088 KIP983088 KSL983088 LCH983088 LMD983088 LVZ983088 MFV983088 MPR983088 MZN983088 NJJ983088 NTF983088 ODB983088 OMX983088 OWT983088 PGP983088 PQL983088 QAH983088 QKD983088 QTZ983088 RDV983088 RNR983088 RXN983088 SHJ983088 SRF983088 TBB983088 TKX983088 TUT983088 UEP983088 UOL983088 UYH983088 VID983088 VRZ983088 WBV983088 WLR983088 WVN983088 B51:B53 IX51:IX53 ST51:ST53 ACP51:ACP53 AML51:AML53 AWH51:AWH53 BGD51:BGD53 BPZ51:BPZ53 BZV51:BZV53 CJR51:CJR53 CTN51:CTN53 DDJ51:DDJ53 DNF51:DNF53 DXB51:DXB53 EGX51:EGX53 EQT51:EQT53 FAP51:FAP53 FKL51:FKL53 FUH51:FUH53 GED51:GED53 GNZ51:GNZ53 GXV51:GXV53 HHR51:HHR53 HRN51:HRN53 IBJ51:IBJ53 ILF51:ILF53 IVB51:IVB53 JEX51:JEX53 JOT51:JOT53 JYP51:JYP53 KIL51:KIL53 KSH51:KSH53 LCD51:LCD53 LLZ51:LLZ53 LVV51:LVV53 MFR51:MFR53 MPN51:MPN53 MZJ51:MZJ53 NJF51:NJF53 NTB51:NTB53 OCX51:OCX53 OMT51:OMT53 OWP51:OWP53 PGL51:PGL53 PQH51:PQH53 QAD51:QAD53 QJZ51:QJZ53 QTV51:QTV53 RDR51:RDR53 RNN51:RNN53 RXJ51:RXJ53 SHF51:SHF53 SRB51:SRB53 TAX51:TAX53 TKT51:TKT53 TUP51:TUP53 UEL51:UEL53 UOH51:UOH53 UYD51:UYD53 VHZ51:VHZ53 VRV51:VRV53 WBR51:WBR53 WLN51:WLN53 WVJ51:WVJ53 B65587:B65589 IX65587:IX65589 ST65587:ST65589 ACP65587:ACP65589 AML65587:AML65589 AWH65587:AWH65589 BGD65587:BGD65589 BPZ65587:BPZ65589 BZV65587:BZV65589 CJR65587:CJR65589 CTN65587:CTN65589 DDJ65587:DDJ65589 DNF65587:DNF65589 DXB65587:DXB65589 EGX65587:EGX65589 EQT65587:EQT65589 FAP65587:FAP65589 FKL65587:FKL65589 FUH65587:FUH65589 GED65587:GED65589 GNZ65587:GNZ65589 GXV65587:GXV65589 HHR65587:HHR65589 HRN65587:HRN65589 IBJ65587:IBJ65589 ILF65587:ILF65589 IVB65587:IVB65589 JEX65587:JEX65589 JOT65587:JOT65589 JYP65587:JYP65589 KIL65587:KIL65589 KSH65587:KSH65589 LCD65587:LCD65589 LLZ65587:LLZ65589 LVV65587:LVV65589 MFR65587:MFR65589 MPN65587:MPN65589 MZJ65587:MZJ65589 NJF65587:NJF65589 NTB65587:NTB65589 OCX65587:OCX65589 OMT65587:OMT65589 OWP65587:OWP65589 PGL65587:PGL65589 PQH65587:PQH65589 QAD65587:QAD65589 QJZ65587:QJZ65589 QTV65587:QTV65589 RDR65587:RDR65589 RNN65587:RNN65589 RXJ65587:RXJ65589 SHF65587:SHF65589 SRB65587:SRB65589 TAX65587:TAX65589 TKT65587:TKT65589 TUP65587:TUP65589 UEL65587:UEL65589 UOH65587:UOH65589 UYD65587:UYD65589 VHZ65587:VHZ65589 VRV65587:VRV65589 WBR65587:WBR65589 WLN65587:WLN65589 WVJ65587:WVJ65589 B131123:B131125 IX131123:IX131125 ST131123:ST131125 ACP131123:ACP131125 AML131123:AML131125 AWH131123:AWH131125 BGD131123:BGD131125 BPZ131123:BPZ131125 BZV131123:BZV131125 CJR131123:CJR131125 CTN131123:CTN131125 DDJ131123:DDJ131125 DNF131123:DNF131125 DXB131123:DXB131125 EGX131123:EGX131125 EQT131123:EQT131125 FAP131123:FAP131125 FKL131123:FKL131125 FUH131123:FUH131125 GED131123:GED131125 GNZ131123:GNZ131125 GXV131123:GXV131125 HHR131123:HHR131125 HRN131123:HRN131125 IBJ131123:IBJ131125 ILF131123:ILF131125 IVB131123:IVB131125 JEX131123:JEX131125 JOT131123:JOT131125 JYP131123:JYP131125 KIL131123:KIL131125 KSH131123:KSH131125 LCD131123:LCD131125 LLZ131123:LLZ131125 LVV131123:LVV131125 MFR131123:MFR131125 MPN131123:MPN131125 MZJ131123:MZJ131125 NJF131123:NJF131125 NTB131123:NTB131125 OCX131123:OCX131125 OMT131123:OMT131125 OWP131123:OWP131125 PGL131123:PGL131125 PQH131123:PQH131125 QAD131123:QAD131125 QJZ131123:QJZ131125 QTV131123:QTV131125 RDR131123:RDR131125 RNN131123:RNN131125 RXJ131123:RXJ131125 SHF131123:SHF131125 SRB131123:SRB131125 TAX131123:TAX131125 TKT131123:TKT131125 TUP131123:TUP131125 UEL131123:UEL131125 UOH131123:UOH131125 UYD131123:UYD131125 VHZ131123:VHZ131125 VRV131123:VRV131125 WBR131123:WBR131125 WLN131123:WLN131125 WVJ131123:WVJ131125 B196659:B196661 IX196659:IX196661 ST196659:ST196661 ACP196659:ACP196661 AML196659:AML196661 AWH196659:AWH196661 BGD196659:BGD196661 BPZ196659:BPZ196661 BZV196659:BZV196661 CJR196659:CJR196661 CTN196659:CTN196661 DDJ196659:DDJ196661 DNF196659:DNF196661 DXB196659:DXB196661 EGX196659:EGX196661 EQT196659:EQT196661 FAP196659:FAP196661 FKL196659:FKL196661 FUH196659:FUH196661 GED196659:GED196661 GNZ196659:GNZ196661 GXV196659:GXV196661 HHR196659:HHR196661 HRN196659:HRN196661 IBJ196659:IBJ196661 ILF196659:ILF196661 IVB196659:IVB196661 JEX196659:JEX196661 JOT196659:JOT196661 JYP196659:JYP196661 KIL196659:KIL196661 KSH196659:KSH196661 LCD196659:LCD196661 LLZ196659:LLZ196661 LVV196659:LVV196661 MFR196659:MFR196661 MPN196659:MPN196661 MZJ196659:MZJ196661 NJF196659:NJF196661 NTB196659:NTB196661 OCX196659:OCX196661 OMT196659:OMT196661 OWP196659:OWP196661 PGL196659:PGL196661 PQH196659:PQH196661 QAD196659:QAD196661 QJZ196659:QJZ196661 QTV196659:QTV196661 RDR196659:RDR196661 RNN196659:RNN196661 RXJ196659:RXJ196661 SHF196659:SHF196661 SRB196659:SRB196661 TAX196659:TAX196661 TKT196659:TKT196661 TUP196659:TUP196661 UEL196659:UEL196661 UOH196659:UOH196661 UYD196659:UYD196661 VHZ196659:VHZ196661 VRV196659:VRV196661 WBR196659:WBR196661 WLN196659:WLN196661 WVJ196659:WVJ196661 B262195:B262197 IX262195:IX262197 ST262195:ST262197 ACP262195:ACP262197 AML262195:AML262197 AWH262195:AWH262197 BGD262195:BGD262197 BPZ262195:BPZ262197 BZV262195:BZV262197 CJR262195:CJR262197 CTN262195:CTN262197 DDJ262195:DDJ262197 DNF262195:DNF262197 DXB262195:DXB262197 EGX262195:EGX262197 EQT262195:EQT262197 FAP262195:FAP262197 FKL262195:FKL262197 FUH262195:FUH262197 GED262195:GED262197 GNZ262195:GNZ262197 GXV262195:GXV262197 HHR262195:HHR262197 HRN262195:HRN262197 IBJ262195:IBJ262197 ILF262195:ILF262197 IVB262195:IVB262197 JEX262195:JEX262197 JOT262195:JOT262197 JYP262195:JYP262197 KIL262195:KIL262197 KSH262195:KSH262197 LCD262195:LCD262197 LLZ262195:LLZ262197 LVV262195:LVV262197 MFR262195:MFR262197 MPN262195:MPN262197 MZJ262195:MZJ262197 NJF262195:NJF262197 NTB262195:NTB262197 OCX262195:OCX262197 OMT262195:OMT262197 OWP262195:OWP262197 PGL262195:PGL262197 PQH262195:PQH262197 QAD262195:QAD262197 QJZ262195:QJZ262197 QTV262195:QTV262197 RDR262195:RDR262197 RNN262195:RNN262197 RXJ262195:RXJ262197 SHF262195:SHF262197 SRB262195:SRB262197 TAX262195:TAX262197 TKT262195:TKT262197 TUP262195:TUP262197 UEL262195:UEL262197 UOH262195:UOH262197 UYD262195:UYD262197 VHZ262195:VHZ262197 VRV262195:VRV262197 WBR262195:WBR262197 WLN262195:WLN262197 WVJ262195:WVJ262197 B327731:B327733 IX327731:IX327733 ST327731:ST327733 ACP327731:ACP327733 AML327731:AML327733 AWH327731:AWH327733 BGD327731:BGD327733 BPZ327731:BPZ327733 BZV327731:BZV327733 CJR327731:CJR327733 CTN327731:CTN327733 DDJ327731:DDJ327733 DNF327731:DNF327733 DXB327731:DXB327733 EGX327731:EGX327733 EQT327731:EQT327733 FAP327731:FAP327733 FKL327731:FKL327733 FUH327731:FUH327733 GED327731:GED327733 GNZ327731:GNZ327733 GXV327731:GXV327733 HHR327731:HHR327733 HRN327731:HRN327733 IBJ327731:IBJ327733 ILF327731:ILF327733 IVB327731:IVB327733 JEX327731:JEX327733 JOT327731:JOT327733 JYP327731:JYP327733 KIL327731:KIL327733 KSH327731:KSH327733 LCD327731:LCD327733 LLZ327731:LLZ327733 LVV327731:LVV327733 MFR327731:MFR327733 MPN327731:MPN327733 MZJ327731:MZJ327733 NJF327731:NJF327733 NTB327731:NTB327733 OCX327731:OCX327733 OMT327731:OMT327733 OWP327731:OWP327733 PGL327731:PGL327733 PQH327731:PQH327733 QAD327731:QAD327733 QJZ327731:QJZ327733 QTV327731:QTV327733 RDR327731:RDR327733 RNN327731:RNN327733 RXJ327731:RXJ327733 SHF327731:SHF327733 SRB327731:SRB327733 TAX327731:TAX327733 TKT327731:TKT327733 TUP327731:TUP327733 UEL327731:UEL327733 UOH327731:UOH327733 UYD327731:UYD327733 VHZ327731:VHZ327733 VRV327731:VRV327733 WBR327731:WBR327733 WLN327731:WLN327733 WVJ327731:WVJ327733 B393267:B393269 IX393267:IX393269 ST393267:ST393269 ACP393267:ACP393269 AML393267:AML393269 AWH393267:AWH393269 BGD393267:BGD393269 BPZ393267:BPZ393269 BZV393267:BZV393269 CJR393267:CJR393269 CTN393267:CTN393269 DDJ393267:DDJ393269 DNF393267:DNF393269 DXB393267:DXB393269 EGX393267:EGX393269 EQT393267:EQT393269 FAP393267:FAP393269 FKL393267:FKL393269 FUH393267:FUH393269 GED393267:GED393269 GNZ393267:GNZ393269 GXV393267:GXV393269 HHR393267:HHR393269 HRN393267:HRN393269 IBJ393267:IBJ393269 ILF393267:ILF393269 IVB393267:IVB393269 JEX393267:JEX393269 JOT393267:JOT393269 JYP393267:JYP393269 KIL393267:KIL393269 KSH393267:KSH393269 LCD393267:LCD393269 LLZ393267:LLZ393269 LVV393267:LVV393269 MFR393267:MFR393269 MPN393267:MPN393269 MZJ393267:MZJ393269 NJF393267:NJF393269 NTB393267:NTB393269 OCX393267:OCX393269 OMT393267:OMT393269 OWP393267:OWP393269 PGL393267:PGL393269 PQH393267:PQH393269 QAD393267:QAD393269 QJZ393267:QJZ393269 QTV393267:QTV393269 RDR393267:RDR393269 RNN393267:RNN393269 RXJ393267:RXJ393269 SHF393267:SHF393269 SRB393267:SRB393269 TAX393267:TAX393269 TKT393267:TKT393269 TUP393267:TUP393269 UEL393267:UEL393269 UOH393267:UOH393269 UYD393267:UYD393269 VHZ393267:VHZ393269 VRV393267:VRV393269 WBR393267:WBR393269 WLN393267:WLN393269 WVJ393267:WVJ393269 B458803:B458805 IX458803:IX458805 ST458803:ST458805 ACP458803:ACP458805 AML458803:AML458805 AWH458803:AWH458805 BGD458803:BGD458805 BPZ458803:BPZ458805 BZV458803:BZV458805 CJR458803:CJR458805 CTN458803:CTN458805 DDJ458803:DDJ458805 DNF458803:DNF458805 DXB458803:DXB458805 EGX458803:EGX458805 EQT458803:EQT458805 FAP458803:FAP458805 FKL458803:FKL458805 FUH458803:FUH458805 GED458803:GED458805 GNZ458803:GNZ458805 GXV458803:GXV458805 HHR458803:HHR458805 HRN458803:HRN458805 IBJ458803:IBJ458805 ILF458803:ILF458805 IVB458803:IVB458805 JEX458803:JEX458805 JOT458803:JOT458805 JYP458803:JYP458805 KIL458803:KIL458805 KSH458803:KSH458805 LCD458803:LCD458805 LLZ458803:LLZ458805 LVV458803:LVV458805 MFR458803:MFR458805 MPN458803:MPN458805 MZJ458803:MZJ458805 NJF458803:NJF458805 NTB458803:NTB458805 OCX458803:OCX458805 OMT458803:OMT458805 OWP458803:OWP458805 PGL458803:PGL458805 PQH458803:PQH458805 QAD458803:QAD458805 QJZ458803:QJZ458805 QTV458803:QTV458805 RDR458803:RDR458805 RNN458803:RNN458805 RXJ458803:RXJ458805 SHF458803:SHF458805 SRB458803:SRB458805 TAX458803:TAX458805 TKT458803:TKT458805 TUP458803:TUP458805 UEL458803:UEL458805 UOH458803:UOH458805 UYD458803:UYD458805 VHZ458803:VHZ458805 VRV458803:VRV458805 WBR458803:WBR458805 WLN458803:WLN458805 WVJ458803:WVJ458805 B524339:B524341 IX524339:IX524341 ST524339:ST524341 ACP524339:ACP524341 AML524339:AML524341 AWH524339:AWH524341 BGD524339:BGD524341 BPZ524339:BPZ524341 BZV524339:BZV524341 CJR524339:CJR524341 CTN524339:CTN524341 DDJ524339:DDJ524341 DNF524339:DNF524341 DXB524339:DXB524341 EGX524339:EGX524341 EQT524339:EQT524341 FAP524339:FAP524341 FKL524339:FKL524341 FUH524339:FUH524341 GED524339:GED524341 GNZ524339:GNZ524341 GXV524339:GXV524341 HHR524339:HHR524341 HRN524339:HRN524341 IBJ524339:IBJ524341 ILF524339:ILF524341 IVB524339:IVB524341 JEX524339:JEX524341 JOT524339:JOT524341 JYP524339:JYP524341 KIL524339:KIL524341 KSH524339:KSH524341 LCD524339:LCD524341 LLZ524339:LLZ524341 LVV524339:LVV524341 MFR524339:MFR524341 MPN524339:MPN524341 MZJ524339:MZJ524341 NJF524339:NJF524341 NTB524339:NTB524341 OCX524339:OCX524341 OMT524339:OMT524341 OWP524339:OWP524341 PGL524339:PGL524341 PQH524339:PQH524341 QAD524339:QAD524341 QJZ524339:QJZ524341 QTV524339:QTV524341 RDR524339:RDR524341 RNN524339:RNN524341 RXJ524339:RXJ524341 SHF524339:SHF524341 SRB524339:SRB524341 TAX524339:TAX524341 TKT524339:TKT524341 TUP524339:TUP524341 UEL524339:UEL524341 UOH524339:UOH524341 UYD524339:UYD524341 VHZ524339:VHZ524341 VRV524339:VRV524341 WBR524339:WBR524341 WLN524339:WLN524341 WVJ524339:WVJ524341 B589875:B589877 IX589875:IX589877 ST589875:ST589877 ACP589875:ACP589877 AML589875:AML589877 AWH589875:AWH589877 BGD589875:BGD589877 BPZ589875:BPZ589877 BZV589875:BZV589877 CJR589875:CJR589877 CTN589875:CTN589877 DDJ589875:DDJ589877 DNF589875:DNF589877 DXB589875:DXB589877 EGX589875:EGX589877 EQT589875:EQT589877 FAP589875:FAP589877 FKL589875:FKL589877 FUH589875:FUH589877 GED589875:GED589877 GNZ589875:GNZ589877 GXV589875:GXV589877 HHR589875:HHR589877 HRN589875:HRN589877 IBJ589875:IBJ589877 ILF589875:ILF589877 IVB589875:IVB589877 JEX589875:JEX589877 JOT589875:JOT589877 JYP589875:JYP589877 KIL589875:KIL589877 KSH589875:KSH589877 LCD589875:LCD589877 LLZ589875:LLZ589877 LVV589875:LVV589877 MFR589875:MFR589877 MPN589875:MPN589877 MZJ589875:MZJ589877 NJF589875:NJF589877 NTB589875:NTB589877 OCX589875:OCX589877 OMT589875:OMT589877 OWP589875:OWP589877 PGL589875:PGL589877 PQH589875:PQH589877 QAD589875:QAD589877 QJZ589875:QJZ589877 QTV589875:QTV589877 RDR589875:RDR589877 RNN589875:RNN589877 RXJ589875:RXJ589877 SHF589875:SHF589877 SRB589875:SRB589877 TAX589875:TAX589877 TKT589875:TKT589877 TUP589875:TUP589877 UEL589875:UEL589877 UOH589875:UOH589877 UYD589875:UYD589877 VHZ589875:VHZ589877 VRV589875:VRV589877 WBR589875:WBR589877 WLN589875:WLN589877 WVJ589875:WVJ589877 B655411:B655413 IX655411:IX655413 ST655411:ST655413 ACP655411:ACP655413 AML655411:AML655413 AWH655411:AWH655413 BGD655411:BGD655413 BPZ655411:BPZ655413 BZV655411:BZV655413 CJR655411:CJR655413 CTN655411:CTN655413 DDJ655411:DDJ655413 DNF655411:DNF655413 DXB655411:DXB655413 EGX655411:EGX655413 EQT655411:EQT655413 FAP655411:FAP655413 FKL655411:FKL655413 FUH655411:FUH655413 GED655411:GED655413 GNZ655411:GNZ655413 GXV655411:GXV655413 HHR655411:HHR655413 HRN655411:HRN655413 IBJ655411:IBJ655413 ILF655411:ILF655413 IVB655411:IVB655413 JEX655411:JEX655413 JOT655411:JOT655413 JYP655411:JYP655413 KIL655411:KIL655413 KSH655411:KSH655413 LCD655411:LCD655413 LLZ655411:LLZ655413 LVV655411:LVV655413 MFR655411:MFR655413 MPN655411:MPN655413 MZJ655411:MZJ655413 NJF655411:NJF655413 NTB655411:NTB655413 OCX655411:OCX655413 OMT655411:OMT655413 OWP655411:OWP655413 PGL655411:PGL655413 PQH655411:PQH655413 QAD655411:QAD655413 QJZ655411:QJZ655413 QTV655411:QTV655413 RDR655411:RDR655413 RNN655411:RNN655413 RXJ655411:RXJ655413 SHF655411:SHF655413 SRB655411:SRB655413 TAX655411:TAX655413 TKT655411:TKT655413 TUP655411:TUP655413 UEL655411:UEL655413 UOH655411:UOH655413 UYD655411:UYD655413 VHZ655411:VHZ655413 VRV655411:VRV655413 WBR655411:WBR655413 WLN655411:WLN655413 WVJ655411:WVJ655413 B720947:B720949 IX720947:IX720949 ST720947:ST720949 ACP720947:ACP720949 AML720947:AML720949 AWH720947:AWH720949 BGD720947:BGD720949 BPZ720947:BPZ720949 BZV720947:BZV720949 CJR720947:CJR720949 CTN720947:CTN720949 DDJ720947:DDJ720949 DNF720947:DNF720949 DXB720947:DXB720949 EGX720947:EGX720949 EQT720947:EQT720949 FAP720947:FAP720949 FKL720947:FKL720949 FUH720947:FUH720949 GED720947:GED720949 GNZ720947:GNZ720949 GXV720947:GXV720949 HHR720947:HHR720949 HRN720947:HRN720949 IBJ720947:IBJ720949 ILF720947:ILF720949 IVB720947:IVB720949 JEX720947:JEX720949 JOT720947:JOT720949 JYP720947:JYP720949 KIL720947:KIL720949 KSH720947:KSH720949 LCD720947:LCD720949 LLZ720947:LLZ720949 LVV720947:LVV720949 MFR720947:MFR720949 MPN720947:MPN720949 MZJ720947:MZJ720949 NJF720947:NJF720949 NTB720947:NTB720949 OCX720947:OCX720949 OMT720947:OMT720949 OWP720947:OWP720949 PGL720947:PGL720949 PQH720947:PQH720949 QAD720947:QAD720949 QJZ720947:QJZ720949 QTV720947:QTV720949 RDR720947:RDR720949 RNN720947:RNN720949 RXJ720947:RXJ720949 SHF720947:SHF720949 SRB720947:SRB720949 TAX720947:TAX720949 TKT720947:TKT720949 TUP720947:TUP720949 UEL720947:UEL720949 UOH720947:UOH720949 UYD720947:UYD720949 VHZ720947:VHZ720949 VRV720947:VRV720949 WBR720947:WBR720949 WLN720947:WLN720949 WVJ720947:WVJ720949 B786483:B786485 IX786483:IX786485 ST786483:ST786485 ACP786483:ACP786485 AML786483:AML786485 AWH786483:AWH786485 BGD786483:BGD786485 BPZ786483:BPZ786485 BZV786483:BZV786485 CJR786483:CJR786485 CTN786483:CTN786485 DDJ786483:DDJ786485 DNF786483:DNF786485 DXB786483:DXB786485 EGX786483:EGX786485 EQT786483:EQT786485 FAP786483:FAP786485 FKL786483:FKL786485 FUH786483:FUH786485 GED786483:GED786485 GNZ786483:GNZ786485 GXV786483:GXV786485 HHR786483:HHR786485 HRN786483:HRN786485 IBJ786483:IBJ786485 ILF786483:ILF786485 IVB786483:IVB786485 JEX786483:JEX786485 JOT786483:JOT786485 JYP786483:JYP786485 KIL786483:KIL786485 KSH786483:KSH786485 LCD786483:LCD786485 LLZ786483:LLZ786485 LVV786483:LVV786485 MFR786483:MFR786485 MPN786483:MPN786485 MZJ786483:MZJ786485 NJF786483:NJF786485 NTB786483:NTB786485 OCX786483:OCX786485 OMT786483:OMT786485 OWP786483:OWP786485 PGL786483:PGL786485 PQH786483:PQH786485 QAD786483:QAD786485 QJZ786483:QJZ786485 QTV786483:QTV786485 RDR786483:RDR786485 RNN786483:RNN786485 RXJ786483:RXJ786485 SHF786483:SHF786485 SRB786483:SRB786485 TAX786483:TAX786485 TKT786483:TKT786485 TUP786483:TUP786485 UEL786483:UEL786485 UOH786483:UOH786485 UYD786483:UYD786485 VHZ786483:VHZ786485 VRV786483:VRV786485 WBR786483:WBR786485 WLN786483:WLN786485 WVJ786483:WVJ786485 B852019:B852021 IX852019:IX852021 ST852019:ST852021 ACP852019:ACP852021 AML852019:AML852021 AWH852019:AWH852021 BGD852019:BGD852021 BPZ852019:BPZ852021 BZV852019:BZV852021 CJR852019:CJR852021 CTN852019:CTN852021 DDJ852019:DDJ852021 DNF852019:DNF852021 DXB852019:DXB852021 EGX852019:EGX852021 EQT852019:EQT852021 FAP852019:FAP852021 FKL852019:FKL852021 FUH852019:FUH852021 GED852019:GED852021 GNZ852019:GNZ852021 GXV852019:GXV852021 HHR852019:HHR852021 HRN852019:HRN852021 IBJ852019:IBJ852021 ILF852019:ILF852021 IVB852019:IVB852021 JEX852019:JEX852021 JOT852019:JOT852021 JYP852019:JYP852021 KIL852019:KIL852021 KSH852019:KSH852021 LCD852019:LCD852021 LLZ852019:LLZ852021 LVV852019:LVV852021 MFR852019:MFR852021 MPN852019:MPN852021 MZJ852019:MZJ852021 NJF852019:NJF852021 NTB852019:NTB852021 OCX852019:OCX852021 OMT852019:OMT852021 OWP852019:OWP852021 PGL852019:PGL852021 PQH852019:PQH852021 QAD852019:QAD852021 QJZ852019:QJZ852021 QTV852019:QTV852021 RDR852019:RDR852021 RNN852019:RNN852021 RXJ852019:RXJ852021 SHF852019:SHF852021 SRB852019:SRB852021 TAX852019:TAX852021 TKT852019:TKT852021 TUP852019:TUP852021 UEL852019:UEL852021 UOH852019:UOH852021 UYD852019:UYD852021 VHZ852019:VHZ852021 VRV852019:VRV852021 WBR852019:WBR852021 WLN852019:WLN852021 WVJ852019:WVJ852021 B917555:B917557 IX917555:IX917557 ST917555:ST917557 ACP917555:ACP917557 AML917555:AML917557 AWH917555:AWH917557 BGD917555:BGD917557 BPZ917555:BPZ917557 BZV917555:BZV917557 CJR917555:CJR917557 CTN917555:CTN917557 DDJ917555:DDJ917557 DNF917555:DNF917557 DXB917555:DXB917557 EGX917555:EGX917557 EQT917555:EQT917557 FAP917555:FAP917557 FKL917555:FKL917557 FUH917555:FUH917557 GED917555:GED917557 GNZ917555:GNZ917557 GXV917555:GXV917557 HHR917555:HHR917557 HRN917555:HRN917557 IBJ917555:IBJ917557 ILF917555:ILF917557 IVB917555:IVB917557 JEX917555:JEX917557 JOT917555:JOT917557 JYP917555:JYP917557 KIL917555:KIL917557 KSH917555:KSH917557 LCD917555:LCD917557 LLZ917555:LLZ917557 LVV917555:LVV917557 MFR917555:MFR917557 MPN917555:MPN917557 MZJ917555:MZJ917557 NJF917555:NJF917557 NTB917555:NTB917557 OCX917555:OCX917557 OMT917555:OMT917557 OWP917555:OWP917557 PGL917555:PGL917557 PQH917555:PQH917557 QAD917555:QAD917557 QJZ917555:QJZ917557 QTV917555:QTV917557 RDR917555:RDR917557 RNN917555:RNN917557 RXJ917555:RXJ917557 SHF917555:SHF917557 SRB917555:SRB917557 TAX917555:TAX917557 TKT917555:TKT917557 TUP917555:TUP917557 UEL917555:UEL917557 UOH917555:UOH917557 UYD917555:UYD917557 VHZ917555:VHZ917557 VRV917555:VRV917557 WBR917555:WBR917557 WLN917555:WLN917557 WVJ917555:WVJ917557 B983091:B983093 IX983091:IX983093 ST983091:ST983093 ACP983091:ACP983093 AML983091:AML983093 AWH983091:AWH983093 BGD983091:BGD983093 BPZ983091:BPZ983093 BZV983091:BZV983093 CJR983091:CJR983093 CTN983091:CTN983093 DDJ983091:DDJ983093 DNF983091:DNF983093 DXB983091:DXB983093 EGX983091:EGX983093 EQT983091:EQT983093 FAP983091:FAP983093 FKL983091:FKL983093 FUH983091:FUH983093 GED983091:GED983093 GNZ983091:GNZ983093 GXV983091:GXV983093 HHR983091:HHR983093 HRN983091:HRN983093 IBJ983091:IBJ983093 ILF983091:ILF983093 IVB983091:IVB983093 JEX983091:JEX983093 JOT983091:JOT983093 JYP983091:JYP983093 KIL983091:KIL983093 KSH983091:KSH983093 LCD983091:LCD983093 LLZ983091:LLZ983093 LVV983091:LVV983093 MFR983091:MFR983093 MPN983091:MPN983093 MZJ983091:MZJ983093 NJF983091:NJF983093 NTB983091:NTB983093 OCX983091:OCX983093 OMT983091:OMT983093 OWP983091:OWP983093 PGL983091:PGL983093 PQH983091:PQH983093 QAD983091:QAD983093 QJZ983091:QJZ983093 QTV983091:QTV983093 RDR983091:RDR983093 RNN983091:RNN983093 RXJ983091:RXJ983093 SHF983091:SHF983093 SRB983091:SRB983093 TAX983091:TAX983093 TKT983091:TKT983093 TUP983091:TUP983093 UEL983091:UEL983093 UOH983091:UOH983093 UYD983091:UYD983093 VHZ983091:VHZ983093 VRV983091:VRV983093 WBR983091:WBR983093 WLN983091:WLN983093 WVJ983091:WVJ983093 C52 IY52 SU52 ACQ52 AMM52 AWI52 BGE52 BQA52 BZW52 CJS52 CTO52 DDK52 DNG52 DXC52 EGY52 EQU52 FAQ52 FKM52 FUI52 GEE52 GOA52 GXW52 HHS52 HRO52 IBK52 ILG52 IVC52 JEY52 JOU52 JYQ52 KIM52 KSI52 LCE52 LMA52 LVW52 MFS52 MPO52 MZK52 NJG52 NTC52 OCY52 OMU52 OWQ52 PGM52 PQI52 QAE52 QKA52 QTW52 RDS52 RNO52 RXK52 SHG52 SRC52 TAY52 TKU52 TUQ52 UEM52 UOI52 UYE52 VIA52 VRW52 WBS52 WLO52 WVK52 C65588 IY65588 SU65588 ACQ65588 AMM65588 AWI65588 BGE65588 BQA65588 BZW65588 CJS65588 CTO65588 DDK65588 DNG65588 DXC65588 EGY65588 EQU65588 FAQ65588 FKM65588 FUI65588 GEE65588 GOA65588 GXW65588 HHS65588 HRO65588 IBK65588 ILG65588 IVC65588 JEY65588 JOU65588 JYQ65588 KIM65588 KSI65588 LCE65588 LMA65588 LVW65588 MFS65588 MPO65588 MZK65588 NJG65588 NTC65588 OCY65588 OMU65588 OWQ65588 PGM65588 PQI65588 QAE65588 QKA65588 QTW65588 RDS65588 RNO65588 RXK65588 SHG65588 SRC65588 TAY65588 TKU65588 TUQ65588 UEM65588 UOI65588 UYE65588 VIA65588 VRW65588 WBS65588 WLO65588 WVK65588 C131124 IY131124 SU131124 ACQ131124 AMM131124 AWI131124 BGE131124 BQA131124 BZW131124 CJS131124 CTO131124 DDK131124 DNG131124 DXC131124 EGY131124 EQU131124 FAQ131124 FKM131124 FUI131124 GEE131124 GOA131124 GXW131124 HHS131124 HRO131124 IBK131124 ILG131124 IVC131124 JEY131124 JOU131124 JYQ131124 KIM131124 KSI131124 LCE131124 LMA131124 LVW131124 MFS131124 MPO131124 MZK131124 NJG131124 NTC131124 OCY131124 OMU131124 OWQ131124 PGM131124 PQI131124 QAE131124 QKA131124 QTW131124 RDS131124 RNO131124 RXK131124 SHG131124 SRC131124 TAY131124 TKU131124 TUQ131124 UEM131124 UOI131124 UYE131124 VIA131124 VRW131124 WBS131124 WLO131124 WVK131124 C196660 IY196660 SU196660 ACQ196660 AMM196660 AWI196660 BGE196660 BQA196660 BZW196660 CJS196660 CTO196660 DDK196660 DNG196660 DXC196660 EGY196660 EQU196660 FAQ196660 FKM196660 FUI196660 GEE196660 GOA196660 GXW196660 HHS196660 HRO196660 IBK196660 ILG196660 IVC196660 JEY196660 JOU196660 JYQ196660 KIM196660 KSI196660 LCE196660 LMA196660 LVW196660 MFS196660 MPO196660 MZK196660 NJG196660 NTC196660 OCY196660 OMU196660 OWQ196660 PGM196660 PQI196660 QAE196660 QKA196660 QTW196660 RDS196660 RNO196660 RXK196660 SHG196660 SRC196660 TAY196660 TKU196660 TUQ196660 UEM196660 UOI196660 UYE196660 VIA196660 VRW196660 WBS196660 WLO196660 WVK196660 C262196 IY262196 SU262196 ACQ262196 AMM262196 AWI262196 BGE262196 BQA262196 BZW262196 CJS262196 CTO262196 DDK262196 DNG262196 DXC262196 EGY262196 EQU262196 FAQ262196 FKM262196 FUI262196 GEE262196 GOA262196 GXW262196 HHS262196 HRO262196 IBK262196 ILG262196 IVC262196 JEY262196 JOU262196 JYQ262196 KIM262196 KSI262196 LCE262196 LMA262196 LVW262196 MFS262196 MPO262196 MZK262196 NJG262196 NTC262196 OCY262196 OMU262196 OWQ262196 PGM262196 PQI262196 QAE262196 QKA262196 QTW262196 RDS262196 RNO262196 RXK262196 SHG262196 SRC262196 TAY262196 TKU262196 TUQ262196 UEM262196 UOI262196 UYE262196 VIA262196 VRW262196 WBS262196 WLO262196 WVK262196 C327732 IY327732 SU327732 ACQ327732 AMM327732 AWI327732 BGE327732 BQA327732 BZW327732 CJS327732 CTO327732 DDK327732 DNG327732 DXC327732 EGY327732 EQU327732 FAQ327732 FKM327732 FUI327732 GEE327732 GOA327732 GXW327732 HHS327732 HRO327732 IBK327732 ILG327732 IVC327732 JEY327732 JOU327732 JYQ327732 KIM327732 KSI327732 LCE327732 LMA327732 LVW327732 MFS327732 MPO327732 MZK327732 NJG327732 NTC327732 OCY327732 OMU327732 OWQ327732 PGM327732 PQI327732 QAE327732 QKA327732 QTW327732 RDS327732 RNO327732 RXK327732 SHG327732 SRC327732 TAY327732 TKU327732 TUQ327732 UEM327732 UOI327732 UYE327732 VIA327732 VRW327732 WBS327732 WLO327732 WVK327732 C393268 IY393268 SU393268 ACQ393268 AMM393268 AWI393268 BGE393268 BQA393268 BZW393268 CJS393268 CTO393268 DDK393268 DNG393268 DXC393268 EGY393268 EQU393268 FAQ393268 FKM393268 FUI393268 GEE393268 GOA393268 GXW393268 HHS393268 HRO393268 IBK393268 ILG393268 IVC393268 JEY393268 JOU393268 JYQ393268 KIM393268 KSI393268 LCE393268 LMA393268 LVW393268 MFS393268 MPO393268 MZK393268 NJG393268 NTC393268 OCY393268 OMU393268 OWQ393268 PGM393268 PQI393268 QAE393268 QKA393268 QTW393268 RDS393268 RNO393268 RXK393268 SHG393268 SRC393268 TAY393268 TKU393268 TUQ393268 UEM393268 UOI393268 UYE393268 VIA393268 VRW393268 WBS393268 WLO393268 WVK393268 C458804 IY458804 SU458804 ACQ458804 AMM458804 AWI458804 BGE458804 BQA458804 BZW458804 CJS458804 CTO458804 DDK458804 DNG458804 DXC458804 EGY458804 EQU458804 FAQ458804 FKM458804 FUI458804 GEE458804 GOA458804 GXW458804 HHS458804 HRO458804 IBK458804 ILG458804 IVC458804 JEY458804 JOU458804 JYQ458804 KIM458804 KSI458804 LCE458804 LMA458804 LVW458804 MFS458804 MPO458804 MZK458804 NJG458804 NTC458804 OCY458804 OMU458804 OWQ458804 PGM458804 PQI458804 QAE458804 QKA458804 QTW458804 RDS458804 RNO458804 RXK458804 SHG458804 SRC458804 TAY458804 TKU458804 TUQ458804 UEM458804 UOI458804 UYE458804 VIA458804 VRW458804 WBS458804 WLO458804 WVK458804 C524340 IY524340 SU524340 ACQ524340 AMM524340 AWI524340 BGE524340 BQA524340 BZW524340 CJS524340 CTO524340 DDK524340 DNG524340 DXC524340 EGY524340 EQU524340 FAQ524340 FKM524340 FUI524340 GEE524340 GOA524340 GXW524340 HHS524340 HRO524340 IBK524340 ILG524340 IVC524340 JEY524340 JOU524340 JYQ524340 KIM524340 KSI524340 LCE524340 LMA524340 LVW524340 MFS524340 MPO524340 MZK524340 NJG524340 NTC524340 OCY524340 OMU524340 OWQ524340 PGM524340 PQI524340 QAE524340 QKA524340 QTW524340 RDS524340 RNO524340 RXK524340 SHG524340 SRC524340 TAY524340 TKU524340 TUQ524340 UEM524340 UOI524340 UYE524340 VIA524340 VRW524340 WBS524340 WLO524340 WVK524340 C589876 IY589876 SU589876 ACQ589876 AMM589876 AWI589876 BGE589876 BQA589876 BZW589876 CJS589876 CTO589876 DDK589876 DNG589876 DXC589876 EGY589876 EQU589876 FAQ589876 FKM589876 FUI589876 GEE589876 GOA589876 GXW589876 HHS589876 HRO589876 IBK589876 ILG589876 IVC589876 JEY589876 JOU589876 JYQ589876 KIM589876 KSI589876 LCE589876 LMA589876 LVW589876 MFS589876 MPO589876 MZK589876 NJG589876 NTC589876 OCY589876 OMU589876 OWQ589876 PGM589876 PQI589876 QAE589876 QKA589876 QTW589876 RDS589876 RNO589876 RXK589876 SHG589876 SRC589876 TAY589876 TKU589876 TUQ589876 UEM589876 UOI589876 UYE589876 VIA589876 VRW589876 WBS589876 WLO589876 WVK589876 C655412 IY655412 SU655412 ACQ655412 AMM655412 AWI655412 BGE655412 BQA655412 BZW655412 CJS655412 CTO655412 DDK655412 DNG655412 DXC655412 EGY655412 EQU655412 FAQ655412 FKM655412 FUI655412 GEE655412 GOA655412 GXW655412 HHS655412 HRO655412 IBK655412 ILG655412 IVC655412 JEY655412 JOU655412 JYQ655412 KIM655412 KSI655412 LCE655412 LMA655412 LVW655412 MFS655412 MPO655412 MZK655412 NJG655412 NTC655412 OCY655412 OMU655412 OWQ655412 PGM655412 PQI655412 QAE655412 QKA655412 QTW655412 RDS655412 RNO655412 RXK655412 SHG655412 SRC655412 TAY655412 TKU655412 TUQ655412 UEM655412 UOI655412 UYE655412 VIA655412 VRW655412 WBS655412 WLO655412 WVK655412 C720948 IY720948 SU720948 ACQ720948 AMM720948 AWI720948 BGE720948 BQA720948 BZW720948 CJS720948 CTO720948 DDK720948 DNG720948 DXC720948 EGY720948 EQU720948 FAQ720948 FKM720948 FUI720948 GEE720948 GOA720948 GXW720948 HHS720948 HRO720948 IBK720948 ILG720948 IVC720948 JEY720948 JOU720948 JYQ720948 KIM720948 KSI720948 LCE720948 LMA720948 LVW720948 MFS720948 MPO720948 MZK720948 NJG720948 NTC720948 OCY720948 OMU720948 OWQ720948 PGM720948 PQI720948 QAE720948 QKA720948 QTW720948 RDS720948 RNO720948 RXK720948 SHG720948 SRC720948 TAY720948 TKU720948 TUQ720948 UEM720948 UOI720948 UYE720948 VIA720948 VRW720948 WBS720948 WLO720948 WVK720948 C786484 IY786484 SU786484 ACQ786484 AMM786484 AWI786484 BGE786484 BQA786484 BZW786484 CJS786484 CTO786484 DDK786484 DNG786484 DXC786484 EGY786484 EQU786484 FAQ786484 FKM786484 FUI786484 GEE786484 GOA786484 GXW786484 HHS786484 HRO786484 IBK786484 ILG786484 IVC786484 JEY786484 JOU786484 JYQ786484 KIM786484 KSI786484 LCE786484 LMA786484 LVW786484 MFS786484 MPO786484 MZK786484 NJG786484 NTC786484 OCY786484 OMU786484 OWQ786484 PGM786484 PQI786484 QAE786484 QKA786484 QTW786484 RDS786484 RNO786484 RXK786484 SHG786484 SRC786484 TAY786484 TKU786484 TUQ786484 UEM786484 UOI786484 UYE786484 VIA786484 VRW786484 WBS786484 WLO786484 WVK786484 C852020 IY852020 SU852020 ACQ852020 AMM852020 AWI852020 BGE852020 BQA852020 BZW852020 CJS852020 CTO852020 DDK852020 DNG852020 DXC852020 EGY852020 EQU852020 FAQ852020 FKM852020 FUI852020 GEE852020 GOA852020 GXW852020 HHS852020 HRO852020 IBK852020 ILG852020 IVC852020 JEY852020 JOU852020 JYQ852020 KIM852020 KSI852020 LCE852020 LMA852020 LVW852020 MFS852020 MPO852020 MZK852020 NJG852020 NTC852020 OCY852020 OMU852020 OWQ852020 PGM852020 PQI852020 QAE852020 QKA852020 QTW852020 RDS852020 RNO852020 RXK852020 SHG852020 SRC852020 TAY852020 TKU852020 TUQ852020 UEM852020 UOI852020 UYE852020 VIA852020 VRW852020 WBS852020 WLO852020 WVK852020 C917556 IY917556 SU917556 ACQ917556 AMM917556 AWI917556 BGE917556 BQA917556 BZW917556 CJS917556 CTO917556 DDK917556 DNG917556 DXC917556 EGY917556 EQU917556 FAQ917556 FKM917556 FUI917556 GEE917556 GOA917556 GXW917556 HHS917556 HRO917556 IBK917556 ILG917556 IVC917556 JEY917556 JOU917556 JYQ917556 KIM917556 KSI917556 LCE917556 LMA917556 LVW917556 MFS917556 MPO917556 MZK917556 NJG917556 NTC917556 OCY917556 OMU917556 OWQ917556 PGM917556 PQI917556 QAE917556 QKA917556 QTW917556 RDS917556 RNO917556 RXK917556 SHG917556 SRC917556 TAY917556 TKU917556 TUQ917556 UEM917556 UOI917556 UYE917556 VIA917556 VRW917556 WBS917556 WLO917556 WVK917556 C983092 IY983092 SU983092 ACQ983092 AMM983092 AWI983092 BGE983092 BQA983092 BZW983092 CJS983092 CTO983092 DDK983092 DNG983092 DXC983092 EGY983092 EQU983092 FAQ983092 FKM983092 FUI983092 GEE983092 GOA983092 GXW983092 HHS983092 HRO983092 IBK983092 ILG983092 IVC983092 JEY983092 JOU983092 JYQ983092 KIM983092 KSI983092 LCE983092 LMA983092 LVW983092 MFS983092 MPO983092 MZK983092 NJG983092 NTC983092 OCY983092 OMU983092 OWQ983092 PGM983092 PQI983092 QAE983092 QKA983092 QTW983092 RDS983092 RNO983092 RXK983092 SHG983092 SRC983092 TAY983092 TKU983092 TUQ983092 UEM983092 UOI983092 UYE983092 VIA983092 VRW983092 WBS983092 WLO983092 WVK983092"/>
  </dataValidations>
  <printOptions horizontalCentered="1" verticalCentered="1"/>
  <pageMargins left="0.11811023622047245" right="0.11811023622047245" top="0.23622047244094491" bottom="0" header="0" footer="0"/>
  <pageSetup paperSize="9" scale="69" fitToWidth="0" fitToHeight="0" orientation="landscape" r:id="rId1"/>
  <rowBreaks count="1" manualBreakCount="1">
    <brk id="54" max="19" man="1"/>
  </row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6</xdr:col>
                    <xdr:colOff>83820</xdr:colOff>
                    <xdr:row>2</xdr:row>
                    <xdr:rowOff>22860</xdr:rowOff>
                  </from>
                  <to>
                    <xdr:col>6</xdr:col>
                    <xdr:colOff>335280</xdr:colOff>
                    <xdr:row>3</xdr:row>
                    <xdr:rowOff>7620</xdr:rowOff>
                  </to>
                </anchor>
              </controlPr>
            </control>
          </mc:Choice>
        </mc:AlternateContent>
        <mc:AlternateContent xmlns:mc="http://schemas.openxmlformats.org/markup-compatibility/2006">
          <mc:Choice Requires="x14">
            <control shapeId="9218" r:id="rId5" name="Check Box 2">
              <controlPr defaultSize="0" autoFill="0" autoLine="0" autoPict="0">
                <anchor moveWithCells="1">
                  <from>
                    <xdr:col>6</xdr:col>
                    <xdr:colOff>83820</xdr:colOff>
                    <xdr:row>3</xdr:row>
                    <xdr:rowOff>38100</xdr:rowOff>
                  </from>
                  <to>
                    <xdr:col>6</xdr:col>
                    <xdr:colOff>266700</xdr:colOff>
                    <xdr:row>3</xdr:row>
                    <xdr:rowOff>228600</xdr:rowOff>
                  </to>
                </anchor>
              </controlPr>
            </control>
          </mc:Choice>
        </mc:AlternateContent>
        <mc:AlternateContent xmlns:mc="http://schemas.openxmlformats.org/markup-compatibility/2006">
          <mc:Choice Requires="x14">
            <control shapeId="9219" r:id="rId6" name="Check Box 3">
              <controlPr defaultSize="0" autoFill="0" autoLine="0" autoPict="0">
                <anchor moveWithCells="1">
                  <from>
                    <xdr:col>12</xdr:col>
                    <xdr:colOff>266700</xdr:colOff>
                    <xdr:row>42</xdr:row>
                    <xdr:rowOff>0</xdr:rowOff>
                  </from>
                  <to>
                    <xdr:col>13</xdr:col>
                    <xdr:colOff>99060</xdr:colOff>
                    <xdr:row>43</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imeMode="hiragana" allowBlank="1" showInputMessage="1" showErrorMessage="1">
          <xm:sqref>P14 JL14 TH14 ADD14 AMZ14 AWV14 BGR14 BQN14 CAJ14 CKF14 CUB14 DDX14 DNT14 DXP14 EHL14 ERH14 FBD14 FKZ14 FUV14 GER14 GON14 GYJ14 HIF14 HSB14 IBX14 ILT14 IVP14 JFL14 JPH14 JZD14 KIZ14 KSV14 LCR14 LMN14 LWJ14 MGF14 MQB14 MZX14 NJT14 NTP14 ODL14 ONH14 OXD14 PGZ14 PQV14 QAR14 QKN14 QUJ14 REF14 ROB14 RXX14 SHT14 SRP14 TBL14 TLH14 TVD14 UEZ14 UOV14 UYR14 VIN14 VSJ14 WCF14 WMB14 WVX14 P65550 JL65550 TH65550 ADD65550 AMZ65550 AWV65550 BGR65550 BQN65550 CAJ65550 CKF65550 CUB65550 DDX65550 DNT65550 DXP65550 EHL65550 ERH65550 FBD65550 FKZ65550 FUV65550 GER65550 GON65550 GYJ65550 HIF65550 HSB65550 IBX65550 ILT65550 IVP65550 JFL65550 JPH65550 JZD65550 KIZ65550 KSV65550 LCR65550 LMN65550 LWJ65550 MGF65550 MQB65550 MZX65550 NJT65550 NTP65550 ODL65550 ONH65550 OXD65550 PGZ65550 PQV65550 QAR65550 QKN65550 QUJ65550 REF65550 ROB65550 RXX65550 SHT65550 SRP65550 TBL65550 TLH65550 TVD65550 UEZ65550 UOV65550 UYR65550 VIN65550 VSJ65550 WCF65550 WMB65550 WVX65550 P131086 JL131086 TH131086 ADD131086 AMZ131086 AWV131086 BGR131086 BQN131086 CAJ131086 CKF131086 CUB131086 DDX131086 DNT131086 DXP131086 EHL131086 ERH131086 FBD131086 FKZ131086 FUV131086 GER131086 GON131086 GYJ131086 HIF131086 HSB131086 IBX131086 ILT131086 IVP131086 JFL131086 JPH131086 JZD131086 KIZ131086 KSV131086 LCR131086 LMN131086 LWJ131086 MGF131086 MQB131086 MZX131086 NJT131086 NTP131086 ODL131086 ONH131086 OXD131086 PGZ131086 PQV131086 QAR131086 QKN131086 QUJ131086 REF131086 ROB131086 RXX131086 SHT131086 SRP131086 TBL131086 TLH131086 TVD131086 UEZ131086 UOV131086 UYR131086 VIN131086 VSJ131086 WCF131086 WMB131086 WVX131086 P196622 JL196622 TH196622 ADD196622 AMZ196622 AWV196622 BGR196622 BQN196622 CAJ196622 CKF196622 CUB196622 DDX196622 DNT196622 DXP196622 EHL196622 ERH196622 FBD196622 FKZ196622 FUV196622 GER196622 GON196622 GYJ196622 HIF196622 HSB196622 IBX196622 ILT196622 IVP196622 JFL196622 JPH196622 JZD196622 KIZ196622 KSV196622 LCR196622 LMN196622 LWJ196622 MGF196622 MQB196622 MZX196622 NJT196622 NTP196622 ODL196622 ONH196622 OXD196622 PGZ196622 PQV196622 QAR196622 QKN196622 QUJ196622 REF196622 ROB196622 RXX196622 SHT196622 SRP196622 TBL196622 TLH196622 TVD196622 UEZ196622 UOV196622 UYR196622 VIN196622 VSJ196622 WCF196622 WMB196622 WVX196622 P262158 JL262158 TH262158 ADD262158 AMZ262158 AWV262158 BGR262158 BQN262158 CAJ262158 CKF262158 CUB262158 DDX262158 DNT262158 DXP262158 EHL262158 ERH262158 FBD262158 FKZ262158 FUV262158 GER262158 GON262158 GYJ262158 HIF262158 HSB262158 IBX262158 ILT262158 IVP262158 JFL262158 JPH262158 JZD262158 KIZ262158 KSV262158 LCR262158 LMN262158 LWJ262158 MGF262158 MQB262158 MZX262158 NJT262158 NTP262158 ODL262158 ONH262158 OXD262158 PGZ262158 PQV262158 QAR262158 QKN262158 QUJ262158 REF262158 ROB262158 RXX262158 SHT262158 SRP262158 TBL262158 TLH262158 TVD262158 UEZ262158 UOV262158 UYR262158 VIN262158 VSJ262158 WCF262158 WMB262158 WVX262158 P327694 JL327694 TH327694 ADD327694 AMZ327694 AWV327694 BGR327694 BQN327694 CAJ327694 CKF327694 CUB327694 DDX327694 DNT327694 DXP327694 EHL327694 ERH327694 FBD327694 FKZ327694 FUV327694 GER327694 GON327694 GYJ327694 HIF327694 HSB327694 IBX327694 ILT327694 IVP327694 JFL327694 JPH327694 JZD327694 KIZ327694 KSV327694 LCR327694 LMN327694 LWJ327694 MGF327694 MQB327694 MZX327694 NJT327694 NTP327694 ODL327694 ONH327694 OXD327694 PGZ327694 PQV327694 QAR327694 QKN327694 QUJ327694 REF327694 ROB327694 RXX327694 SHT327694 SRP327694 TBL327694 TLH327694 TVD327694 UEZ327694 UOV327694 UYR327694 VIN327694 VSJ327694 WCF327694 WMB327694 WVX327694 P393230 JL393230 TH393230 ADD393230 AMZ393230 AWV393230 BGR393230 BQN393230 CAJ393230 CKF393230 CUB393230 DDX393230 DNT393230 DXP393230 EHL393230 ERH393230 FBD393230 FKZ393230 FUV393230 GER393230 GON393230 GYJ393230 HIF393230 HSB393230 IBX393230 ILT393230 IVP393230 JFL393230 JPH393230 JZD393230 KIZ393230 KSV393230 LCR393230 LMN393230 LWJ393230 MGF393230 MQB393230 MZX393230 NJT393230 NTP393230 ODL393230 ONH393230 OXD393230 PGZ393230 PQV393230 QAR393230 QKN393230 QUJ393230 REF393230 ROB393230 RXX393230 SHT393230 SRP393230 TBL393230 TLH393230 TVD393230 UEZ393230 UOV393230 UYR393230 VIN393230 VSJ393230 WCF393230 WMB393230 WVX393230 P458766 JL458766 TH458766 ADD458766 AMZ458766 AWV458766 BGR458766 BQN458766 CAJ458766 CKF458766 CUB458766 DDX458766 DNT458766 DXP458766 EHL458766 ERH458766 FBD458766 FKZ458766 FUV458766 GER458766 GON458766 GYJ458766 HIF458766 HSB458766 IBX458766 ILT458766 IVP458766 JFL458766 JPH458766 JZD458766 KIZ458766 KSV458766 LCR458766 LMN458766 LWJ458766 MGF458766 MQB458766 MZX458766 NJT458766 NTP458766 ODL458766 ONH458766 OXD458766 PGZ458766 PQV458766 QAR458766 QKN458766 QUJ458766 REF458766 ROB458766 RXX458766 SHT458766 SRP458766 TBL458766 TLH458766 TVD458766 UEZ458766 UOV458766 UYR458766 VIN458766 VSJ458766 WCF458766 WMB458766 WVX458766 P524302 JL524302 TH524302 ADD524302 AMZ524302 AWV524302 BGR524302 BQN524302 CAJ524302 CKF524302 CUB524302 DDX524302 DNT524302 DXP524302 EHL524302 ERH524302 FBD524302 FKZ524302 FUV524302 GER524302 GON524302 GYJ524302 HIF524302 HSB524302 IBX524302 ILT524302 IVP524302 JFL524302 JPH524302 JZD524302 KIZ524302 KSV524302 LCR524302 LMN524302 LWJ524302 MGF524302 MQB524302 MZX524302 NJT524302 NTP524302 ODL524302 ONH524302 OXD524302 PGZ524302 PQV524302 QAR524302 QKN524302 QUJ524302 REF524302 ROB524302 RXX524302 SHT524302 SRP524302 TBL524302 TLH524302 TVD524302 UEZ524302 UOV524302 UYR524302 VIN524302 VSJ524302 WCF524302 WMB524302 WVX524302 P589838 JL589838 TH589838 ADD589838 AMZ589838 AWV589838 BGR589838 BQN589838 CAJ589838 CKF589838 CUB589838 DDX589838 DNT589838 DXP589838 EHL589838 ERH589838 FBD589838 FKZ589838 FUV589838 GER589838 GON589838 GYJ589838 HIF589838 HSB589838 IBX589838 ILT589838 IVP589838 JFL589838 JPH589838 JZD589838 KIZ589838 KSV589838 LCR589838 LMN589838 LWJ589838 MGF589838 MQB589838 MZX589838 NJT589838 NTP589838 ODL589838 ONH589838 OXD589838 PGZ589838 PQV589838 QAR589838 QKN589838 QUJ589838 REF589838 ROB589838 RXX589838 SHT589838 SRP589838 TBL589838 TLH589838 TVD589838 UEZ589838 UOV589838 UYR589838 VIN589838 VSJ589838 WCF589838 WMB589838 WVX589838 P655374 JL655374 TH655374 ADD655374 AMZ655374 AWV655374 BGR655374 BQN655374 CAJ655374 CKF655374 CUB655374 DDX655374 DNT655374 DXP655374 EHL655374 ERH655374 FBD655374 FKZ655374 FUV655374 GER655374 GON655374 GYJ655374 HIF655374 HSB655374 IBX655374 ILT655374 IVP655374 JFL655374 JPH655374 JZD655374 KIZ655374 KSV655374 LCR655374 LMN655374 LWJ655374 MGF655374 MQB655374 MZX655374 NJT655374 NTP655374 ODL655374 ONH655374 OXD655374 PGZ655374 PQV655374 QAR655374 QKN655374 QUJ655374 REF655374 ROB655374 RXX655374 SHT655374 SRP655374 TBL655374 TLH655374 TVD655374 UEZ655374 UOV655374 UYR655374 VIN655374 VSJ655374 WCF655374 WMB655374 WVX655374 P720910 JL720910 TH720910 ADD720910 AMZ720910 AWV720910 BGR720910 BQN720910 CAJ720910 CKF720910 CUB720910 DDX720910 DNT720910 DXP720910 EHL720910 ERH720910 FBD720910 FKZ720910 FUV720910 GER720910 GON720910 GYJ720910 HIF720910 HSB720910 IBX720910 ILT720910 IVP720910 JFL720910 JPH720910 JZD720910 KIZ720910 KSV720910 LCR720910 LMN720910 LWJ720910 MGF720910 MQB720910 MZX720910 NJT720910 NTP720910 ODL720910 ONH720910 OXD720910 PGZ720910 PQV720910 QAR720910 QKN720910 QUJ720910 REF720910 ROB720910 RXX720910 SHT720910 SRP720910 TBL720910 TLH720910 TVD720910 UEZ720910 UOV720910 UYR720910 VIN720910 VSJ720910 WCF720910 WMB720910 WVX720910 P786446 JL786446 TH786446 ADD786446 AMZ786446 AWV786446 BGR786446 BQN786446 CAJ786446 CKF786446 CUB786446 DDX786446 DNT786446 DXP786446 EHL786446 ERH786446 FBD786446 FKZ786446 FUV786446 GER786446 GON786446 GYJ786446 HIF786446 HSB786446 IBX786446 ILT786446 IVP786446 JFL786446 JPH786446 JZD786446 KIZ786446 KSV786446 LCR786446 LMN786446 LWJ786446 MGF786446 MQB786446 MZX786446 NJT786446 NTP786446 ODL786446 ONH786446 OXD786446 PGZ786446 PQV786446 QAR786446 QKN786446 QUJ786446 REF786446 ROB786446 RXX786446 SHT786446 SRP786446 TBL786446 TLH786446 TVD786446 UEZ786446 UOV786446 UYR786446 VIN786446 VSJ786446 WCF786446 WMB786446 WVX786446 P851982 JL851982 TH851982 ADD851982 AMZ851982 AWV851982 BGR851982 BQN851982 CAJ851982 CKF851982 CUB851982 DDX851982 DNT851982 DXP851982 EHL851982 ERH851982 FBD851982 FKZ851982 FUV851982 GER851982 GON851982 GYJ851982 HIF851982 HSB851982 IBX851982 ILT851982 IVP851982 JFL851982 JPH851982 JZD851982 KIZ851982 KSV851982 LCR851982 LMN851982 LWJ851982 MGF851982 MQB851982 MZX851982 NJT851982 NTP851982 ODL851982 ONH851982 OXD851982 PGZ851982 PQV851982 QAR851982 QKN851982 QUJ851982 REF851982 ROB851982 RXX851982 SHT851982 SRP851982 TBL851982 TLH851982 TVD851982 UEZ851982 UOV851982 UYR851982 VIN851982 VSJ851982 WCF851982 WMB851982 WVX851982 P917518 JL917518 TH917518 ADD917518 AMZ917518 AWV917518 BGR917518 BQN917518 CAJ917518 CKF917518 CUB917518 DDX917518 DNT917518 DXP917518 EHL917518 ERH917518 FBD917518 FKZ917518 FUV917518 GER917518 GON917518 GYJ917518 HIF917518 HSB917518 IBX917518 ILT917518 IVP917518 JFL917518 JPH917518 JZD917518 KIZ917518 KSV917518 LCR917518 LMN917518 LWJ917518 MGF917518 MQB917518 MZX917518 NJT917518 NTP917518 ODL917518 ONH917518 OXD917518 PGZ917518 PQV917518 QAR917518 QKN917518 QUJ917518 REF917518 ROB917518 RXX917518 SHT917518 SRP917518 TBL917518 TLH917518 TVD917518 UEZ917518 UOV917518 UYR917518 VIN917518 VSJ917518 WCF917518 WMB917518 WVX917518 P983054 JL983054 TH983054 ADD983054 AMZ983054 AWV983054 BGR983054 BQN983054 CAJ983054 CKF983054 CUB983054 DDX983054 DNT983054 DXP983054 EHL983054 ERH983054 FBD983054 FKZ983054 FUV983054 GER983054 GON983054 GYJ983054 HIF983054 HSB983054 IBX983054 ILT983054 IVP983054 JFL983054 JPH983054 JZD983054 KIZ983054 KSV983054 LCR983054 LMN983054 LWJ983054 MGF983054 MQB983054 MZX983054 NJT983054 NTP983054 ODL983054 ONH983054 OXD983054 PGZ983054 PQV983054 QAR983054 QKN983054 QUJ983054 REF983054 ROB983054 RXX983054 SHT983054 SRP983054 TBL983054 TLH983054 TVD983054 UEZ983054 UOV983054 UYR983054 VIN983054 VSJ983054 WCF983054 WMB983054 WVX983054 P20 JL20 TH20 ADD20 AMZ20 AWV20 BGR20 BQN20 CAJ20 CKF20 CUB20 DDX20 DNT20 DXP20 EHL20 ERH20 FBD20 FKZ20 FUV20 GER20 GON20 GYJ20 HIF20 HSB20 IBX20 ILT20 IVP20 JFL20 JPH20 JZD20 KIZ20 KSV20 LCR20 LMN20 LWJ20 MGF20 MQB20 MZX20 NJT20 NTP20 ODL20 ONH20 OXD20 PGZ20 PQV20 QAR20 QKN20 QUJ20 REF20 ROB20 RXX20 SHT20 SRP20 TBL20 TLH20 TVD20 UEZ20 UOV20 UYR20 VIN20 VSJ20 WCF20 WMB20 WVX20 P65556 JL65556 TH65556 ADD65556 AMZ65556 AWV65556 BGR65556 BQN65556 CAJ65556 CKF65556 CUB65556 DDX65556 DNT65556 DXP65556 EHL65556 ERH65556 FBD65556 FKZ65556 FUV65556 GER65556 GON65556 GYJ65556 HIF65556 HSB65556 IBX65556 ILT65556 IVP65556 JFL65556 JPH65556 JZD65556 KIZ65556 KSV65556 LCR65556 LMN65556 LWJ65556 MGF65556 MQB65556 MZX65556 NJT65556 NTP65556 ODL65556 ONH65556 OXD65556 PGZ65556 PQV65556 QAR65556 QKN65556 QUJ65556 REF65556 ROB65556 RXX65556 SHT65556 SRP65556 TBL65556 TLH65556 TVD65556 UEZ65556 UOV65556 UYR65556 VIN65556 VSJ65556 WCF65556 WMB65556 WVX65556 P131092 JL131092 TH131092 ADD131092 AMZ131092 AWV131092 BGR131092 BQN131092 CAJ131092 CKF131092 CUB131092 DDX131092 DNT131092 DXP131092 EHL131092 ERH131092 FBD131092 FKZ131092 FUV131092 GER131092 GON131092 GYJ131092 HIF131092 HSB131092 IBX131092 ILT131092 IVP131092 JFL131092 JPH131092 JZD131092 KIZ131092 KSV131092 LCR131092 LMN131092 LWJ131092 MGF131092 MQB131092 MZX131092 NJT131092 NTP131092 ODL131092 ONH131092 OXD131092 PGZ131092 PQV131092 QAR131092 QKN131092 QUJ131092 REF131092 ROB131092 RXX131092 SHT131092 SRP131092 TBL131092 TLH131092 TVD131092 UEZ131092 UOV131092 UYR131092 VIN131092 VSJ131092 WCF131092 WMB131092 WVX131092 P196628 JL196628 TH196628 ADD196628 AMZ196628 AWV196628 BGR196628 BQN196628 CAJ196628 CKF196628 CUB196628 DDX196628 DNT196628 DXP196628 EHL196628 ERH196628 FBD196628 FKZ196628 FUV196628 GER196628 GON196628 GYJ196628 HIF196628 HSB196628 IBX196628 ILT196628 IVP196628 JFL196628 JPH196628 JZD196628 KIZ196628 KSV196628 LCR196628 LMN196628 LWJ196628 MGF196628 MQB196628 MZX196628 NJT196628 NTP196628 ODL196628 ONH196628 OXD196628 PGZ196628 PQV196628 QAR196628 QKN196628 QUJ196628 REF196628 ROB196628 RXX196628 SHT196628 SRP196628 TBL196628 TLH196628 TVD196628 UEZ196628 UOV196628 UYR196628 VIN196628 VSJ196628 WCF196628 WMB196628 WVX196628 P262164 JL262164 TH262164 ADD262164 AMZ262164 AWV262164 BGR262164 BQN262164 CAJ262164 CKF262164 CUB262164 DDX262164 DNT262164 DXP262164 EHL262164 ERH262164 FBD262164 FKZ262164 FUV262164 GER262164 GON262164 GYJ262164 HIF262164 HSB262164 IBX262164 ILT262164 IVP262164 JFL262164 JPH262164 JZD262164 KIZ262164 KSV262164 LCR262164 LMN262164 LWJ262164 MGF262164 MQB262164 MZX262164 NJT262164 NTP262164 ODL262164 ONH262164 OXD262164 PGZ262164 PQV262164 QAR262164 QKN262164 QUJ262164 REF262164 ROB262164 RXX262164 SHT262164 SRP262164 TBL262164 TLH262164 TVD262164 UEZ262164 UOV262164 UYR262164 VIN262164 VSJ262164 WCF262164 WMB262164 WVX262164 P327700 JL327700 TH327700 ADD327700 AMZ327700 AWV327700 BGR327700 BQN327700 CAJ327700 CKF327700 CUB327700 DDX327700 DNT327700 DXP327700 EHL327700 ERH327700 FBD327700 FKZ327700 FUV327700 GER327700 GON327700 GYJ327700 HIF327700 HSB327700 IBX327700 ILT327700 IVP327700 JFL327700 JPH327700 JZD327700 KIZ327700 KSV327700 LCR327700 LMN327700 LWJ327700 MGF327700 MQB327700 MZX327700 NJT327700 NTP327700 ODL327700 ONH327700 OXD327700 PGZ327700 PQV327700 QAR327700 QKN327700 QUJ327700 REF327700 ROB327700 RXX327700 SHT327700 SRP327700 TBL327700 TLH327700 TVD327700 UEZ327700 UOV327700 UYR327700 VIN327700 VSJ327700 WCF327700 WMB327700 WVX327700 P393236 JL393236 TH393236 ADD393236 AMZ393236 AWV393236 BGR393236 BQN393236 CAJ393236 CKF393236 CUB393236 DDX393236 DNT393236 DXP393236 EHL393236 ERH393236 FBD393236 FKZ393236 FUV393236 GER393236 GON393236 GYJ393236 HIF393236 HSB393236 IBX393236 ILT393236 IVP393236 JFL393236 JPH393236 JZD393236 KIZ393236 KSV393236 LCR393236 LMN393236 LWJ393236 MGF393236 MQB393236 MZX393236 NJT393236 NTP393236 ODL393236 ONH393236 OXD393236 PGZ393236 PQV393236 QAR393236 QKN393236 QUJ393236 REF393236 ROB393236 RXX393236 SHT393236 SRP393236 TBL393236 TLH393236 TVD393236 UEZ393236 UOV393236 UYR393236 VIN393236 VSJ393236 WCF393236 WMB393236 WVX393236 P458772 JL458772 TH458772 ADD458772 AMZ458772 AWV458772 BGR458772 BQN458772 CAJ458772 CKF458772 CUB458772 DDX458772 DNT458772 DXP458772 EHL458772 ERH458772 FBD458772 FKZ458772 FUV458772 GER458772 GON458772 GYJ458772 HIF458772 HSB458772 IBX458772 ILT458772 IVP458772 JFL458772 JPH458772 JZD458772 KIZ458772 KSV458772 LCR458772 LMN458772 LWJ458772 MGF458772 MQB458772 MZX458772 NJT458772 NTP458772 ODL458772 ONH458772 OXD458772 PGZ458772 PQV458772 QAR458772 QKN458772 QUJ458772 REF458772 ROB458772 RXX458772 SHT458772 SRP458772 TBL458772 TLH458772 TVD458772 UEZ458772 UOV458772 UYR458772 VIN458772 VSJ458772 WCF458772 WMB458772 WVX458772 P524308 JL524308 TH524308 ADD524308 AMZ524308 AWV524308 BGR524308 BQN524308 CAJ524308 CKF524308 CUB524308 DDX524308 DNT524308 DXP524308 EHL524308 ERH524308 FBD524308 FKZ524308 FUV524308 GER524308 GON524308 GYJ524308 HIF524308 HSB524308 IBX524308 ILT524308 IVP524308 JFL524308 JPH524308 JZD524308 KIZ524308 KSV524308 LCR524308 LMN524308 LWJ524308 MGF524308 MQB524308 MZX524308 NJT524308 NTP524308 ODL524308 ONH524308 OXD524308 PGZ524308 PQV524308 QAR524308 QKN524308 QUJ524308 REF524308 ROB524308 RXX524308 SHT524308 SRP524308 TBL524308 TLH524308 TVD524308 UEZ524308 UOV524308 UYR524308 VIN524308 VSJ524308 WCF524308 WMB524308 WVX524308 P589844 JL589844 TH589844 ADD589844 AMZ589844 AWV589844 BGR589844 BQN589844 CAJ589844 CKF589844 CUB589844 DDX589844 DNT589844 DXP589844 EHL589844 ERH589844 FBD589844 FKZ589844 FUV589844 GER589844 GON589844 GYJ589844 HIF589844 HSB589844 IBX589844 ILT589844 IVP589844 JFL589844 JPH589844 JZD589844 KIZ589844 KSV589844 LCR589844 LMN589844 LWJ589844 MGF589844 MQB589844 MZX589844 NJT589844 NTP589844 ODL589844 ONH589844 OXD589844 PGZ589844 PQV589844 QAR589844 QKN589844 QUJ589844 REF589844 ROB589844 RXX589844 SHT589844 SRP589844 TBL589844 TLH589844 TVD589844 UEZ589844 UOV589844 UYR589844 VIN589844 VSJ589844 WCF589844 WMB589844 WVX589844 P655380 JL655380 TH655380 ADD655380 AMZ655380 AWV655380 BGR655380 BQN655380 CAJ655380 CKF655380 CUB655380 DDX655380 DNT655380 DXP655380 EHL655380 ERH655380 FBD655380 FKZ655380 FUV655380 GER655380 GON655380 GYJ655380 HIF655380 HSB655380 IBX655380 ILT655380 IVP655380 JFL655380 JPH655380 JZD655380 KIZ655380 KSV655380 LCR655380 LMN655380 LWJ655380 MGF655380 MQB655380 MZX655380 NJT655380 NTP655380 ODL655380 ONH655380 OXD655380 PGZ655380 PQV655380 QAR655380 QKN655380 QUJ655380 REF655380 ROB655380 RXX655380 SHT655380 SRP655380 TBL655380 TLH655380 TVD655380 UEZ655380 UOV655380 UYR655380 VIN655380 VSJ655380 WCF655380 WMB655380 WVX655380 P720916 JL720916 TH720916 ADD720916 AMZ720916 AWV720916 BGR720916 BQN720916 CAJ720916 CKF720916 CUB720916 DDX720916 DNT720916 DXP720916 EHL720916 ERH720916 FBD720916 FKZ720916 FUV720916 GER720916 GON720916 GYJ720916 HIF720916 HSB720916 IBX720916 ILT720916 IVP720916 JFL720916 JPH720916 JZD720916 KIZ720916 KSV720916 LCR720916 LMN720916 LWJ720916 MGF720916 MQB720916 MZX720916 NJT720916 NTP720916 ODL720916 ONH720916 OXD720916 PGZ720916 PQV720916 QAR720916 QKN720916 QUJ720916 REF720916 ROB720916 RXX720916 SHT720916 SRP720916 TBL720916 TLH720916 TVD720916 UEZ720916 UOV720916 UYR720916 VIN720916 VSJ720916 WCF720916 WMB720916 WVX720916 P786452 JL786452 TH786452 ADD786452 AMZ786452 AWV786452 BGR786452 BQN786452 CAJ786452 CKF786452 CUB786452 DDX786452 DNT786452 DXP786452 EHL786452 ERH786452 FBD786452 FKZ786452 FUV786452 GER786452 GON786452 GYJ786452 HIF786452 HSB786452 IBX786452 ILT786452 IVP786452 JFL786452 JPH786452 JZD786452 KIZ786452 KSV786452 LCR786452 LMN786452 LWJ786452 MGF786452 MQB786452 MZX786452 NJT786452 NTP786452 ODL786452 ONH786452 OXD786452 PGZ786452 PQV786452 QAR786452 QKN786452 QUJ786452 REF786452 ROB786452 RXX786452 SHT786452 SRP786452 TBL786452 TLH786452 TVD786452 UEZ786452 UOV786452 UYR786452 VIN786452 VSJ786452 WCF786452 WMB786452 WVX786452 P851988 JL851988 TH851988 ADD851988 AMZ851988 AWV851988 BGR851988 BQN851988 CAJ851988 CKF851988 CUB851988 DDX851988 DNT851988 DXP851988 EHL851988 ERH851988 FBD851988 FKZ851988 FUV851988 GER851988 GON851988 GYJ851988 HIF851988 HSB851988 IBX851988 ILT851988 IVP851988 JFL851988 JPH851988 JZD851988 KIZ851988 KSV851988 LCR851988 LMN851988 LWJ851988 MGF851988 MQB851988 MZX851988 NJT851988 NTP851988 ODL851988 ONH851988 OXD851988 PGZ851988 PQV851988 QAR851988 QKN851988 QUJ851988 REF851988 ROB851988 RXX851988 SHT851988 SRP851988 TBL851988 TLH851988 TVD851988 UEZ851988 UOV851988 UYR851988 VIN851988 VSJ851988 WCF851988 WMB851988 WVX851988 P917524 JL917524 TH917524 ADD917524 AMZ917524 AWV917524 BGR917524 BQN917524 CAJ917524 CKF917524 CUB917524 DDX917524 DNT917524 DXP917524 EHL917524 ERH917524 FBD917524 FKZ917524 FUV917524 GER917524 GON917524 GYJ917524 HIF917524 HSB917524 IBX917524 ILT917524 IVP917524 JFL917524 JPH917524 JZD917524 KIZ917524 KSV917524 LCR917524 LMN917524 LWJ917524 MGF917524 MQB917524 MZX917524 NJT917524 NTP917524 ODL917524 ONH917524 OXD917524 PGZ917524 PQV917524 QAR917524 QKN917524 QUJ917524 REF917524 ROB917524 RXX917524 SHT917524 SRP917524 TBL917524 TLH917524 TVD917524 UEZ917524 UOV917524 UYR917524 VIN917524 VSJ917524 WCF917524 WMB917524 WVX917524 P983060 JL983060 TH983060 ADD983060 AMZ983060 AWV983060 BGR983060 BQN983060 CAJ983060 CKF983060 CUB983060 DDX983060 DNT983060 DXP983060 EHL983060 ERH983060 FBD983060 FKZ983060 FUV983060 GER983060 GON983060 GYJ983060 HIF983060 HSB983060 IBX983060 ILT983060 IVP983060 JFL983060 JPH983060 JZD983060 KIZ983060 KSV983060 LCR983060 LMN983060 LWJ983060 MGF983060 MQB983060 MZX983060 NJT983060 NTP983060 ODL983060 ONH983060 OXD983060 PGZ983060 PQV983060 QAR983060 QKN983060 QUJ983060 REF983060 ROB983060 RXX983060 SHT983060 SRP983060 TBL983060 TLH983060 TVD983060 UEZ983060 UOV983060 UYR983060 VIN983060 VSJ983060 WCF983060 WMB983060 WVX983060 P17 JL17 TH17 ADD17 AMZ17 AWV17 BGR17 BQN17 CAJ17 CKF17 CUB17 DDX17 DNT17 DXP17 EHL17 ERH17 FBD17 FKZ17 FUV17 GER17 GON17 GYJ17 HIF17 HSB17 IBX17 ILT17 IVP17 JFL17 JPH17 JZD17 KIZ17 KSV17 LCR17 LMN17 LWJ17 MGF17 MQB17 MZX17 NJT17 NTP17 ODL17 ONH17 OXD17 PGZ17 PQV17 QAR17 QKN17 QUJ17 REF17 ROB17 RXX17 SHT17 SRP17 TBL17 TLH17 TVD17 UEZ17 UOV17 UYR17 VIN17 VSJ17 WCF17 WMB17 WVX17 P65553 JL65553 TH65553 ADD65553 AMZ65553 AWV65553 BGR65553 BQN65553 CAJ65553 CKF65553 CUB65553 DDX65553 DNT65553 DXP65553 EHL65553 ERH65553 FBD65553 FKZ65553 FUV65553 GER65553 GON65553 GYJ65553 HIF65553 HSB65553 IBX65553 ILT65553 IVP65553 JFL65553 JPH65553 JZD65553 KIZ65553 KSV65553 LCR65553 LMN65553 LWJ65553 MGF65553 MQB65553 MZX65553 NJT65553 NTP65553 ODL65553 ONH65553 OXD65553 PGZ65553 PQV65553 QAR65553 QKN65553 QUJ65553 REF65553 ROB65553 RXX65553 SHT65553 SRP65553 TBL65553 TLH65553 TVD65553 UEZ65553 UOV65553 UYR65553 VIN65553 VSJ65553 WCF65553 WMB65553 WVX65553 P131089 JL131089 TH131089 ADD131089 AMZ131089 AWV131089 BGR131089 BQN131089 CAJ131089 CKF131089 CUB131089 DDX131089 DNT131089 DXP131089 EHL131089 ERH131089 FBD131089 FKZ131089 FUV131089 GER131089 GON131089 GYJ131089 HIF131089 HSB131089 IBX131089 ILT131089 IVP131089 JFL131089 JPH131089 JZD131089 KIZ131089 KSV131089 LCR131089 LMN131089 LWJ131089 MGF131089 MQB131089 MZX131089 NJT131089 NTP131089 ODL131089 ONH131089 OXD131089 PGZ131089 PQV131089 QAR131089 QKN131089 QUJ131089 REF131089 ROB131089 RXX131089 SHT131089 SRP131089 TBL131089 TLH131089 TVD131089 UEZ131089 UOV131089 UYR131089 VIN131089 VSJ131089 WCF131089 WMB131089 WVX131089 P196625 JL196625 TH196625 ADD196625 AMZ196625 AWV196625 BGR196625 BQN196625 CAJ196625 CKF196625 CUB196625 DDX196625 DNT196625 DXP196625 EHL196625 ERH196625 FBD196625 FKZ196625 FUV196625 GER196625 GON196625 GYJ196625 HIF196625 HSB196625 IBX196625 ILT196625 IVP196625 JFL196625 JPH196625 JZD196625 KIZ196625 KSV196625 LCR196625 LMN196625 LWJ196625 MGF196625 MQB196625 MZX196625 NJT196625 NTP196625 ODL196625 ONH196625 OXD196625 PGZ196625 PQV196625 QAR196625 QKN196625 QUJ196625 REF196625 ROB196625 RXX196625 SHT196625 SRP196625 TBL196625 TLH196625 TVD196625 UEZ196625 UOV196625 UYR196625 VIN196625 VSJ196625 WCF196625 WMB196625 WVX196625 P262161 JL262161 TH262161 ADD262161 AMZ262161 AWV262161 BGR262161 BQN262161 CAJ262161 CKF262161 CUB262161 DDX262161 DNT262161 DXP262161 EHL262161 ERH262161 FBD262161 FKZ262161 FUV262161 GER262161 GON262161 GYJ262161 HIF262161 HSB262161 IBX262161 ILT262161 IVP262161 JFL262161 JPH262161 JZD262161 KIZ262161 KSV262161 LCR262161 LMN262161 LWJ262161 MGF262161 MQB262161 MZX262161 NJT262161 NTP262161 ODL262161 ONH262161 OXD262161 PGZ262161 PQV262161 QAR262161 QKN262161 QUJ262161 REF262161 ROB262161 RXX262161 SHT262161 SRP262161 TBL262161 TLH262161 TVD262161 UEZ262161 UOV262161 UYR262161 VIN262161 VSJ262161 WCF262161 WMB262161 WVX262161 P327697 JL327697 TH327697 ADD327697 AMZ327697 AWV327697 BGR327697 BQN327697 CAJ327697 CKF327697 CUB327697 DDX327697 DNT327697 DXP327697 EHL327697 ERH327697 FBD327697 FKZ327697 FUV327697 GER327697 GON327697 GYJ327697 HIF327697 HSB327697 IBX327697 ILT327697 IVP327697 JFL327697 JPH327697 JZD327697 KIZ327697 KSV327697 LCR327697 LMN327697 LWJ327697 MGF327697 MQB327697 MZX327697 NJT327697 NTP327697 ODL327697 ONH327697 OXD327697 PGZ327697 PQV327697 QAR327697 QKN327697 QUJ327697 REF327697 ROB327697 RXX327697 SHT327697 SRP327697 TBL327697 TLH327697 TVD327697 UEZ327697 UOV327697 UYR327697 VIN327697 VSJ327697 WCF327697 WMB327697 WVX327697 P393233 JL393233 TH393233 ADD393233 AMZ393233 AWV393233 BGR393233 BQN393233 CAJ393233 CKF393233 CUB393233 DDX393233 DNT393233 DXP393233 EHL393233 ERH393233 FBD393233 FKZ393233 FUV393233 GER393233 GON393233 GYJ393233 HIF393233 HSB393233 IBX393233 ILT393233 IVP393233 JFL393233 JPH393233 JZD393233 KIZ393233 KSV393233 LCR393233 LMN393233 LWJ393233 MGF393233 MQB393233 MZX393233 NJT393233 NTP393233 ODL393233 ONH393233 OXD393233 PGZ393233 PQV393233 QAR393233 QKN393233 QUJ393233 REF393233 ROB393233 RXX393233 SHT393233 SRP393233 TBL393233 TLH393233 TVD393233 UEZ393233 UOV393233 UYR393233 VIN393233 VSJ393233 WCF393233 WMB393233 WVX393233 P458769 JL458769 TH458769 ADD458769 AMZ458769 AWV458769 BGR458769 BQN458769 CAJ458769 CKF458769 CUB458769 DDX458769 DNT458769 DXP458769 EHL458769 ERH458769 FBD458769 FKZ458769 FUV458769 GER458769 GON458769 GYJ458769 HIF458769 HSB458769 IBX458769 ILT458769 IVP458769 JFL458769 JPH458769 JZD458769 KIZ458769 KSV458769 LCR458769 LMN458769 LWJ458769 MGF458769 MQB458769 MZX458769 NJT458769 NTP458769 ODL458769 ONH458769 OXD458769 PGZ458769 PQV458769 QAR458769 QKN458769 QUJ458769 REF458769 ROB458769 RXX458769 SHT458769 SRP458769 TBL458769 TLH458769 TVD458769 UEZ458769 UOV458769 UYR458769 VIN458769 VSJ458769 WCF458769 WMB458769 WVX458769 P524305 JL524305 TH524305 ADD524305 AMZ524305 AWV524305 BGR524305 BQN524305 CAJ524305 CKF524305 CUB524305 DDX524305 DNT524305 DXP524305 EHL524305 ERH524305 FBD524305 FKZ524305 FUV524305 GER524305 GON524305 GYJ524305 HIF524305 HSB524305 IBX524305 ILT524305 IVP524305 JFL524305 JPH524305 JZD524305 KIZ524305 KSV524305 LCR524305 LMN524305 LWJ524305 MGF524305 MQB524305 MZX524305 NJT524305 NTP524305 ODL524305 ONH524305 OXD524305 PGZ524305 PQV524305 QAR524305 QKN524305 QUJ524305 REF524305 ROB524305 RXX524305 SHT524305 SRP524305 TBL524305 TLH524305 TVD524305 UEZ524305 UOV524305 UYR524305 VIN524305 VSJ524305 WCF524305 WMB524305 WVX524305 P589841 JL589841 TH589841 ADD589841 AMZ589841 AWV589841 BGR589841 BQN589841 CAJ589841 CKF589841 CUB589841 DDX589841 DNT589841 DXP589841 EHL589841 ERH589841 FBD589841 FKZ589841 FUV589841 GER589841 GON589841 GYJ589841 HIF589841 HSB589841 IBX589841 ILT589841 IVP589841 JFL589841 JPH589841 JZD589841 KIZ589841 KSV589841 LCR589841 LMN589841 LWJ589841 MGF589841 MQB589841 MZX589841 NJT589841 NTP589841 ODL589841 ONH589841 OXD589841 PGZ589841 PQV589841 QAR589841 QKN589841 QUJ589841 REF589841 ROB589841 RXX589841 SHT589841 SRP589841 TBL589841 TLH589841 TVD589841 UEZ589841 UOV589841 UYR589841 VIN589841 VSJ589841 WCF589841 WMB589841 WVX589841 P655377 JL655377 TH655377 ADD655377 AMZ655377 AWV655377 BGR655377 BQN655377 CAJ655377 CKF655377 CUB655377 DDX655377 DNT655377 DXP655377 EHL655377 ERH655377 FBD655377 FKZ655377 FUV655377 GER655377 GON655377 GYJ655377 HIF655377 HSB655377 IBX655377 ILT655377 IVP655377 JFL655377 JPH655377 JZD655377 KIZ655377 KSV655377 LCR655377 LMN655377 LWJ655377 MGF655377 MQB655377 MZX655377 NJT655377 NTP655377 ODL655377 ONH655377 OXD655377 PGZ655377 PQV655377 QAR655377 QKN655377 QUJ655377 REF655377 ROB655377 RXX655377 SHT655377 SRP655377 TBL655377 TLH655377 TVD655377 UEZ655377 UOV655377 UYR655377 VIN655377 VSJ655377 WCF655377 WMB655377 WVX655377 P720913 JL720913 TH720913 ADD720913 AMZ720913 AWV720913 BGR720913 BQN720913 CAJ720913 CKF720913 CUB720913 DDX720913 DNT720913 DXP720913 EHL720913 ERH720913 FBD720913 FKZ720913 FUV720913 GER720913 GON720913 GYJ720913 HIF720913 HSB720913 IBX720913 ILT720913 IVP720913 JFL720913 JPH720913 JZD720913 KIZ720913 KSV720913 LCR720913 LMN720913 LWJ720913 MGF720913 MQB720913 MZX720913 NJT720913 NTP720913 ODL720913 ONH720913 OXD720913 PGZ720913 PQV720913 QAR720913 QKN720913 QUJ720913 REF720913 ROB720913 RXX720913 SHT720913 SRP720913 TBL720913 TLH720913 TVD720913 UEZ720913 UOV720913 UYR720913 VIN720913 VSJ720913 WCF720913 WMB720913 WVX720913 P786449 JL786449 TH786449 ADD786449 AMZ786449 AWV786449 BGR786449 BQN786449 CAJ786449 CKF786449 CUB786449 DDX786449 DNT786449 DXP786449 EHL786449 ERH786449 FBD786449 FKZ786449 FUV786449 GER786449 GON786449 GYJ786449 HIF786449 HSB786449 IBX786449 ILT786449 IVP786449 JFL786449 JPH786449 JZD786449 KIZ786449 KSV786449 LCR786449 LMN786449 LWJ786449 MGF786449 MQB786449 MZX786449 NJT786449 NTP786449 ODL786449 ONH786449 OXD786449 PGZ786449 PQV786449 QAR786449 QKN786449 QUJ786449 REF786449 ROB786449 RXX786449 SHT786449 SRP786449 TBL786449 TLH786449 TVD786449 UEZ786449 UOV786449 UYR786449 VIN786449 VSJ786449 WCF786449 WMB786449 WVX786449 P851985 JL851985 TH851985 ADD851985 AMZ851985 AWV851985 BGR851985 BQN851985 CAJ851985 CKF851985 CUB851985 DDX851985 DNT851985 DXP851985 EHL851985 ERH851985 FBD851985 FKZ851985 FUV851985 GER851985 GON851985 GYJ851985 HIF851985 HSB851985 IBX851985 ILT851985 IVP851985 JFL851985 JPH851985 JZD851985 KIZ851985 KSV851985 LCR851985 LMN851985 LWJ851985 MGF851985 MQB851985 MZX851985 NJT851985 NTP851985 ODL851985 ONH851985 OXD851985 PGZ851985 PQV851985 QAR851985 QKN851985 QUJ851985 REF851985 ROB851985 RXX851985 SHT851985 SRP851985 TBL851985 TLH851985 TVD851985 UEZ851985 UOV851985 UYR851985 VIN851985 VSJ851985 WCF851985 WMB851985 WVX851985 P917521 JL917521 TH917521 ADD917521 AMZ917521 AWV917521 BGR917521 BQN917521 CAJ917521 CKF917521 CUB917521 DDX917521 DNT917521 DXP917521 EHL917521 ERH917521 FBD917521 FKZ917521 FUV917521 GER917521 GON917521 GYJ917521 HIF917521 HSB917521 IBX917521 ILT917521 IVP917521 JFL917521 JPH917521 JZD917521 KIZ917521 KSV917521 LCR917521 LMN917521 LWJ917521 MGF917521 MQB917521 MZX917521 NJT917521 NTP917521 ODL917521 ONH917521 OXD917521 PGZ917521 PQV917521 QAR917521 QKN917521 QUJ917521 REF917521 ROB917521 RXX917521 SHT917521 SRP917521 TBL917521 TLH917521 TVD917521 UEZ917521 UOV917521 UYR917521 VIN917521 VSJ917521 WCF917521 WMB917521 WVX917521 P983057 JL983057 TH983057 ADD983057 AMZ983057 AWV983057 BGR983057 BQN983057 CAJ983057 CKF983057 CUB983057 DDX983057 DNT983057 DXP983057 EHL983057 ERH983057 FBD983057 FKZ983057 FUV983057 GER983057 GON983057 GYJ983057 HIF983057 HSB983057 IBX983057 ILT983057 IVP983057 JFL983057 JPH983057 JZD983057 KIZ983057 KSV983057 LCR983057 LMN983057 LWJ983057 MGF983057 MQB983057 MZX983057 NJT983057 NTP983057 ODL983057 ONH983057 OXD983057 PGZ983057 PQV983057 QAR983057 QKN983057 QUJ983057 REF983057 ROB983057 RXX983057 SHT983057 SRP983057 TBL983057 TLH983057 TVD983057 UEZ983057 UOV983057 UYR983057 VIN983057 VSJ983057 WCF983057 WMB983057 WVX983057 P38 JL38 TH38 ADD38 AMZ38 AWV38 BGR38 BQN38 CAJ38 CKF38 CUB38 DDX38 DNT38 DXP38 EHL38 ERH38 FBD38 FKZ38 FUV38 GER38 GON38 GYJ38 HIF38 HSB38 IBX38 ILT38 IVP38 JFL38 JPH38 JZD38 KIZ38 KSV38 LCR38 LMN38 LWJ38 MGF38 MQB38 MZX38 NJT38 NTP38 ODL38 ONH38 OXD38 PGZ38 PQV38 QAR38 QKN38 QUJ38 REF38 ROB38 RXX38 SHT38 SRP38 TBL38 TLH38 TVD38 UEZ38 UOV38 UYR38 VIN38 VSJ38 WCF38 WMB38 WVX38 P65574 JL65574 TH65574 ADD65574 AMZ65574 AWV65574 BGR65574 BQN65574 CAJ65574 CKF65574 CUB65574 DDX65574 DNT65574 DXP65574 EHL65574 ERH65574 FBD65574 FKZ65574 FUV65574 GER65574 GON65574 GYJ65574 HIF65574 HSB65574 IBX65574 ILT65574 IVP65574 JFL65574 JPH65574 JZD65574 KIZ65574 KSV65574 LCR65574 LMN65574 LWJ65574 MGF65574 MQB65574 MZX65574 NJT65574 NTP65574 ODL65574 ONH65574 OXD65574 PGZ65574 PQV65574 QAR65574 QKN65574 QUJ65574 REF65574 ROB65574 RXX65574 SHT65574 SRP65574 TBL65574 TLH65574 TVD65574 UEZ65574 UOV65574 UYR65574 VIN65574 VSJ65574 WCF65574 WMB65574 WVX65574 P131110 JL131110 TH131110 ADD131110 AMZ131110 AWV131110 BGR131110 BQN131110 CAJ131110 CKF131110 CUB131110 DDX131110 DNT131110 DXP131110 EHL131110 ERH131110 FBD131110 FKZ131110 FUV131110 GER131110 GON131110 GYJ131110 HIF131110 HSB131110 IBX131110 ILT131110 IVP131110 JFL131110 JPH131110 JZD131110 KIZ131110 KSV131110 LCR131110 LMN131110 LWJ131110 MGF131110 MQB131110 MZX131110 NJT131110 NTP131110 ODL131110 ONH131110 OXD131110 PGZ131110 PQV131110 QAR131110 QKN131110 QUJ131110 REF131110 ROB131110 RXX131110 SHT131110 SRP131110 TBL131110 TLH131110 TVD131110 UEZ131110 UOV131110 UYR131110 VIN131110 VSJ131110 WCF131110 WMB131110 WVX131110 P196646 JL196646 TH196646 ADD196646 AMZ196646 AWV196646 BGR196646 BQN196646 CAJ196646 CKF196646 CUB196646 DDX196646 DNT196646 DXP196646 EHL196646 ERH196646 FBD196646 FKZ196646 FUV196646 GER196646 GON196646 GYJ196646 HIF196646 HSB196646 IBX196646 ILT196646 IVP196646 JFL196646 JPH196646 JZD196646 KIZ196646 KSV196646 LCR196646 LMN196646 LWJ196646 MGF196646 MQB196646 MZX196646 NJT196646 NTP196646 ODL196646 ONH196646 OXD196646 PGZ196646 PQV196646 QAR196646 QKN196646 QUJ196646 REF196646 ROB196646 RXX196646 SHT196646 SRP196646 TBL196646 TLH196646 TVD196646 UEZ196646 UOV196646 UYR196646 VIN196646 VSJ196646 WCF196646 WMB196646 WVX196646 P262182 JL262182 TH262182 ADD262182 AMZ262182 AWV262182 BGR262182 BQN262182 CAJ262182 CKF262182 CUB262182 DDX262182 DNT262182 DXP262182 EHL262182 ERH262182 FBD262182 FKZ262182 FUV262182 GER262182 GON262182 GYJ262182 HIF262182 HSB262182 IBX262182 ILT262182 IVP262182 JFL262182 JPH262182 JZD262182 KIZ262182 KSV262182 LCR262182 LMN262182 LWJ262182 MGF262182 MQB262182 MZX262182 NJT262182 NTP262182 ODL262182 ONH262182 OXD262182 PGZ262182 PQV262182 QAR262182 QKN262182 QUJ262182 REF262182 ROB262182 RXX262182 SHT262182 SRP262182 TBL262182 TLH262182 TVD262182 UEZ262182 UOV262182 UYR262182 VIN262182 VSJ262182 WCF262182 WMB262182 WVX262182 P327718 JL327718 TH327718 ADD327718 AMZ327718 AWV327718 BGR327718 BQN327718 CAJ327718 CKF327718 CUB327718 DDX327718 DNT327718 DXP327718 EHL327718 ERH327718 FBD327718 FKZ327718 FUV327718 GER327718 GON327718 GYJ327718 HIF327718 HSB327718 IBX327718 ILT327718 IVP327718 JFL327718 JPH327718 JZD327718 KIZ327718 KSV327718 LCR327718 LMN327718 LWJ327718 MGF327718 MQB327718 MZX327718 NJT327718 NTP327718 ODL327718 ONH327718 OXD327718 PGZ327718 PQV327718 QAR327718 QKN327718 QUJ327718 REF327718 ROB327718 RXX327718 SHT327718 SRP327718 TBL327718 TLH327718 TVD327718 UEZ327718 UOV327718 UYR327718 VIN327718 VSJ327718 WCF327718 WMB327718 WVX327718 P393254 JL393254 TH393254 ADD393254 AMZ393254 AWV393254 BGR393254 BQN393254 CAJ393254 CKF393254 CUB393254 DDX393254 DNT393254 DXP393254 EHL393254 ERH393254 FBD393254 FKZ393254 FUV393254 GER393254 GON393254 GYJ393254 HIF393254 HSB393254 IBX393254 ILT393254 IVP393254 JFL393254 JPH393254 JZD393254 KIZ393254 KSV393254 LCR393254 LMN393254 LWJ393254 MGF393254 MQB393254 MZX393254 NJT393254 NTP393254 ODL393254 ONH393254 OXD393254 PGZ393254 PQV393254 QAR393254 QKN393254 QUJ393254 REF393254 ROB393254 RXX393254 SHT393254 SRP393254 TBL393254 TLH393254 TVD393254 UEZ393254 UOV393254 UYR393254 VIN393254 VSJ393254 WCF393254 WMB393254 WVX393254 P458790 JL458790 TH458790 ADD458790 AMZ458790 AWV458790 BGR458790 BQN458790 CAJ458790 CKF458790 CUB458790 DDX458790 DNT458790 DXP458790 EHL458790 ERH458790 FBD458790 FKZ458790 FUV458790 GER458790 GON458790 GYJ458790 HIF458790 HSB458790 IBX458790 ILT458790 IVP458790 JFL458790 JPH458790 JZD458790 KIZ458790 KSV458790 LCR458790 LMN458790 LWJ458790 MGF458790 MQB458790 MZX458790 NJT458790 NTP458790 ODL458790 ONH458790 OXD458790 PGZ458790 PQV458790 QAR458790 QKN458790 QUJ458790 REF458790 ROB458790 RXX458790 SHT458790 SRP458790 TBL458790 TLH458790 TVD458790 UEZ458790 UOV458790 UYR458790 VIN458790 VSJ458790 WCF458790 WMB458790 WVX458790 P524326 JL524326 TH524326 ADD524326 AMZ524326 AWV524326 BGR524326 BQN524326 CAJ524326 CKF524326 CUB524326 DDX524326 DNT524326 DXP524326 EHL524326 ERH524326 FBD524326 FKZ524326 FUV524326 GER524326 GON524326 GYJ524326 HIF524326 HSB524326 IBX524326 ILT524326 IVP524326 JFL524326 JPH524326 JZD524326 KIZ524326 KSV524326 LCR524326 LMN524326 LWJ524326 MGF524326 MQB524326 MZX524326 NJT524326 NTP524326 ODL524326 ONH524326 OXD524326 PGZ524326 PQV524326 QAR524326 QKN524326 QUJ524326 REF524326 ROB524326 RXX524326 SHT524326 SRP524326 TBL524326 TLH524326 TVD524326 UEZ524326 UOV524326 UYR524326 VIN524326 VSJ524326 WCF524326 WMB524326 WVX524326 P589862 JL589862 TH589862 ADD589862 AMZ589862 AWV589862 BGR589862 BQN589862 CAJ589862 CKF589862 CUB589862 DDX589862 DNT589862 DXP589862 EHL589862 ERH589862 FBD589862 FKZ589862 FUV589862 GER589862 GON589862 GYJ589862 HIF589862 HSB589862 IBX589862 ILT589862 IVP589862 JFL589862 JPH589862 JZD589862 KIZ589862 KSV589862 LCR589862 LMN589862 LWJ589862 MGF589862 MQB589862 MZX589862 NJT589862 NTP589862 ODL589862 ONH589862 OXD589862 PGZ589862 PQV589862 QAR589862 QKN589862 QUJ589862 REF589862 ROB589862 RXX589862 SHT589862 SRP589862 TBL589862 TLH589862 TVD589862 UEZ589862 UOV589862 UYR589862 VIN589862 VSJ589862 WCF589862 WMB589862 WVX589862 P655398 JL655398 TH655398 ADD655398 AMZ655398 AWV655398 BGR655398 BQN655398 CAJ655398 CKF655398 CUB655398 DDX655398 DNT655398 DXP655398 EHL655398 ERH655398 FBD655398 FKZ655398 FUV655398 GER655398 GON655398 GYJ655398 HIF655398 HSB655398 IBX655398 ILT655398 IVP655398 JFL655398 JPH655398 JZD655398 KIZ655398 KSV655398 LCR655398 LMN655398 LWJ655398 MGF655398 MQB655398 MZX655398 NJT655398 NTP655398 ODL655398 ONH655398 OXD655398 PGZ655398 PQV655398 QAR655398 QKN655398 QUJ655398 REF655398 ROB655398 RXX655398 SHT655398 SRP655398 TBL655398 TLH655398 TVD655398 UEZ655398 UOV655398 UYR655398 VIN655398 VSJ655398 WCF655398 WMB655398 WVX655398 P720934 JL720934 TH720934 ADD720934 AMZ720934 AWV720934 BGR720934 BQN720934 CAJ720934 CKF720934 CUB720934 DDX720934 DNT720934 DXP720934 EHL720934 ERH720934 FBD720934 FKZ720934 FUV720934 GER720934 GON720934 GYJ720934 HIF720934 HSB720934 IBX720934 ILT720934 IVP720934 JFL720934 JPH720934 JZD720934 KIZ720934 KSV720934 LCR720934 LMN720934 LWJ720934 MGF720934 MQB720934 MZX720934 NJT720934 NTP720934 ODL720934 ONH720934 OXD720934 PGZ720934 PQV720934 QAR720934 QKN720934 QUJ720934 REF720934 ROB720934 RXX720934 SHT720934 SRP720934 TBL720934 TLH720934 TVD720934 UEZ720934 UOV720934 UYR720934 VIN720934 VSJ720934 WCF720934 WMB720934 WVX720934 P786470 JL786470 TH786470 ADD786470 AMZ786470 AWV786470 BGR786470 BQN786470 CAJ786470 CKF786470 CUB786470 DDX786470 DNT786470 DXP786470 EHL786470 ERH786470 FBD786470 FKZ786470 FUV786470 GER786470 GON786470 GYJ786470 HIF786470 HSB786470 IBX786470 ILT786470 IVP786470 JFL786470 JPH786470 JZD786470 KIZ786470 KSV786470 LCR786470 LMN786470 LWJ786470 MGF786470 MQB786470 MZX786470 NJT786470 NTP786470 ODL786470 ONH786470 OXD786470 PGZ786470 PQV786470 QAR786470 QKN786470 QUJ786470 REF786470 ROB786470 RXX786470 SHT786470 SRP786470 TBL786470 TLH786470 TVD786470 UEZ786470 UOV786470 UYR786470 VIN786470 VSJ786470 WCF786470 WMB786470 WVX786470 P852006 JL852006 TH852006 ADD852006 AMZ852006 AWV852006 BGR852006 BQN852006 CAJ852006 CKF852006 CUB852006 DDX852006 DNT852006 DXP852006 EHL852006 ERH852006 FBD852006 FKZ852006 FUV852006 GER852006 GON852006 GYJ852006 HIF852006 HSB852006 IBX852006 ILT852006 IVP852006 JFL852006 JPH852006 JZD852006 KIZ852006 KSV852006 LCR852006 LMN852006 LWJ852006 MGF852006 MQB852006 MZX852006 NJT852006 NTP852006 ODL852006 ONH852006 OXD852006 PGZ852006 PQV852006 QAR852006 QKN852006 QUJ852006 REF852006 ROB852006 RXX852006 SHT852006 SRP852006 TBL852006 TLH852006 TVD852006 UEZ852006 UOV852006 UYR852006 VIN852006 VSJ852006 WCF852006 WMB852006 WVX852006 P917542 JL917542 TH917542 ADD917542 AMZ917542 AWV917542 BGR917542 BQN917542 CAJ917542 CKF917542 CUB917542 DDX917542 DNT917542 DXP917542 EHL917542 ERH917542 FBD917542 FKZ917542 FUV917542 GER917542 GON917542 GYJ917542 HIF917542 HSB917542 IBX917542 ILT917542 IVP917542 JFL917542 JPH917542 JZD917542 KIZ917542 KSV917542 LCR917542 LMN917542 LWJ917542 MGF917542 MQB917542 MZX917542 NJT917542 NTP917542 ODL917542 ONH917542 OXD917542 PGZ917542 PQV917542 QAR917542 QKN917542 QUJ917542 REF917542 ROB917542 RXX917542 SHT917542 SRP917542 TBL917542 TLH917542 TVD917542 UEZ917542 UOV917542 UYR917542 VIN917542 VSJ917542 WCF917542 WMB917542 WVX917542 P983078 JL983078 TH983078 ADD983078 AMZ983078 AWV983078 BGR983078 BQN983078 CAJ983078 CKF983078 CUB983078 DDX983078 DNT983078 DXP983078 EHL983078 ERH983078 FBD983078 FKZ983078 FUV983078 GER983078 GON983078 GYJ983078 HIF983078 HSB983078 IBX983078 ILT983078 IVP983078 JFL983078 JPH983078 JZD983078 KIZ983078 KSV983078 LCR983078 LMN983078 LWJ983078 MGF983078 MQB983078 MZX983078 NJT983078 NTP983078 ODL983078 ONH983078 OXD983078 PGZ983078 PQV983078 QAR983078 QKN983078 QUJ983078 REF983078 ROB983078 RXX983078 SHT983078 SRP983078 TBL983078 TLH983078 TVD983078 UEZ983078 UOV983078 UYR983078 VIN983078 VSJ983078 WCF983078 WMB983078 WVX983078 P35 JL35 TH35 ADD35 AMZ35 AWV35 BGR35 BQN35 CAJ35 CKF35 CUB35 DDX35 DNT35 DXP35 EHL35 ERH35 FBD35 FKZ35 FUV35 GER35 GON35 GYJ35 HIF35 HSB35 IBX35 ILT35 IVP35 JFL35 JPH35 JZD35 KIZ35 KSV35 LCR35 LMN35 LWJ35 MGF35 MQB35 MZX35 NJT35 NTP35 ODL35 ONH35 OXD35 PGZ35 PQV35 QAR35 QKN35 QUJ35 REF35 ROB35 RXX35 SHT35 SRP35 TBL35 TLH35 TVD35 UEZ35 UOV35 UYR35 VIN35 VSJ35 WCF35 WMB35 WVX35 P65571 JL65571 TH65571 ADD65571 AMZ65571 AWV65571 BGR65571 BQN65571 CAJ65571 CKF65571 CUB65571 DDX65571 DNT65571 DXP65571 EHL65571 ERH65571 FBD65571 FKZ65571 FUV65571 GER65571 GON65571 GYJ65571 HIF65571 HSB65571 IBX65571 ILT65571 IVP65571 JFL65571 JPH65571 JZD65571 KIZ65571 KSV65571 LCR65571 LMN65571 LWJ65571 MGF65571 MQB65571 MZX65571 NJT65571 NTP65571 ODL65571 ONH65571 OXD65571 PGZ65571 PQV65571 QAR65571 QKN65571 QUJ65571 REF65571 ROB65571 RXX65571 SHT65571 SRP65571 TBL65571 TLH65571 TVD65571 UEZ65571 UOV65571 UYR65571 VIN65571 VSJ65571 WCF65571 WMB65571 WVX65571 P131107 JL131107 TH131107 ADD131107 AMZ131107 AWV131107 BGR131107 BQN131107 CAJ131107 CKF131107 CUB131107 DDX131107 DNT131107 DXP131107 EHL131107 ERH131107 FBD131107 FKZ131107 FUV131107 GER131107 GON131107 GYJ131107 HIF131107 HSB131107 IBX131107 ILT131107 IVP131107 JFL131107 JPH131107 JZD131107 KIZ131107 KSV131107 LCR131107 LMN131107 LWJ131107 MGF131107 MQB131107 MZX131107 NJT131107 NTP131107 ODL131107 ONH131107 OXD131107 PGZ131107 PQV131107 QAR131107 QKN131107 QUJ131107 REF131107 ROB131107 RXX131107 SHT131107 SRP131107 TBL131107 TLH131107 TVD131107 UEZ131107 UOV131107 UYR131107 VIN131107 VSJ131107 WCF131107 WMB131107 WVX131107 P196643 JL196643 TH196643 ADD196643 AMZ196643 AWV196643 BGR196643 BQN196643 CAJ196643 CKF196643 CUB196643 DDX196643 DNT196643 DXP196643 EHL196643 ERH196643 FBD196643 FKZ196643 FUV196643 GER196643 GON196643 GYJ196643 HIF196643 HSB196643 IBX196643 ILT196643 IVP196643 JFL196643 JPH196643 JZD196643 KIZ196643 KSV196643 LCR196643 LMN196643 LWJ196643 MGF196643 MQB196643 MZX196643 NJT196643 NTP196643 ODL196643 ONH196643 OXD196643 PGZ196643 PQV196643 QAR196643 QKN196643 QUJ196643 REF196643 ROB196643 RXX196643 SHT196643 SRP196643 TBL196643 TLH196643 TVD196643 UEZ196643 UOV196643 UYR196643 VIN196643 VSJ196643 WCF196643 WMB196643 WVX196643 P262179 JL262179 TH262179 ADD262179 AMZ262179 AWV262179 BGR262179 BQN262179 CAJ262179 CKF262179 CUB262179 DDX262179 DNT262179 DXP262179 EHL262179 ERH262179 FBD262179 FKZ262179 FUV262179 GER262179 GON262179 GYJ262179 HIF262179 HSB262179 IBX262179 ILT262179 IVP262179 JFL262179 JPH262179 JZD262179 KIZ262179 KSV262179 LCR262179 LMN262179 LWJ262179 MGF262179 MQB262179 MZX262179 NJT262179 NTP262179 ODL262179 ONH262179 OXD262179 PGZ262179 PQV262179 QAR262179 QKN262179 QUJ262179 REF262179 ROB262179 RXX262179 SHT262179 SRP262179 TBL262179 TLH262179 TVD262179 UEZ262179 UOV262179 UYR262179 VIN262179 VSJ262179 WCF262179 WMB262179 WVX262179 P327715 JL327715 TH327715 ADD327715 AMZ327715 AWV327715 BGR327715 BQN327715 CAJ327715 CKF327715 CUB327715 DDX327715 DNT327715 DXP327715 EHL327715 ERH327715 FBD327715 FKZ327715 FUV327715 GER327715 GON327715 GYJ327715 HIF327715 HSB327715 IBX327715 ILT327715 IVP327715 JFL327715 JPH327715 JZD327715 KIZ327715 KSV327715 LCR327715 LMN327715 LWJ327715 MGF327715 MQB327715 MZX327715 NJT327715 NTP327715 ODL327715 ONH327715 OXD327715 PGZ327715 PQV327715 QAR327715 QKN327715 QUJ327715 REF327715 ROB327715 RXX327715 SHT327715 SRP327715 TBL327715 TLH327715 TVD327715 UEZ327715 UOV327715 UYR327715 VIN327715 VSJ327715 WCF327715 WMB327715 WVX327715 P393251 JL393251 TH393251 ADD393251 AMZ393251 AWV393251 BGR393251 BQN393251 CAJ393251 CKF393251 CUB393251 DDX393251 DNT393251 DXP393251 EHL393251 ERH393251 FBD393251 FKZ393251 FUV393251 GER393251 GON393251 GYJ393251 HIF393251 HSB393251 IBX393251 ILT393251 IVP393251 JFL393251 JPH393251 JZD393251 KIZ393251 KSV393251 LCR393251 LMN393251 LWJ393251 MGF393251 MQB393251 MZX393251 NJT393251 NTP393251 ODL393251 ONH393251 OXD393251 PGZ393251 PQV393251 QAR393251 QKN393251 QUJ393251 REF393251 ROB393251 RXX393251 SHT393251 SRP393251 TBL393251 TLH393251 TVD393251 UEZ393251 UOV393251 UYR393251 VIN393251 VSJ393251 WCF393251 WMB393251 WVX393251 P458787 JL458787 TH458787 ADD458787 AMZ458787 AWV458787 BGR458787 BQN458787 CAJ458787 CKF458787 CUB458787 DDX458787 DNT458787 DXP458787 EHL458787 ERH458787 FBD458787 FKZ458787 FUV458787 GER458787 GON458787 GYJ458787 HIF458787 HSB458787 IBX458787 ILT458787 IVP458787 JFL458787 JPH458787 JZD458787 KIZ458787 KSV458787 LCR458787 LMN458787 LWJ458787 MGF458787 MQB458787 MZX458787 NJT458787 NTP458787 ODL458787 ONH458787 OXD458787 PGZ458787 PQV458787 QAR458787 QKN458787 QUJ458787 REF458787 ROB458787 RXX458787 SHT458787 SRP458787 TBL458787 TLH458787 TVD458787 UEZ458787 UOV458787 UYR458787 VIN458787 VSJ458787 WCF458787 WMB458787 WVX458787 P524323 JL524323 TH524323 ADD524323 AMZ524323 AWV524323 BGR524323 BQN524323 CAJ524323 CKF524323 CUB524323 DDX524323 DNT524323 DXP524323 EHL524323 ERH524323 FBD524323 FKZ524323 FUV524323 GER524323 GON524323 GYJ524323 HIF524323 HSB524323 IBX524323 ILT524323 IVP524323 JFL524323 JPH524323 JZD524323 KIZ524323 KSV524323 LCR524323 LMN524323 LWJ524323 MGF524323 MQB524323 MZX524323 NJT524323 NTP524323 ODL524323 ONH524323 OXD524323 PGZ524323 PQV524323 QAR524323 QKN524323 QUJ524323 REF524323 ROB524323 RXX524323 SHT524323 SRP524323 TBL524323 TLH524323 TVD524323 UEZ524323 UOV524323 UYR524323 VIN524323 VSJ524323 WCF524323 WMB524323 WVX524323 P589859 JL589859 TH589859 ADD589859 AMZ589859 AWV589859 BGR589859 BQN589859 CAJ589859 CKF589859 CUB589859 DDX589859 DNT589859 DXP589859 EHL589859 ERH589859 FBD589859 FKZ589859 FUV589859 GER589859 GON589859 GYJ589859 HIF589859 HSB589859 IBX589859 ILT589859 IVP589859 JFL589859 JPH589859 JZD589859 KIZ589859 KSV589859 LCR589859 LMN589859 LWJ589859 MGF589859 MQB589859 MZX589859 NJT589859 NTP589859 ODL589859 ONH589859 OXD589859 PGZ589859 PQV589859 QAR589859 QKN589859 QUJ589859 REF589859 ROB589859 RXX589859 SHT589859 SRP589859 TBL589859 TLH589859 TVD589859 UEZ589859 UOV589859 UYR589859 VIN589859 VSJ589859 WCF589859 WMB589859 WVX589859 P655395 JL655395 TH655395 ADD655395 AMZ655395 AWV655395 BGR655395 BQN655395 CAJ655395 CKF655395 CUB655395 DDX655395 DNT655395 DXP655395 EHL655395 ERH655395 FBD655395 FKZ655395 FUV655395 GER655395 GON655395 GYJ655395 HIF655395 HSB655395 IBX655395 ILT655395 IVP655395 JFL655395 JPH655395 JZD655395 KIZ655395 KSV655395 LCR655395 LMN655395 LWJ655395 MGF655395 MQB655395 MZX655395 NJT655395 NTP655395 ODL655395 ONH655395 OXD655395 PGZ655395 PQV655395 QAR655395 QKN655395 QUJ655395 REF655395 ROB655395 RXX655395 SHT655395 SRP655395 TBL655395 TLH655395 TVD655395 UEZ655395 UOV655395 UYR655395 VIN655395 VSJ655395 WCF655395 WMB655395 WVX655395 P720931 JL720931 TH720931 ADD720931 AMZ720931 AWV720931 BGR720931 BQN720931 CAJ720931 CKF720931 CUB720931 DDX720931 DNT720931 DXP720931 EHL720931 ERH720931 FBD720931 FKZ720931 FUV720931 GER720931 GON720931 GYJ720931 HIF720931 HSB720931 IBX720931 ILT720931 IVP720931 JFL720931 JPH720931 JZD720931 KIZ720931 KSV720931 LCR720931 LMN720931 LWJ720931 MGF720931 MQB720931 MZX720931 NJT720931 NTP720931 ODL720931 ONH720931 OXD720931 PGZ720931 PQV720931 QAR720931 QKN720931 QUJ720931 REF720931 ROB720931 RXX720931 SHT720931 SRP720931 TBL720931 TLH720931 TVD720931 UEZ720931 UOV720931 UYR720931 VIN720931 VSJ720931 WCF720931 WMB720931 WVX720931 P786467 JL786467 TH786467 ADD786467 AMZ786467 AWV786467 BGR786467 BQN786467 CAJ786467 CKF786467 CUB786467 DDX786467 DNT786467 DXP786467 EHL786467 ERH786467 FBD786467 FKZ786467 FUV786467 GER786467 GON786467 GYJ786467 HIF786467 HSB786467 IBX786467 ILT786467 IVP786467 JFL786467 JPH786467 JZD786467 KIZ786467 KSV786467 LCR786467 LMN786467 LWJ786467 MGF786467 MQB786467 MZX786467 NJT786467 NTP786467 ODL786467 ONH786467 OXD786467 PGZ786467 PQV786467 QAR786467 QKN786467 QUJ786467 REF786467 ROB786467 RXX786467 SHT786467 SRP786467 TBL786467 TLH786467 TVD786467 UEZ786467 UOV786467 UYR786467 VIN786467 VSJ786467 WCF786467 WMB786467 WVX786467 P852003 JL852003 TH852003 ADD852003 AMZ852003 AWV852003 BGR852003 BQN852003 CAJ852003 CKF852003 CUB852003 DDX852003 DNT852003 DXP852003 EHL852003 ERH852003 FBD852003 FKZ852003 FUV852003 GER852003 GON852003 GYJ852003 HIF852003 HSB852003 IBX852003 ILT852003 IVP852003 JFL852003 JPH852003 JZD852003 KIZ852003 KSV852003 LCR852003 LMN852003 LWJ852003 MGF852003 MQB852003 MZX852003 NJT852003 NTP852003 ODL852003 ONH852003 OXD852003 PGZ852003 PQV852003 QAR852003 QKN852003 QUJ852003 REF852003 ROB852003 RXX852003 SHT852003 SRP852003 TBL852003 TLH852003 TVD852003 UEZ852003 UOV852003 UYR852003 VIN852003 VSJ852003 WCF852003 WMB852003 WVX852003 P917539 JL917539 TH917539 ADD917539 AMZ917539 AWV917539 BGR917539 BQN917539 CAJ917539 CKF917539 CUB917539 DDX917539 DNT917539 DXP917539 EHL917539 ERH917539 FBD917539 FKZ917539 FUV917539 GER917539 GON917539 GYJ917539 HIF917539 HSB917539 IBX917539 ILT917539 IVP917539 JFL917539 JPH917539 JZD917539 KIZ917539 KSV917539 LCR917539 LMN917539 LWJ917539 MGF917539 MQB917539 MZX917539 NJT917539 NTP917539 ODL917539 ONH917539 OXD917539 PGZ917539 PQV917539 QAR917539 QKN917539 QUJ917539 REF917539 ROB917539 RXX917539 SHT917539 SRP917539 TBL917539 TLH917539 TVD917539 UEZ917539 UOV917539 UYR917539 VIN917539 VSJ917539 WCF917539 WMB917539 WVX917539 P983075 JL983075 TH983075 ADD983075 AMZ983075 AWV983075 BGR983075 BQN983075 CAJ983075 CKF983075 CUB983075 DDX983075 DNT983075 DXP983075 EHL983075 ERH983075 FBD983075 FKZ983075 FUV983075 GER983075 GON983075 GYJ983075 HIF983075 HSB983075 IBX983075 ILT983075 IVP983075 JFL983075 JPH983075 JZD983075 KIZ983075 KSV983075 LCR983075 LMN983075 LWJ983075 MGF983075 MQB983075 MZX983075 NJT983075 NTP983075 ODL983075 ONH983075 OXD983075 PGZ983075 PQV983075 QAR983075 QKN983075 QUJ983075 REF983075 ROB983075 RXX983075 SHT983075 SRP983075 TBL983075 TLH983075 TVD983075 UEZ983075 UOV983075 UYR983075 VIN983075 VSJ983075 WCF983075 WMB983075 WVX983075 P32 JL32 TH32 ADD32 AMZ32 AWV32 BGR32 BQN32 CAJ32 CKF32 CUB32 DDX32 DNT32 DXP32 EHL32 ERH32 FBD32 FKZ32 FUV32 GER32 GON32 GYJ32 HIF32 HSB32 IBX32 ILT32 IVP32 JFL32 JPH32 JZD32 KIZ32 KSV32 LCR32 LMN32 LWJ32 MGF32 MQB32 MZX32 NJT32 NTP32 ODL32 ONH32 OXD32 PGZ32 PQV32 QAR32 QKN32 QUJ32 REF32 ROB32 RXX32 SHT32 SRP32 TBL32 TLH32 TVD32 UEZ32 UOV32 UYR32 VIN32 VSJ32 WCF32 WMB32 WVX32 P65568 JL65568 TH65568 ADD65568 AMZ65568 AWV65568 BGR65568 BQN65568 CAJ65568 CKF65568 CUB65568 DDX65568 DNT65568 DXP65568 EHL65568 ERH65568 FBD65568 FKZ65568 FUV65568 GER65568 GON65568 GYJ65568 HIF65568 HSB65568 IBX65568 ILT65568 IVP65568 JFL65568 JPH65568 JZD65568 KIZ65568 KSV65568 LCR65568 LMN65568 LWJ65568 MGF65568 MQB65568 MZX65568 NJT65568 NTP65568 ODL65568 ONH65568 OXD65568 PGZ65568 PQV65568 QAR65568 QKN65568 QUJ65568 REF65568 ROB65568 RXX65568 SHT65568 SRP65568 TBL65568 TLH65568 TVD65568 UEZ65568 UOV65568 UYR65568 VIN65568 VSJ65568 WCF65568 WMB65568 WVX65568 P131104 JL131104 TH131104 ADD131104 AMZ131104 AWV131104 BGR131104 BQN131104 CAJ131104 CKF131104 CUB131104 DDX131104 DNT131104 DXP131104 EHL131104 ERH131104 FBD131104 FKZ131104 FUV131104 GER131104 GON131104 GYJ131104 HIF131104 HSB131104 IBX131104 ILT131104 IVP131104 JFL131104 JPH131104 JZD131104 KIZ131104 KSV131104 LCR131104 LMN131104 LWJ131104 MGF131104 MQB131104 MZX131104 NJT131104 NTP131104 ODL131104 ONH131104 OXD131104 PGZ131104 PQV131104 QAR131104 QKN131104 QUJ131104 REF131104 ROB131104 RXX131104 SHT131104 SRP131104 TBL131104 TLH131104 TVD131104 UEZ131104 UOV131104 UYR131104 VIN131104 VSJ131104 WCF131104 WMB131104 WVX131104 P196640 JL196640 TH196640 ADD196640 AMZ196640 AWV196640 BGR196640 BQN196640 CAJ196640 CKF196640 CUB196640 DDX196640 DNT196640 DXP196640 EHL196640 ERH196640 FBD196640 FKZ196640 FUV196640 GER196640 GON196640 GYJ196640 HIF196640 HSB196640 IBX196640 ILT196640 IVP196640 JFL196640 JPH196640 JZD196640 KIZ196640 KSV196640 LCR196640 LMN196640 LWJ196640 MGF196640 MQB196640 MZX196640 NJT196640 NTP196640 ODL196640 ONH196640 OXD196640 PGZ196640 PQV196640 QAR196640 QKN196640 QUJ196640 REF196640 ROB196640 RXX196640 SHT196640 SRP196640 TBL196640 TLH196640 TVD196640 UEZ196640 UOV196640 UYR196640 VIN196640 VSJ196640 WCF196640 WMB196640 WVX196640 P262176 JL262176 TH262176 ADD262176 AMZ262176 AWV262176 BGR262176 BQN262176 CAJ262176 CKF262176 CUB262176 DDX262176 DNT262176 DXP262176 EHL262176 ERH262176 FBD262176 FKZ262176 FUV262176 GER262176 GON262176 GYJ262176 HIF262176 HSB262176 IBX262176 ILT262176 IVP262176 JFL262176 JPH262176 JZD262176 KIZ262176 KSV262176 LCR262176 LMN262176 LWJ262176 MGF262176 MQB262176 MZX262176 NJT262176 NTP262176 ODL262176 ONH262176 OXD262176 PGZ262176 PQV262176 QAR262176 QKN262176 QUJ262176 REF262176 ROB262176 RXX262176 SHT262176 SRP262176 TBL262176 TLH262176 TVD262176 UEZ262176 UOV262176 UYR262176 VIN262176 VSJ262176 WCF262176 WMB262176 WVX262176 P327712 JL327712 TH327712 ADD327712 AMZ327712 AWV327712 BGR327712 BQN327712 CAJ327712 CKF327712 CUB327712 DDX327712 DNT327712 DXP327712 EHL327712 ERH327712 FBD327712 FKZ327712 FUV327712 GER327712 GON327712 GYJ327712 HIF327712 HSB327712 IBX327712 ILT327712 IVP327712 JFL327712 JPH327712 JZD327712 KIZ327712 KSV327712 LCR327712 LMN327712 LWJ327712 MGF327712 MQB327712 MZX327712 NJT327712 NTP327712 ODL327712 ONH327712 OXD327712 PGZ327712 PQV327712 QAR327712 QKN327712 QUJ327712 REF327712 ROB327712 RXX327712 SHT327712 SRP327712 TBL327712 TLH327712 TVD327712 UEZ327712 UOV327712 UYR327712 VIN327712 VSJ327712 WCF327712 WMB327712 WVX327712 P393248 JL393248 TH393248 ADD393248 AMZ393248 AWV393248 BGR393248 BQN393248 CAJ393248 CKF393248 CUB393248 DDX393248 DNT393248 DXP393248 EHL393248 ERH393248 FBD393248 FKZ393248 FUV393248 GER393248 GON393248 GYJ393248 HIF393248 HSB393248 IBX393248 ILT393248 IVP393248 JFL393248 JPH393248 JZD393248 KIZ393248 KSV393248 LCR393248 LMN393248 LWJ393248 MGF393248 MQB393248 MZX393248 NJT393248 NTP393248 ODL393248 ONH393248 OXD393248 PGZ393248 PQV393248 QAR393248 QKN393248 QUJ393248 REF393248 ROB393248 RXX393248 SHT393248 SRP393248 TBL393248 TLH393248 TVD393248 UEZ393248 UOV393248 UYR393248 VIN393248 VSJ393248 WCF393248 WMB393248 WVX393248 P458784 JL458784 TH458784 ADD458784 AMZ458784 AWV458784 BGR458784 BQN458784 CAJ458784 CKF458784 CUB458784 DDX458784 DNT458784 DXP458784 EHL458784 ERH458784 FBD458784 FKZ458784 FUV458784 GER458784 GON458784 GYJ458784 HIF458784 HSB458784 IBX458784 ILT458784 IVP458784 JFL458784 JPH458784 JZD458784 KIZ458784 KSV458784 LCR458784 LMN458784 LWJ458784 MGF458784 MQB458784 MZX458784 NJT458784 NTP458784 ODL458784 ONH458784 OXD458784 PGZ458784 PQV458784 QAR458784 QKN458784 QUJ458784 REF458784 ROB458784 RXX458784 SHT458784 SRP458784 TBL458784 TLH458784 TVD458784 UEZ458784 UOV458784 UYR458784 VIN458784 VSJ458784 WCF458784 WMB458784 WVX458784 P524320 JL524320 TH524320 ADD524320 AMZ524320 AWV524320 BGR524320 BQN524320 CAJ524320 CKF524320 CUB524320 DDX524320 DNT524320 DXP524320 EHL524320 ERH524320 FBD524320 FKZ524320 FUV524320 GER524320 GON524320 GYJ524320 HIF524320 HSB524320 IBX524320 ILT524320 IVP524320 JFL524320 JPH524320 JZD524320 KIZ524320 KSV524320 LCR524320 LMN524320 LWJ524320 MGF524320 MQB524320 MZX524320 NJT524320 NTP524320 ODL524320 ONH524320 OXD524320 PGZ524320 PQV524320 QAR524320 QKN524320 QUJ524320 REF524320 ROB524320 RXX524320 SHT524320 SRP524320 TBL524320 TLH524320 TVD524320 UEZ524320 UOV524320 UYR524320 VIN524320 VSJ524320 WCF524320 WMB524320 WVX524320 P589856 JL589856 TH589856 ADD589856 AMZ589856 AWV589856 BGR589856 BQN589856 CAJ589856 CKF589856 CUB589856 DDX589856 DNT589856 DXP589856 EHL589856 ERH589856 FBD589856 FKZ589856 FUV589856 GER589856 GON589856 GYJ589856 HIF589856 HSB589856 IBX589856 ILT589856 IVP589856 JFL589856 JPH589856 JZD589856 KIZ589856 KSV589856 LCR589856 LMN589856 LWJ589856 MGF589856 MQB589856 MZX589856 NJT589856 NTP589856 ODL589856 ONH589856 OXD589856 PGZ589856 PQV589856 QAR589856 QKN589856 QUJ589856 REF589856 ROB589856 RXX589856 SHT589856 SRP589856 TBL589856 TLH589856 TVD589856 UEZ589856 UOV589856 UYR589856 VIN589856 VSJ589856 WCF589856 WMB589856 WVX589856 P655392 JL655392 TH655392 ADD655392 AMZ655392 AWV655392 BGR655392 BQN655392 CAJ655392 CKF655392 CUB655392 DDX655392 DNT655392 DXP655392 EHL655392 ERH655392 FBD655392 FKZ655392 FUV655392 GER655392 GON655392 GYJ655392 HIF655392 HSB655392 IBX655392 ILT655392 IVP655392 JFL655392 JPH655392 JZD655392 KIZ655392 KSV655392 LCR655392 LMN655392 LWJ655392 MGF655392 MQB655392 MZX655392 NJT655392 NTP655392 ODL655392 ONH655392 OXD655392 PGZ655392 PQV655392 QAR655392 QKN655392 QUJ655392 REF655392 ROB655392 RXX655392 SHT655392 SRP655392 TBL655392 TLH655392 TVD655392 UEZ655392 UOV655392 UYR655392 VIN655392 VSJ655392 WCF655392 WMB655392 WVX655392 P720928 JL720928 TH720928 ADD720928 AMZ720928 AWV720928 BGR720928 BQN720928 CAJ720928 CKF720928 CUB720928 DDX720928 DNT720928 DXP720928 EHL720928 ERH720928 FBD720928 FKZ720928 FUV720928 GER720928 GON720928 GYJ720928 HIF720928 HSB720928 IBX720928 ILT720928 IVP720928 JFL720928 JPH720928 JZD720928 KIZ720928 KSV720928 LCR720928 LMN720928 LWJ720928 MGF720928 MQB720928 MZX720928 NJT720928 NTP720928 ODL720928 ONH720928 OXD720928 PGZ720928 PQV720928 QAR720928 QKN720928 QUJ720928 REF720928 ROB720928 RXX720928 SHT720928 SRP720928 TBL720928 TLH720928 TVD720928 UEZ720928 UOV720928 UYR720928 VIN720928 VSJ720928 WCF720928 WMB720928 WVX720928 P786464 JL786464 TH786464 ADD786464 AMZ786464 AWV786464 BGR786464 BQN786464 CAJ786464 CKF786464 CUB786464 DDX786464 DNT786464 DXP786464 EHL786464 ERH786464 FBD786464 FKZ786464 FUV786464 GER786464 GON786464 GYJ786464 HIF786464 HSB786464 IBX786464 ILT786464 IVP786464 JFL786464 JPH786464 JZD786464 KIZ786464 KSV786464 LCR786464 LMN786464 LWJ786464 MGF786464 MQB786464 MZX786464 NJT786464 NTP786464 ODL786464 ONH786464 OXD786464 PGZ786464 PQV786464 QAR786464 QKN786464 QUJ786464 REF786464 ROB786464 RXX786464 SHT786464 SRP786464 TBL786464 TLH786464 TVD786464 UEZ786464 UOV786464 UYR786464 VIN786464 VSJ786464 WCF786464 WMB786464 WVX786464 P852000 JL852000 TH852000 ADD852000 AMZ852000 AWV852000 BGR852000 BQN852000 CAJ852000 CKF852000 CUB852000 DDX852000 DNT852000 DXP852000 EHL852000 ERH852000 FBD852000 FKZ852000 FUV852000 GER852000 GON852000 GYJ852000 HIF852000 HSB852000 IBX852000 ILT852000 IVP852000 JFL852000 JPH852000 JZD852000 KIZ852000 KSV852000 LCR852000 LMN852000 LWJ852000 MGF852000 MQB852000 MZX852000 NJT852000 NTP852000 ODL852000 ONH852000 OXD852000 PGZ852000 PQV852000 QAR852000 QKN852000 QUJ852000 REF852000 ROB852000 RXX852000 SHT852000 SRP852000 TBL852000 TLH852000 TVD852000 UEZ852000 UOV852000 UYR852000 VIN852000 VSJ852000 WCF852000 WMB852000 WVX852000 P917536 JL917536 TH917536 ADD917536 AMZ917536 AWV917536 BGR917536 BQN917536 CAJ917536 CKF917536 CUB917536 DDX917536 DNT917536 DXP917536 EHL917536 ERH917536 FBD917536 FKZ917536 FUV917536 GER917536 GON917536 GYJ917536 HIF917536 HSB917536 IBX917536 ILT917536 IVP917536 JFL917536 JPH917536 JZD917536 KIZ917536 KSV917536 LCR917536 LMN917536 LWJ917536 MGF917536 MQB917536 MZX917536 NJT917536 NTP917536 ODL917536 ONH917536 OXD917536 PGZ917536 PQV917536 QAR917536 QKN917536 QUJ917536 REF917536 ROB917536 RXX917536 SHT917536 SRP917536 TBL917536 TLH917536 TVD917536 UEZ917536 UOV917536 UYR917536 VIN917536 VSJ917536 WCF917536 WMB917536 WVX917536 P983072 JL983072 TH983072 ADD983072 AMZ983072 AWV983072 BGR983072 BQN983072 CAJ983072 CKF983072 CUB983072 DDX983072 DNT983072 DXP983072 EHL983072 ERH983072 FBD983072 FKZ983072 FUV983072 GER983072 GON983072 GYJ983072 HIF983072 HSB983072 IBX983072 ILT983072 IVP983072 JFL983072 JPH983072 JZD983072 KIZ983072 KSV983072 LCR983072 LMN983072 LWJ983072 MGF983072 MQB983072 MZX983072 NJT983072 NTP983072 ODL983072 ONH983072 OXD983072 PGZ983072 PQV983072 QAR983072 QKN983072 QUJ983072 REF983072 ROB983072 RXX983072 SHT983072 SRP983072 TBL983072 TLH983072 TVD983072 UEZ983072 UOV983072 UYR983072 VIN983072 VSJ983072 WCF983072 WMB983072 WVX983072 P29 JL29 TH29 ADD29 AMZ29 AWV29 BGR29 BQN29 CAJ29 CKF29 CUB29 DDX29 DNT29 DXP29 EHL29 ERH29 FBD29 FKZ29 FUV29 GER29 GON29 GYJ29 HIF29 HSB29 IBX29 ILT29 IVP29 JFL29 JPH29 JZD29 KIZ29 KSV29 LCR29 LMN29 LWJ29 MGF29 MQB29 MZX29 NJT29 NTP29 ODL29 ONH29 OXD29 PGZ29 PQV29 QAR29 QKN29 QUJ29 REF29 ROB29 RXX29 SHT29 SRP29 TBL29 TLH29 TVD29 UEZ29 UOV29 UYR29 VIN29 VSJ29 WCF29 WMB29 WVX29 P65565 JL65565 TH65565 ADD65565 AMZ65565 AWV65565 BGR65565 BQN65565 CAJ65565 CKF65565 CUB65565 DDX65565 DNT65565 DXP65565 EHL65565 ERH65565 FBD65565 FKZ65565 FUV65565 GER65565 GON65565 GYJ65565 HIF65565 HSB65565 IBX65565 ILT65565 IVP65565 JFL65565 JPH65565 JZD65565 KIZ65565 KSV65565 LCR65565 LMN65565 LWJ65565 MGF65565 MQB65565 MZX65565 NJT65565 NTP65565 ODL65565 ONH65565 OXD65565 PGZ65565 PQV65565 QAR65565 QKN65565 QUJ65565 REF65565 ROB65565 RXX65565 SHT65565 SRP65565 TBL65565 TLH65565 TVD65565 UEZ65565 UOV65565 UYR65565 VIN65565 VSJ65565 WCF65565 WMB65565 WVX65565 P131101 JL131101 TH131101 ADD131101 AMZ131101 AWV131101 BGR131101 BQN131101 CAJ131101 CKF131101 CUB131101 DDX131101 DNT131101 DXP131101 EHL131101 ERH131101 FBD131101 FKZ131101 FUV131101 GER131101 GON131101 GYJ131101 HIF131101 HSB131101 IBX131101 ILT131101 IVP131101 JFL131101 JPH131101 JZD131101 KIZ131101 KSV131101 LCR131101 LMN131101 LWJ131101 MGF131101 MQB131101 MZX131101 NJT131101 NTP131101 ODL131101 ONH131101 OXD131101 PGZ131101 PQV131101 QAR131101 QKN131101 QUJ131101 REF131101 ROB131101 RXX131101 SHT131101 SRP131101 TBL131101 TLH131101 TVD131101 UEZ131101 UOV131101 UYR131101 VIN131101 VSJ131101 WCF131101 WMB131101 WVX131101 P196637 JL196637 TH196637 ADD196637 AMZ196637 AWV196637 BGR196637 BQN196637 CAJ196637 CKF196637 CUB196637 DDX196637 DNT196637 DXP196637 EHL196637 ERH196637 FBD196637 FKZ196637 FUV196637 GER196637 GON196637 GYJ196637 HIF196637 HSB196637 IBX196637 ILT196637 IVP196637 JFL196637 JPH196637 JZD196637 KIZ196637 KSV196637 LCR196637 LMN196637 LWJ196637 MGF196637 MQB196637 MZX196637 NJT196637 NTP196637 ODL196637 ONH196637 OXD196637 PGZ196637 PQV196637 QAR196637 QKN196637 QUJ196637 REF196637 ROB196637 RXX196637 SHT196637 SRP196637 TBL196637 TLH196637 TVD196637 UEZ196637 UOV196637 UYR196637 VIN196637 VSJ196637 WCF196637 WMB196637 WVX196637 P262173 JL262173 TH262173 ADD262173 AMZ262173 AWV262173 BGR262173 BQN262173 CAJ262173 CKF262173 CUB262173 DDX262173 DNT262173 DXP262173 EHL262173 ERH262173 FBD262173 FKZ262173 FUV262173 GER262173 GON262173 GYJ262173 HIF262173 HSB262173 IBX262173 ILT262173 IVP262173 JFL262173 JPH262173 JZD262173 KIZ262173 KSV262173 LCR262173 LMN262173 LWJ262173 MGF262173 MQB262173 MZX262173 NJT262173 NTP262173 ODL262173 ONH262173 OXD262173 PGZ262173 PQV262173 QAR262173 QKN262173 QUJ262173 REF262173 ROB262173 RXX262173 SHT262173 SRP262173 TBL262173 TLH262173 TVD262173 UEZ262173 UOV262173 UYR262173 VIN262173 VSJ262173 WCF262173 WMB262173 WVX262173 P327709 JL327709 TH327709 ADD327709 AMZ327709 AWV327709 BGR327709 BQN327709 CAJ327709 CKF327709 CUB327709 DDX327709 DNT327709 DXP327709 EHL327709 ERH327709 FBD327709 FKZ327709 FUV327709 GER327709 GON327709 GYJ327709 HIF327709 HSB327709 IBX327709 ILT327709 IVP327709 JFL327709 JPH327709 JZD327709 KIZ327709 KSV327709 LCR327709 LMN327709 LWJ327709 MGF327709 MQB327709 MZX327709 NJT327709 NTP327709 ODL327709 ONH327709 OXD327709 PGZ327709 PQV327709 QAR327709 QKN327709 QUJ327709 REF327709 ROB327709 RXX327709 SHT327709 SRP327709 TBL327709 TLH327709 TVD327709 UEZ327709 UOV327709 UYR327709 VIN327709 VSJ327709 WCF327709 WMB327709 WVX327709 P393245 JL393245 TH393245 ADD393245 AMZ393245 AWV393245 BGR393245 BQN393245 CAJ393245 CKF393245 CUB393245 DDX393245 DNT393245 DXP393245 EHL393245 ERH393245 FBD393245 FKZ393245 FUV393245 GER393245 GON393245 GYJ393245 HIF393245 HSB393245 IBX393245 ILT393245 IVP393245 JFL393245 JPH393245 JZD393245 KIZ393245 KSV393245 LCR393245 LMN393245 LWJ393245 MGF393245 MQB393245 MZX393245 NJT393245 NTP393245 ODL393245 ONH393245 OXD393245 PGZ393245 PQV393245 QAR393245 QKN393245 QUJ393245 REF393245 ROB393245 RXX393245 SHT393245 SRP393245 TBL393245 TLH393245 TVD393245 UEZ393245 UOV393245 UYR393245 VIN393245 VSJ393245 WCF393245 WMB393245 WVX393245 P458781 JL458781 TH458781 ADD458781 AMZ458781 AWV458781 BGR458781 BQN458781 CAJ458781 CKF458781 CUB458781 DDX458781 DNT458781 DXP458781 EHL458781 ERH458781 FBD458781 FKZ458781 FUV458781 GER458781 GON458781 GYJ458781 HIF458781 HSB458781 IBX458781 ILT458781 IVP458781 JFL458781 JPH458781 JZD458781 KIZ458781 KSV458781 LCR458781 LMN458781 LWJ458781 MGF458781 MQB458781 MZX458781 NJT458781 NTP458781 ODL458781 ONH458781 OXD458781 PGZ458781 PQV458781 QAR458781 QKN458781 QUJ458781 REF458781 ROB458781 RXX458781 SHT458781 SRP458781 TBL458781 TLH458781 TVD458781 UEZ458781 UOV458781 UYR458781 VIN458781 VSJ458781 WCF458781 WMB458781 WVX458781 P524317 JL524317 TH524317 ADD524317 AMZ524317 AWV524317 BGR524317 BQN524317 CAJ524317 CKF524317 CUB524317 DDX524317 DNT524317 DXP524317 EHL524317 ERH524317 FBD524317 FKZ524317 FUV524317 GER524317 GON524317 GYJ524317 HIF524317 HSB524317 IBX524317 ILT524317 IVP524317 JFL524317 JPH524317 JZD524317 KIZ524317 KSV524317 LCR524317 LMN524317 LWJ524317 MGF524317 MQB524317 MZX524317 NJT524317 NTP524317 ODL524317 ONH524317 OXD524317 PGZ524317 PQV524317 QAR524317 QKN524317 QUJ524317 REF524317 ROB524317 RXX524317 SHT524317 SRP524317 TBL524317 TLH524317 TVD524317 UEZ524317 UOV524317 UYR524317 VIN524317 VSJ524317 WCF524317 WMB524317 WVX524317 P589853 JL589853 TH589853 ADD589853 AMZ589853 AWV589853 BGR589853 BQN589853 CAJ589853 CKF589853 CUB589853 DDX589853 DNT589853 DXP589853 EHL589853 ERH589853 FBD589853 FKZ589853 FUV589853 GER589853 GON589853 GYJ589853 HIF589853 HSB589853 IBX589853 ILT589853 IVP589853 JFL589853 JPH589853 JZD589853 KIZ589853 KSV589853 LCR589853 LMN589853 LWJ589853 MGF589853 MQB589853 MZX589853 NJT589853 NTP589853 ODL589853 ONH589853 OXD589853 PGZ589853 PQV589853 QAR589853 QKN589853 QUJ589853 REF589853 ROB589853 RXX589853 SHT589853 SRP589853 TBL589853 TLH589853 TVD589853 UEZ589853 UOV589853 UYR589853 VIN589853 VSJ589853 WCF589853 WMB589853 WVX589853 P655389 JL655389 TH655389 ADD655389 AMZ655389 AWV655389 BGR655389 BQN655389 CAJ655389 CKF655389 CUB655389 DDX655389 DNT655389 DXP655389 EHL655389 ERH655389 FBD655389 FKZ655389 FUV655389 GER655389 GON655389 GYJ655389 HIF655389 HSB655389 IBX655389 ILT655389 IVP655389 JFL655389 JPH655389 JZD655389 KIZ655389 KSV655389 LCR655389 LMN655389 LWJ655389 MGF655389 MQB655389 MZX655389 NJT655389 NTP655389 ODL655389 ONH655389 OXD655389 PGZ655389 PQV655389 QAR655389 QKN655389 QUJ655389 REF655389 ROB655389 RXX655389 SHT655389 SRP655389 TBL655389 TLH655389 TVD655389 UEZ655389 UOV655389 UYR655389 VIN655389 VSJ655389 WCF655389 WMB655389 WVX655389 P720925 JL720925 TH720925 ADD720925 AMZ720925 AWV720925 BGR720925 BQN720925 CAJ720925 CKF720925 CUB720925 DDX720925 DNT720925 DXP720925 EHL720925 ERH720925 FBD720925 FKZ720925 FUV720925 GER720925 GON720925 GYJ720925 HIF720925 HSB720925 IBX720925 ILT720925 IVP720925 JFL720925 JPH720925 JZD720925 KIZ720925 KSV720925 LCR720925 LMN720925 LWJ720925 MGF720925 MQB720925 MZX720925 NJT720925 NTP720925 ODL720925 ONH720925 OXD720925 PGZ720925 PQV720925 QAR720925 QKN720925 QUJ720925 REF720925 ROB720925 RXX720925 SHT720925 SRP720925 TBL720925 TLH720925 TVD720925 UEZ720925 UOV720925 UYR720925 VIN720925 VSJ720925 WCF720925 WMB720925 WVX720925 P786461 JL786461 TH786461 ADD786461 AMZ786461 AWV786461 BGR786461 BQN786461 CAJ786461 CKF786461 CUB786461 DDX786461 DNT786461 DXP786461 EHL786461 ERH786461 FBD786461 FKZ786461 FUV786461 GER786461 GON786461 GYJ786461 HIF786461 HSB786461 IBX786461 ILT786461 IVP786461 JFL786461 JPH786461 JZD786461 KIZ786461 KSV786461 LCR786461 LMN786461 LWJ786461 MGF786461 MQB786461 MZX786461 NJT786461 NTP786461 ODL786461 ONH786461 OXD786461 PGZ786461 PQV786461 QAR786461 QKN786461 QUJ786461 REF786461 ROB786461 RXX786461 SHT786461 SRP786461 TBL786461 TLH786461 TVD786461 UEZ786461 UOV786461 UYR786461 VIN786461 VSJ786461 WCF786461 WMB786461 WVX786461 P851997 JL851997 TH851997 ADD851997 AMZ851997 AWV851997 BGR851997 BQN851997 CAJ851997 CKF851997 CUB851997 DDX851997 DNT851997 DXP851997 EHL851997 ERH851997 FBD851997 FKZ851997 FUV851997 GER851997 GON851997 GYJ851997 HIF851997 HSB851997 IBX851997 ILT851997 IVP851997 JFL851997 JPH851997 JZD851997 KIZ851997 KSV851997 LCR851997 LMN851997 LWJ851997 MGF851997 MQB851997 MZX851997 NJT851997 NTP851997 ODL851997 ONH851997 OXD851997 PGZ851997 PQV851997 QAR851997 QKN851997 QUJ851997 REF851997 ROB851997 RXX851997 SHT851997 SRP851997 TBL851997 TLH851997 TVD851997 UEZ851997 UOV851997 UYR851997 VIN851997 VSJ851997 WCF851997 WMB851997 WVX851997 P917533 JL917533 TH917533 ADD917533 AMZ917533 AWV917533 BGR917533 BQN917533 CAJ917533 CKF917533 CUB917533 DDX917533 DNT917533 DXP917533 EHL917533 ERH917533 FBD917533 FKZ917533 FUV917533 GER917533 GON917533 GYJ917533 HIF917533 HSB917533 IBX917533 ILT917533 IVP917533 JFL917533 JPH917533 JZD917533 KIZ917533 KSV917533 LCR917533 LMN917533 LWJ917533 MGF917533 MQB917533 MZX917533 NJT917533 NTP917533 ODL917533 ONH917533 OXD917533 PGZ917533 PQV917533 QAR917533 QKN917533 QUJ917533 REF917533 ROB917533 RXX917533 SHT917533 SRP917533 TBL917533 TLH917533 TVD917533 UEZ917533 UOV917533 UYR917533 VIN917533 VSJ917533 WCF917533 WMB917533 WVX917533 P983069 JL983069 TH983069 ADD983069 AMZ983069 AWV983069 BGR983069 BQN983069 CAJ983069 CKF983069 CUB983069 DDX983069 DNT983069 DXP983069 EHL983069 ERH983069 FBD983069 FKZ983069 FUV983069 GER983069 GON983069 GYJ983069 HIF983069 HSB983069 IBX983069 ILT983069 IVP983069 JFL983069 JPH983069 JZD983069 KIZ983069 KSV983069 LCR983069 LMN983069 LWJ983069 MGF983069 MQB983069 MZX983069 NJT983069 NTP983069 ODL983069 ONH983069 OXD983069 PGZ983069 PQV983069 QAR983069 QKN983069 QUJ983069 REF983069 ROB983069 RXX983069 SHT983069 SRP983069 TBL983069 TLH983069 TVD983069 UEZ983069 UOV983069 UYR983069 VIN983069 VSJ983069 WCF983069 WMB983069 WVX983069 P26 JL26 TH26 ADD26 AMZ26 AWV26 BGR26 BQN26 CAJ26 CKF26 CUB26 DDX26 DNT26 DXP26 EHL26 ERH26 FBD26 FKZ26 FUV26 GER26 GON26 GYJ26 HIF26 HSB26 IBX26 ILT26 IVP26 JFL26 JPH26 JZD26 KIZ26 KSV26 LCR26 LMN26 LWJ26 MGF26 MQB26 MZX26 NJT26 NTP26 ODL26 ONH26 OXD26 PGZ26 PQV26 QAR26 QKN26 QUJ26 REF26 ROB26 RXX26 SHT26 SRP26 TBL26 TLH26 TVD26 UEZ26 UOV26 UYR26 VIN26 VSJ26 WCF26 WMB26 WVX26 P65562 JL65562 TH65562 ADD65562 AMZ65562 AWV65562 BGR65562 BQN65562 CAJ65562 CKF65562 CUB65562 DDX65562 DNT65562 DXP65562 EHL65562 ERH65562 FBD65562 FKZ65562 FUV65562 GER65562 GON65562 GYJ65562 HIF65562 HSB65562 IBX65562 ILT65562 IVP65562 JFL65562 JPH65562 JZD65562 KIZ65562 KSV65562 LCR65562 LMN65562 LWJ65562 MGF65562 MQB65562 MZX65562 NJT65562 NTP65562 ODL65562 ONH65562 OXD65562 PGZ65562 PQV65562 QAR65562 QKN65562 QUJ65562 REF65562 ROB65562 RXX65562 SHT65562 SRP65562 TBL65562 TLH65562 TVD65562 UEZ65562 UOV65562 UYR65562 VIN65562 VSJ65562 WCF65562 WMB65562 WVX65562 P131098 JL131098 TH131098 ADD131098 AMZ131098 AWV131098 BGR131098 BQN131098 CAJ131098 CKF131098 CUB131098 DDX131098 DNT131098 DXP131098 EHL131098 ERH131098 FBD131098 FKZ131098 FUV131098 GER131098 GON131098 GYJ131098 HIF131098 HSB131098 IBX131098 ILT131098 IVP131098 JFL131098 JPH131098 JZD131098 KIZ131098 KSV131098 LCR131098 LMN131098 LWJ131098 MGF131098 MQB131098 MZX131098 NJT131098 NTP131098 ODL131098 ONH131098 OXD131098 PGZ131098 PQV131098 QAR131098 QKN131098 QUJ131098 REF131098 ROB131098 RXX131098 SHT131098 SRP131098 TBL131098 TLH131098 TVD131098 UEZ131098 UOV131098 UYR131098 VIN131098 VSJ131098 WCF131098 WMB131098 WVX131098 P196634 JL196634 TH196634 ADD196634 AMZ196634 AWV196634 BGR196634 BQN196634 CAJ196634 CKF196634 CUB196634 DDX196634 DNT196634 DXP196634 EHL196634 ERH196634 FBD196634 FKZ196634 FUV196634 GER196634 GON196634 GYJ196634 HIF196634 HSB196634 IBX196634 ILT196634 IVP196634 JFL196634 JPH196634 JZD196634 KIZ196634 KSV196634 LCR196634 LMN196634 LWJ196634 MGF196634 MQB196634 MZX196634 NJT196634 NTP196634 ODL196634 ONH196634 OXD196634 PGZ196634 PQV196634 QAR196634 QKN196634 QUJ196634 REF196634 ROB196634 RXX196634 SHT196634 SRP196634 TBL196634 TLH196634 TVD196634 UEZ196634 UOV196634 UYR196634 VIN196634 VSJ196634 WCF196634 WMB196634 WVX196634 P262170 JL262170 TH262170 ADD262170 AMZ262170 AWV262170 BGR262170 BQN262170 CAJ262170 CKF262170 CUB262170 DDX262170 DNT262170 DXP262170 EHL262170 ERH262170 FBD262170 FKZ262170 FUV262170 GER262170 GON262170 GYJ262170 HIF262170 HSB262170 IBX262170 ILT262170 IVP262170 JFL262170 JPH262170 JZD262170 KIZ262170 KSV262170 LCR262170 LMN262170 LWJ262170 MGF262170 MQB262170 MZX262170 NJT262170 NTP262170 ODL262170 ONH262170 OXD262170 PGZ262170 PQV262170 QAR262170 QKN262170 QUJ262170 REF262170 ROB262170 RXX262170 SHT262170 SRP262170 TBL262170 TLH262170 TVD262170 UEZ262170 UOV262170 UYR262170 VIN262170 VSJ262170 WCF262170 WMB262170 WVX262170 P327706 JL327706 TH327706 ADD327706 AMZ327706 AWV327706 BGR327706 BQN327706 CAJ327706 CKF327706 CUB327706 DDX327706 DNT327706 DXP327706 EHL327706 ERH327706 FBD327706 FKZ327706 FUV327706 GER327706 GON327706 GYJ327706 HIF327706 HSB327706 IBX327706 ILT327706 IVP327706 JFL327706 JPH327706 JZD327706 KIZ327706 KSV327706 LCR327706 LMN327706 LWJ327706 MGF327706 MQB327706 MZX327706 NJT327706 NTP327706 ODL327706 ONH327706 OXD327706 PGZ327706 PQV327706 QAR327706 QKN327706 QUJ327706 REF327706 ROB327706 RXX327706 SHT327706 SRP327706 TBL327706 TLH327706 TVD327706 UEZ327706 UOV327706 UYR327706 VIN327706 VSJ327706 WCF327706 WMB327706 WVX327706 P393242 JL393242 TH393242 ADD393242 AMZ393242 AWV393242 BGR393242 BQN393242 CAJ393242 CKF393242 CUB393242 DDX393242 DNT393242 DXP393242 EHL393242 ERH393242 FBD393242 FKZ393242 FUV393242 GER393242 GON393242 GYJ393242 HIF393242 HSB393242 IBX393242 ILT393242 IVP393242 JFL393242 JPH393242 JZD393242 KIZ393242 KSV393242 LCR393242 LMN393242 LWJ393242 MGF393242 MQB393242 MZX393242 NJT393242 NTP393242 ODL393242 ONH393242 OXD393242 PGZ393242 PQV393242 QAR393242 QKN393242 QUJ393242 REF393242 ROB393242 RXX393242 SHT393242 SRP393242 TBL393242 TLH393242 TVD393242 UEZ393242 UOV393242 UYR393242 VIN393242 VSJ393242 WCF393242 WMB393242 WVX393242 P458778 JL458778 TH458778 ADD458778 AMZ458778 AWV458778 BGR458778 BQN458778 CAJ458778 CKF458778 CUB458778 DDX458778 DNT458778 DXP458778 EHL458778 ERH458778 FBD458778 FKZ458778 FUV458778 GER458778 GON458778 GYJ458778 HIF458778 HSB458778 IBX458778 ILT458778 IVP458778 JFL458778 JPH458778 JZD458778 KIZ458778 KSV458778 LCR458778 LMN458778 LWJ458778 MGF458778 MQB458778 MZX458778 NJT458778 NTP458778 ODL458778 ONH458778 OXD458778 PGZ458778 PQV458778 QAR458778 QKN458778 QUJ458778 REF458778 ROB458778 RXX458778 SHT458778 SRP458778 TBL458778 TLH458778 TVD458778 UEZ458778 UOV458778 UYR458778 VIN458778 VSJ458778 WCF458778 WMB458778 WVX458778 P524314 JL524314 TH524314 ADD524314 AMZ524314 AWV524314 BGR524314 BQN524314 CAJ524314 CKF524314 CUB524314 DDX524314 DNT524314 DXP524314 EHL524314 ERH524314 FBD524314 FKZ524314 FUV524314 GER524314 GON524314 GYJ524314 HIF524314 HSB524314 IBX524314 ILT524314 IVP524314 JFL524314 JPH524314 JZD524314 KIZ524314 KSV524314 LCR524314 LMN524314 LWJ524314 MGF524314 MQB524314 MZX524314 NJT524314 NTP524314 ODL524314 ONH524314 OXD524314 PGZ524314 PQV524314 QAR524314 QKN524314 QUJ524314 REF524314 ROB524314 RXX524314 SHT524314 SRP524314 TBL524314 TLH524314 TVD524314 UEZ524314 UOV524314 UYR524314 VIN524314 VSJ524314 WCF524314 WMB524314 WVX524314 P589850 JL589850 TH589850 ADD589850 AMZ589850 AWV589850 BGR589850 BQN589850 CAJ589850 CKF589850 CUB589850 DDX589850 DNT589850 DXP589850 EHL589850 ERH589850 FBD589850 FKZ589850 FUV589850 GER589850 GON589850 GYJ589850 HIF589850 HSB589850 IBX589850 ILT589850 IVP589850 JFL589850 JPH589850 JZD589850 KIZ589850 KSV589850 LCR589850 LMN589850 LWJ589850 MGF589850 MQB589850 MZX589850 NJT589850 NTP589850 ODL589850 ONH589850 OXD589850 PGZ589850 PQV589850 QAR589850 QKN589850 QUJ589850 REF589850 ROB589850 RXX589850 SHT589850 SRP589850 TBL589850 TLH589850 TVD589850 UEZ589850 UOV589850 UYR589850 VIN589850 VSJ589850 WCF589850 WMB589850 WVX589850 P655386 JL655386 TH655386 ADD655386 AMZ655386 AWV655386 BGR655386 BQN655386 CAJ655386 CKF655386 CUB655386 DDX655386 DNT655386 DXP655386 EHL655386 ERH655386 FBD655386 FKZ655386 FUV655386 GER655386 GON655386 GYJ655386 HIF655386 HSB655386 IBX655386 ILT655386 IVP655386 JFL655386 JPH655386 JZD655386 KIZ655386 KSV655386 LCR655386 LMN655386 LWJ655386 MGF655386 MQB655386 MZX655386 NJT655386 NTP655386 ODL655386 ONH655386 OXD655386 PGZ655386 PQV655386 QAR655386 QKN655386 QUJ655386 REF655386 ROB655386 RXX655386 SHT655386 SRP655386 TBL655386 TLH655386 TVD655386 UEZ655386 UOV655386 UYR655386 VIN655386 VSJ655386 WCF655386 WMB655386 WVX655386 P720922 JL720922 TH720922 ADD720922 AMZ720922 AWV720922 BGR720922 BQN720922 CAJ720922 CKF720922 CUB720922 DDX720922 DNT720922 DXP720922 EHL720922 ERH720922 FBD720922 FKZ720922 FUV720922 GER720922 GON720922 GYJ720922 HIF720922 HSB720922 IBX720922 ILT720922 IVP720922 JFL720922 JPH720922 JZD720922 KIZ720922 KSV720922 LCR720922 LMN720922 LWJ720922 MGF720922 MQB720922 MZX720922 NJT720922 NTP720922 ODL720922 ONH720922 OXD720922 PGZ720922 PQV720922 QAR720922 QKN720922 QUJ720922 REF720922 ROB720922 RXX720922 SHT720922 SRP720922 TBL720922 TLH720922 TVD720922 UEZ720922 UOV720922 UYR720922 VIN720922 VSJ720922 WCF720922 WMB720922 WVX720922 P786458 JL786458 TH786458 ADD786458 AMZ786458 AWV786458 BGR786458 BQN786458 CAJ786458 CKF786458 CUB786458 DDX786458 DNT786458 DXP786458 EHL786458 ERH786458 FBD786458 FKZ786458 FUV786458 GER786458 GON786458 GYJ786458 HIF786458 HSB786458 IBX786458 ILT786458 IVP786458 JFL786458 JPH786458 JZD786458 KIZ786458 KSV786458 LCR786458 LMN786458 LWJ786458 MGF786458 MQB786458 MZX786458 NJT786458 NTP786458 ODL786458 ONH786458 OXD786458 PGZ786458 PQV786458 QAR786458 QKN786458 QUJ786458 REF786458 ROB786458 RXX786458 SHT786458 SRP786458 TBL786458 TLH786458 TVD786458 UEZ786458 UOV786458 UYR786458 VIN786458 VSJ786458 WCF786458 WMB786458 WVX786458 P851994 JL851994 TH851994 ADD851994 AMZ851994 AWV851994 BGR851994 BQN851994 CAJ851994 CKF851994 CUB851994 DDX851994 DNT851994 DXP851994 EHL851994 ERH851994 FBD851994 FKZ851994 FUV851994 GER851994 GON851994 GYJ851994 HIF851994 HSB851994 IBX851994 ILT851994 IVP851994 JFL851994 JPH851994 JZD851994 KIZ851994 KSV851994 LCR851994 LMN851994 LWJ851994 MGF851994 MQB851994 MZX851994 NJT851994 NTP851994 ODL851994 ONH851994 OXD851994 PGZ851994 PQV851994 QAR851994 QKN851994 QUJ851994 REF851994 ROB851994 RXX851994 SHT851994 SRP851994 TBL851994 TLH851994 TVD851994 UEZ851994 UOV851994 UYR851994 VIN851994 VSJ851994 WCF851994 WMB851994 WVX851994 P917530 JL917530 TH917530 ADD917530 AMZ917530 AWV917530 BGR917530 BQN917530 CAJ917530 CKF917530 CUB917530 DDX917530 DNT917530 DXP917530 EHL917530 ERH917530 FBD917530 FKZ917530 FUV917530 GER917530 GON917530 GYJ917530 HIF917530 HSB917530 IBX917530 ILT917530 IVP917530 JFL917530 JPH917530 JZD917530 KIZ917530 KSV917530 LCR917530 LMN917530 LWJ917530 MGF917530 MQB917530 MZX917530 NJT917530 NTP917530 ODL917530 ONH917530 OXD917530 PGZ917530 PQV917530 QAR917530 QKN917530 QUJ917530 REF917530 ROB917530 RXX917530 SHT917530 SRP917530 TBL917530 TLH917530 TVD917530 UEZ917530 UOV917530 UYR917530 VIN917530 VSJ917530 WCF917530 WMB917530 WVX917530 P983066 JL983066 TH983066 ADD983066 AMZ983066 AWV983066 BGR983066 BQN983066 CAJ983066 CKF983066 CUB983066 DDX983066 DNT983066 DXP983066 EHL983066 ERH983066 FBD983066 FKZ983066 FUV983066 GER983066 GON983066 GYJ983066 HIF983066 HSB983066 IBX983066 ILT983066 IVP983066 JFL983066 JPH983066 JZD983066 KIZ983066 KSV983066 LCR983066 LMN983066 LWJ983066 MGF983066 MQB983066 MZX983066 NJT983066 NTP983066 ODL983066 ONH983066 OXD983066 PGZ983066 PQV983066 QAR983066 QKN983066 QUJ983066 REF983066 ROB983066 RXX983066 SHT983066 SRP983066 TBL983066 TLH983066 TVD983066 UEZ983066 UOV983066 UYR983066 VIN983066 VSJ983066 WCF983066 WMB983066 WVX983066 P23 JL23 TH23 ADD23 AMZ23 AWV23 BGR23 BQN23 CAJ23 CKF23 CUB23 DDX23 DNT23 DXP23 EHL23 ERH23 FBD23 FKZ23 FUV23 GER23 GON23 GYJ23 HIF23 HSB23 IBX23 ILT23 IVP23 JFL23 JPH23 JZD23 KIZ23 KSV23 LCR23 LMN23 LWJ23 MGF23 MQB23 MZX23 NJT23 NTP23 ODL23 ONH23 OXD23 PGZ23 PQV23 QAR23 QKN23 QUJ23 REF23 ROB23 RXX23 SHT23 SRP23 TBL23 TLH23 TVD23 UEZ23 UOV23 UYR23 VIN23 VSJ23 WCF23 WMB23 WVX23 P65559 JL65559 TH65559 ADD65559 AMZ65559 AWV65559 BGR65559 BQN65559 CAJ65559 CKF65559 CUB65559 DDX65559 DNT65559 DXP65559 EHL65559 ERH65559 FBD65559 FKZ65559 FUV65559 GER65559 GON65559 GYJ65559 HIF65559 HSB65559 IBX65559 ILT65559 IVP65559 JFL65559 JPH65559 JZD65559 KIZ65559 KSV65559 LCR65559 LMN65559 LWJ65559 MGF65559 MQB65559 MZX65559 NJT65559 NTP65559 ODL65559 ONH65559 OXD65559 PGZ65559 PQV65559 QAR65559 QKN65559 QUJ65559 REF65559 ROB65559 RXX65559 SHT65559 SRP65559 TBL65559 TLH65559 TVD65559 UEZ65559 UOV65559 UYR65559 VIN65559 VSJ65559 WCF65559 WMB65559 WVX65559 P131095 JL131095 TH131095 ADD131095 AMZ131095 AWV131095 BGR131095 BQN131095 CAJ131095 CKF131095 CUB131095 DDX131095 DNT131095 DXP131095 EHL131095 ERH131095 FBD131095 FKZ131095 FUV131095 GER131095 GON131095 GYJ131095 HIF131095 HSB131095 IBX131095 ILT131095 IVP131095 JFL131095 JPH131095 JZD131095 KIZ131095 KSV131095 LCR131095 LMN131095 LWJ131095 MGF131095 MQB131095 MZX131095 NJT131095 NTP131095 ODL131095 ONH131095 OXD131095 PGZ131095 PQV131095 QAR131095 QKN131095 QUJ131095 REF131095 ROB131095 RXX131095 SHT131095 SRP131095 TBL131095 TLH131095 TVD131095 UEZ131095 UOV131095 UYR131095 VIN131095 VSJ131095 WCF131095 WMB131095 WVX131095 P196631 JL196631 TH196631 ADD196631 AMZ196631 AWV196631 BGR196631 BQN196631 CAJ196631 CKF196631 CUB196631 DDX196631 DNT196631 DXP196631 EHL196631 ERH196631 FBD196631 FKZ196631 FUV196631 GER196631 GON196631 GYJ196631 HIF196631 HSB196631 IBX196631 ILT196631 IVP196631 JFL196631 JPH196631 JZD196631 KIZ196631 KSV196631 LCR196631 LMN196631 LWJ196631 MGF196631 MQB196631 MZX196631 NJT196631 NTP196631 ODL196631 ONH196631 OXD196631 PGZ196631 PQV196631 QAR196631 QKN196631 QUJ196631 REF196631 ROB196631 RXX196631 SHT196631 SRP196631 TBL196631 TLH196631 TVD196631 UEZ196631 UOV196631 UYR196631 VIN196631 VSJ196631 WCF196631 WMB196631 WVX196631 P262167 JL262167 TH262167 ADD262167 AMZ262167 AWV262167 BGR262167 BQN262167 CAJ262167 CKF262167 CUB262167 DDX262167 DNT262167 DXP262167 EHL262167 ERH262167 FBD262167 FKZ262167 FUV262167 GER262167 GON262167 GYJ262167 HIF262167 HSB262167 IBX262167 ILT262167 IVP262167 JFL262167 JPH262167 JZD262167 KIZ262167 KSV262167 LCR262167 LMN262167 LWJ262167 MGF262167 MQB262167 MZX262167 NJT262167 NTP262167 ODL262167 ONH262167 OXD262167 PGZ262167 PQV262167 QAR262167 QKN262167 QUJ262167 REF262167 ROB262167 RXX262167 SHT262167 SRP262167 TBL262167 TLH262167 TVD262167 UEZ262167 UOV262167 UYR262167 VIN262167 VSJ262167 WCF262167 WMB262167 WVX262167 P327703 JL327703 TH327703 ADD327703 AMZ327703 AWV327703 BGR327703 BQN327703 CAJ327703 CKF327703 CUB327703 DDX327703 DNT327703 DXP327703 EHL327703 ERH327703 FBD327703 FKZ327703 FUV327703 GER327703 GON327703 GYJ327703 HIF327703 HSB327703 IBX327703 ILT327703 IVP327703 JFL327703 JPH327703 JZD327703 KIZ327703 KSV327703 LCR327703 LMN327703 LWJ327703 MGF327703 MQB327703 MZX327703 NJT327703 NTP327703 ODL327703 ONH327703 OXD327703 PGZ327703 PQV327703 QAR327703 QKN327703 QUJ327703 REF327703 ROB327703 RXX327703 SHT327703 SRP327703 TBL327703 TLH327703 TVD327703 UEZ327703 UOV327703 UYR327703 VIN327703 VSJ327703 WCF327703 WMB327703 WVX327703 P393239 JL393239 TH393239 ADD393239 AMZ393239 AWV393239 BGR393239 BQN393239 CAJ393239 CKF393239 CUB393239 DDX393239 DNT393239 DXP393239 EHL393239 ERH393239 FBD393239 FKZ393239 FUV393239 GER393239 GON393239 GYJ393239 HIF393239 HSB393239 IBX393239 ILT393239 IVP393239 JFL393239 JPH393239 JZD393239 KIZ393239 KSV393239 LCR393239 LMN393239 LWJ393239 MGF393239 MQB393239 MZX393239 NJT393239 NTP393239 ODL393239 ONH393239 OXD393239 PGZ393239 PQV393239 QAR393239 QKN393239 QUJ393239 REF393239 ROB393239 RXX393239 SHT393239 SRP393239 TBL393239 TLH393239 TVD393239 UEZ393239 UOV393239 UYR393239 VIN393239 VSJ393239 WCF393239 WMB393239 WVX393239 P458775 JL458775 TH458775 ADD458775 AMZ458775 AWV458775 BGR458775 BQN458775 CAJ458775 CKF458775 CUB458775 DDX458775 DNT458775 DXP458775 EHL458775 ERH458775 FBD458775 FKZ458775 FUV458775 GER458775 GON458775 GYJ458775 HIF458775 HSB458775 IBX458775 ILT458775 IVP458775 JFL458775 JPH458775 JZD458775 KIZ458775 KSV458775 LCR458775 LMN458775 LWJ458775 MGF458775 MQB458775 MZX458775 NJT458775 NTP458775 ODL458775 ONH458775 OXD458775 PGZ458775 PQV458775 QAR458775 QKN458775 QUJ458775 REF458775 ROB458775 RXX458775 SHT458775 SRP458775 TBL458775 TLH458775 TVD458775 UEZ458775 UOV458775 UYR458775 VIN458775 VSJ458775 WCF458775 WMB458775 WVX458775 P524311 JL524311 TH524311 ADD524311 AMZ524311 AWV524311 BGR524311 BQN524311 CAJ524311 CKF524311 CUB524311 DDX524311 DNT524311 DXP524311 EHL524311 ERH524311 FBD524311 FKZ524311 FUV524311 GER524311 GON524311 GYJ524311 HIF524311 HSB524311 IBX524311 ILT524311 IVP524311 JFL524311 JPH524311 JZD524311 KIZ524311 KSV524311 LCR524311 LMN524311 LWJ524311 MGF524311 MQB524311 MZX524311 NJT524311 NTP524311 ODL524311 ONH524311 OXD524311 PGZ524311 PQV524311 QAR524311 QKN524311 QUJ524311 REF524311 ROB524311 RXX524311 SHT524311 SRP524311 TBL524311 TLH524311 TVD524311 UEZ524311 UOV524311 UYR524311 VIN524311 VSJ524311 WCF524311 WMB524311 WVX524311 P589847 JL589847 TH589847 ADD589847 AMZ589847 AWV589847 BGR589847 BQN589847 CAJ589847 CKF589847 CUB589847 DDX589847 DNT589847 DXP589847 EHL589847 ERH589847 FBD589847 FKZ589847 FUV589847 GER589847 GON589847 GYJ589847 HIF589847 HSB589847 IBX589847 ILT589847 IVP589847 JFL589847 JPH589847 JZD589847 KIZ589847 KSV589847 LCR589847 LMN589847 LWJ589847 MGF589847 MQB589847 MZX589847 NJT589847 NTP589847 ODL589847 ONH589847 OXD589847 PGZ589847 PQV589847 QAR589847 QKN589847 QUJ589847 REF589847 ROB589847 RXX589847 SHT589847 SRP589847 TBL589847 TLH589847 TVD589847 UEZ589847 UOV589847 UYR589847 VIN589847 VSJ589847 WCF589847 WMB589847 WVX589847 P655383 JL655383 TH655383 ADD655383 AMZ655383 AWV655383 BGR655383 BQN655383 CAJ655383 CKF655383 CUB655383 DDX655383 DNT655383 DXP655383 EHL655383 ERH655383 FBD655383 FKZ655383 FUV655383 GER655383 GON655383 GYJ655383 HIF655383 HSB655383 IBX655383 ILT655383 IVP655383 JFL655383 JPH655383 JZD655383 KIZ655383 KSV655383 LCR655383 LMN655383 LWJ655383 MGF655383 MQB655383 MZX655383 NJT655383 NTP655383 ODL655383 ONH655383 OXD655383 PGZ655383 PQV655383 QAR655383 QKN655383 QUJ655383 REF655383 ROB655383 RXX655383 SHT655383 SRP655383 TBL655383 TLH655383 TVD655383 UEZ655383 UOV655383 UYR655383 VIN655383 VSJ655383 WCF655383 WMB655383 WVX655383 P720919 JL720919 TH720919 ADD720919 AMZ720919 AWV720919 BGR720919 BQN720919 CAJ720919 CKF720919 CUB720919 DDX720919 DNT720919 DXP720919 EHL720919 ERH720919 FBD720919 FKZ720919 FUV720919 GER720919 GON720919 GYJ720919 HIF720919 HSB720919 IBX720919 ILT720919 IVP720919 JFL720919 JPH720919 JZD720919 KIZ720919 KSV720919 LCR720919 LMN720919 LWJ720919 MGF720919 MQB720919 MZX720919 NJT720919 NTP720919 ODL720919 ONH720919 OXD720919 PGZ720919 PQV720919 QAR720919 QKN720919 QUJ720919 REF720919 ROB720919 RXX720919 SHT720919 SRP720919 TBL720919 TLH720919 TVD720919 UEZ720919 UOV720919 UYR720919 VIN720919 VSJ720919 WCF720919 WMB720919 WVX720919 P786455 JL786455 TH786455 ADD786455 AMZ786455 AWV786455 BGR786455 BQN786455 CAJ786455 CKF786455 CUB786455 DDX786455 DNT786455 DXP786455 EHL786455 ERH786455 FBD786455 FKZ786455 FUV786455 GER786455 GON786455 GYJ786455 HIF786455 HSB786455 IBX786455 ILT786455 IVP786455 JFL786455 JPH786455 JZD786455 KIZ786455 KSV786455 LCR786455 LMN786455 LWJ786455 MGF786455 MQB786455 MZX786455 NJT786455 NTP786455 ODL786455 ONH786455 OXD786455 PGZ786455 PQV786455 QAR786455 QKN786455 QUJ786455 REF786455 ROB786455 RXX786455 SHT786455 SRP786455 TBL786455 TLH786455 TVD786455 UEZ786455 UOV786455 UYR786455 VIN786455 VSJ786455 WCF786455 WMB786455 WVX786455 P851991 JL851991 TH851991 ADD851991 AMZ851991 AWV851991 BGR851991 BQN851991 CAJ851991 CKF851991 CUB851991 DDX851991 DNT851991 DXP851991 EHL851991 ERH851991 FBD851991 FKZ851991 FUV851991 GER851991 GON851991 GYJ851991 HIF851991 HSB851991 IBX851991 ILT851991 IVP851991 JFL851991 JPH851991 JZD851991 KIZ851991 KSV851991 LCR851991 LMN851991 LWJ851991 MGF851991 MQB851991 MZX851991 NJT851991 NTP851991 ODL851991 ONH851991 OXD851991 PGZ851991 PQV851991 QAR851991 QKN851991 QUJ851991 REF851991 ROB851991 RXX851991 SHT851991 SRP851991 TBL851991 TLH851991 TVD851991 UEZ851991 UOV851991 UYR851991 VIN851991 VSJ851991 WCF851991 WMB851991 WVX851991 P917527 JL917527 TH917527 ADD917527 AMZ917527 AWV917527 BGR917527 BQN917527 CAJ917527 CKF917527 CUB917527 DDX917527 DNT917527 DXP917527 EHL917527 ERH917527 FBD917527 FKZ917527 FUV917527 GER917527 GON917527 GYJ917527 HIF917527 HSB917527 IBX917527 ILT917527 IVP917527 JFL917527 JPH917527 JZD917527 KIZ917527 KSV917527 LCR917527 LMN917527 LWJ917527 MGF917527 MQB917527 MZX917527 NJT917527 NTP917527 ODL917527 ONH917527 OXD917527 PGZ917527 PQV917527 QAR917527 QKN917527 QUJ917527 REF917527 ROB917527 RXX917527 SHT917527 SRP917527 TBL917527 TLH917527 TVD917527 UEZ917527 UOV917527 UYR917527 VIN917527 VSJ917527 WCF917527 WMB917527 WVX917527 P983063 JL983063 TH983063 ADD983063 AMZ983063 AWV983063 BGR983063 BQN983063 CAJ983063 CKF983063 CUB983063 DDX983063 DNT983063 DXP983063 EHL983063 ERH983063 FBD983063 FKZ983063 FUV983063 GER983063 GON983063 GYJ983063 HIF983063 HSB983063 IBX983063 ILT983063 IVP983063 JFL983063 JPH983063 JZD983063 KIZ983063 KSV983063 LCR983063 LMN983063 LWJ983063 MGF983063 MQB983063 MZX983063 NJT983063 NTP983063 ODL983063 ONH983063 OXD983063 PGZ983063 PQV983063 QAR983063 QKN983063 QUJ983063 REF983063 ROB983063 RXX983063 SHT983063 SRP983063 TBL983063 TLH983063 TVD983063 UEZ983063 UOV983063 UYR983063 VIN983063 VSJ983063 WCF983063 WMB983063 WVX983063 B11:H11 IX11:JD11 ST11:SZ11 ACP11:ACV11 AML11:AMR11 AWH11:AWN11 BGD11:BGJ11 BPZ11:BQF11 BZV11:CAB11 CJR11:CJX11 CTN11:CTT11 DDJ11:DDP11 DNF11:DNL11 DXB11:DXH11 EGX11:EHD11 EQT11:EQZ11 FAP11:FAV11 FKL11:FKR11 FUH11:FUN11 GED11:GEJ11 GNZ11:GOF11 GXV11:GYB11 HHR11:HHX11 HRN11:HRT11 IBJ11:IBP11 ILF11:ILL11 IVB11:IVH11 JEX11:JFD11 JOT11:JOZ11 JYP11:JYV11 KIL11:KIR11 KSH11:KSN11 LCD11:LCJ11 LLZ11:LMF11 LVV11:LWB11 MFR11:MFX11 MPN11:MPT11 MZJ11:MZP11 NJF11:NJL11 NTB11:NTH11 OCX11:ODD11 OMT11:OMZ11 OWP11:OWV11 PGL11:PGR11 PQH11:PQN11 QAD11:QAJ11 QJZ11:QKF11 QTV11:QUB11 RDR11:RDX11 RNN11:RNT11 RXJ11:RXP11 SHF11:SHL11 SRB11:SRH11 TAX11:TBD11 TKT11:TKZ11 TUP11:TUV11 UEL11:UER11 UOH11:UON11 UYD11:UYJ11 VHZ11:VIF11 VRV11:VSB11 WBR11:WBX11 WLN11:WLT11 WVJ11:WVP11 B65547:H65547 IX65547:JD65547 ST65547:SZ65547 ACP65547:ACV65547 AML65547:AMR65547 AWH65547:AWN65547 BGD65547:BGJ65547 BPZ65547:BQF65547 BZV65547:CAB65547 CJR65547:CJX65547 CTN65547:CTT65547 DDJ65547:DDP65547 DNF65547:DNL65547 DXB65547:DXH65547 EGX65547:EHD65547 EQT65547:EQZ65547 FAP65547:FAV65547 FKL65547:FKR65547 FUH65547:FUN65547 GED65547:GEJ65547 GNZ65547:GOF65547 GXV65547:GYB65547 HHR65547:HHX65547 HRN65547:HRT65547 IBJ65547:IBP65547 ILF65547:ILL65547 IVB65547:IVH65547 JEX65547:JFD65547 JOT65547:JOZ65547 JYP65547:JYV65547 KIL65547:KIR65547 KSH65547:KSN65547 LCD65547:LCJ65547 LLZ65547:LMF65547 LVV65547:LWB65547 MFR65547:MFX65547 MPN65547:MPT65547 MZJ65547:MZP65547 NJF65547:NJL65547 NTB65547:NTH65547 OCX65547:ODD65547 OMT65547:OMZ65547 OWP65547:OWV65547 PGL65547:PGR65547 PQH65547:PQN65547 QAD65547:QAJ65547 QJZ65547:QKF65547 QTV65547:QUB65547 RDR65547:RDX65547 RNN65547:RNT65547 RXJ65547:RXP65547 SHF65547:SHL65547 SRB65547:SRH65547 TAX65547:TBD65547 TKT65547:TKZ65547 TUP65547:TUV65547 UEL65547:UER65547 UOH65547:UON65547 UYD65547:UYJ65547 VHZ65547:VIF65547 VRV65547:VSB65547 WBR65547:WBX65547 WLN65547:WLT65547 WVJ65547:WVP65547 B131083:H131083 IX131083:JD131083 ST131083:SZ131083 ACP131083:ACV131083 AML131083:AMR131083 AWH131083:AWN131083 BGD131083:BGJ131083 BPZ131083:BQF131083 BZV131083:CAB131083 CJR131083:CJX131083 CTN131083:CTT131083 DDJ131083:DDP131083 DNF131083:DNL131083 DXB131083:DXH131083 EGX131083:EHD131083 EQT131083:EQZ131083 FAP131083:FAV131083 FKL131083:FKR131083 FUH131083:FUN131083 GED131083:GEJ131083 GNZ131083:GOF131083 GXV131083:GYB131083 HHR131083:HHX131083 HRN131083:HRT131083 IBJ131083:IBP131083 ILF131083:ILL131083 IVB131083:IVH131083 JEX131083:JFD131083 JOT131083:JOZ131083 JYP131083:JYV131083 KIL131083:KIR131083 KSH131083:KSN131083 LCD131083:LCJ131083 LLZ131083:LMF131083 LVV131083:LWB131083 MFR131083:MFX131083 MPN131083:MPT131083 MZJ131083:MZP131083 NJF131083:NJL131083 NTB131083:NTH131083 OCX131083:ODD131083 OMT131083:OMZ131083 OWP131083:OWV131083 PGL131083:PGR131083 PQH131083:PQN131083 QAD131083:QAJ131083 QJZ131083:QKF131083 QTV131083:QUB131083 RDR131083:RDX131083 RNN131083:RNT131083 RXJ131083:RXP131083 SHF131083:SHL131083 SRB131083:SRH131083 TAX131083:TBD131083 TKT131083:TKZ131083 TUP131083:TUV131083 UEL131083:UER131083 UOH131083:UON131083 UYD131083:UYJ131083 VHZ131083:VIF131083 VRV131083:VSB131083 WBR131083:WBX131083 WLN131083:WLT131083 WVJ131083:WVP131083 B196619:H196619 IX196619:JD196619 ST196619:SZ196619 ACP196619:ACV196619 AML196619:AMR196619 AWH196619:AWN196619 BGD196619:BGJ196619 BPZ196619:BQF196619 BZV196619:CAB196619 CJR196619:CJX196619 CTN196619:CTT196619 DDJ196619:DDP196619 DNF196619:DNL196619 DXB196619:DXH196619 EGX196619:EHD196619 EQT196619:EQZ196619 FAP196619:FAV196619 FKL196619:FKR196619 FUH196619:FUN196619 GED196619:GEJ196619 GNZ196619:GOF196619 GXV196619:GYB196619 HHR196619:HHX196619 HRN196619:HRT196619 IBJ196619:IBP196619 ILF196619:ILL196619 IVB196619:IVH196619 JEX196619:JFD196619 JOT196619:JOZ196619 JYP196619:JYV196619 KIL196619:KIR196619 KSH196619:KSN196619 LCD196619:LCJ196619 LLZ196619:LMF196619 LVV196619:LWB196619 MFR196619:MFX196619 MPN196619:MPT196619 MZJ196619:MZP196619 NJF196619:NJL196619 NTB196619:NTH196619 OCX196619:ODD196619 OMT196619:OMZ196619 OWP196619:OWV196619 PGL196619:PGR196619 PQH196619:PQN196619 QAD196619:QAJ196619 QJZ196619:QKF196619 QTV196619:QUB196619 RDR196619:RDX196619 RNN196619:RNT196619 RXJ196619:RXP196619 SHF196619:SHL196619 SRB196619:SRH196619 TAX196619:TBD196619 TKT196619:TKZ196619 TUP196619:TUV196619 UEL196619:UER196619 UOH196619:UON196619 UYD196619:UYJ196619 VHZ196619:VIF196619 VRV196619:VSB196619 WBR196619:WBX196619 WLN196619:WLT196619 WVJ196619:WVP196619 B262155:H262155 IX262155:JD262155 ST262155:SZ262155 ACP262155:ACV262155 AML262155:AMR262155 AWH262155:AWN262155 BGD262155:BGJ262155 BPZ262155:BQF262155 BZV262155:CAB262155 CJR262155:CJX262155 CTN262155:CTT262155 DDJ262155:DDP262155 DNF262155:DNL262155 DXB262155:DXH262155 EGX262155:EHD262155 EQT262155:EQZ262155 FAP262155:FAV262155 FKL262155:FKR262155 FUH262155:FUN262155 GED262155:GEJ262155 GNZ262155:GOF262155 GXV262155:GYB262155 HHR262155:HHX262155 HRN262155:HRT262155 IBJ262155:IBP262155 ILF262155:ILL262155 IVB262155:IVH262155 JEX262155:JFD262155 JOT262155:JOZ262155 JYP262155:JYV262155 KIL262155:KIR262155 KSH262155:KSN262155 LCD262155:LCJ262155 LLZ262155:LMF262155 LVV262155:LWB262155 MFR262155:MFX262155 MPN262155:MPT262155 MZJ262155:MZP262155 NJF262155:NJL262155 NTB262155:NTH262155 OCX262155:ODD262155 OMT262155:OMZ262155 OWP262155:OWV262155 PGL262155:PGR262155 PQH262155:PQN262155 QAD262155:QAJ262155 QJZ262155:QKF262155 QTV262155:QUB262155 RDR262155:RDX262155 RNN262155:RNT262155 RXJ262155:RXP262155 SHF262155:SHL262155 SRB262155:SRH262155 TAX262155:TBD262155 TKT262155:TKZ262155 TUP262155:TUV262155 UEL262155:UER262155 UOH262155:UON262155 UYD262155:UYJ262155 VHZ262155:VIF262155 VRV262155:VSB262155 WBR262155:WBX262155 WLN262155:WLT262155 WVJ262155:WVP262155 B327691:H327691 IX327691:JD327691 ST327691:SZ327691 ACP327691:ACV327691 AML327691:AMR327691 AWH327691:AWN327691 BGD327691:BGJ327691 BPZ327691:BQF327691 BZV327691:CAB327691 CJR327691:CJX327691 CTN327691:CTT327691 DDJ327691:DDP327691 DNF327691:DNL327691 DXB327691:DXH327691 EGX327691:EHD327691 EQT327691:EQZ327691 FAP327691:FAV327691 FKL327691:FKR327691 FUH327691:FUN327691 GED327691:GEJ327691 GNZ327691:GOF327691 GXV327691:GYB327691 HHR327691:HHX327691 HRN327691:HRT327691 IBJ327691:IBP327691 ILF327691:ILL327691 IVB327691:IVH327691 JEX327691:JFD327691 JOT327691:JOZ327691 JYP327691:JYV327691 KIL327691:KIR327691 KSH327691:KSN327691 LCD327691:LCJ327691 LLZ327691:LMF327691 LVV327691:LWB327691 MFR327691:MFX327691 MPN327691:MPT327691 MZJ327691:MZP327691 NJF327691:NJL327691 NTB327691:NTH327691 OCX327691:ODD327691 OMT327691:OMZ327691 OWP327691:OWV327691 PGL327691:PGR327691 PQH327691:PQN327691 QAD327691:QAJ327691 QJZ327691:QKF327691 QTV327691:QUB327691 RDR327691:RDX327691 RNN327691:RNT327691 RXJ327691:RXP327691 SHF327691:SHL327691 SRB327691:SRH327691 TAX327691:TBD327691 TKT327691:TKZ327691 TUP327691:TUV327691 UEL327691:UER327691 UOH327691:UON327691 UYD327691:UYJ327691 VHZ327691:VIF327691 VRV327691:VSB327691 WBR327691:WBX327691 WLN327691:WLT327691 WVJ327691:WVP327691 B393227:H393227 IX393227:JD393227 ST393227:SZ393227 ACP393227:ACV393227 AML393227:AMR393227 AWH393227:AWN393227 BGD393227:BGJ393227 BPZ393227:BQF393227 BZV393227:CAB393227 CJR393227:CJX393227 CTN393227:CTT393227 DDJ393227:DDP393227 DNF393227:DNL393227 DXB393227:DXH393227 EGX393227:EHD393227 EQT393227:EQZ393227 FAP393227:FAV393227 FKL393227:FKR393227 FUH393227:FUN393227 GED393227:GEJ393227 GNZ393227:GOF393227 GXV393227:GYB393227 HHR393227:HHX393227 HRN393227:HRT393227 IBJ393227:IBP393227 ILF393227:ILL393227 IVB393227:IVH393227 JEX393227:JFD393227 JOT393227:JOZ393227 JYP393227:JYV393227 KIL393227:KIR393227 KSH393227:KSN393227 LCD393227:LCJ393227 LLZ393227:LMF393227 LVV393227:LWB393227 MFR393227:MFX393227 MPN393227:MPT393227 MZJ393227:MZP393227 NJF393227:NJL393227 NTB393227:NTH393227 OCX393227:ODD393227 OMT393227:OMZ393227 OWP393227:OWV393227 PGL393227:PGR393227 PQH393227:PQN393227 QAD393227:QAJ393227 QJZ393227:QKF393227 QTV393227:QUB393227 RDR393227:RDX393227 RNN393227:RNT393227 RXJ393227:RXP393227 SHF393227:SHL393227 SRB393227:SRH393227 TAX393227:TBD393227 TKT393227:TKZ393227 TUP393227:TUV393227 UEL393227:UER393227 UOH393227:UON393227 UYD393227:UYJ393227 VHZ393227:VIF393227 VRV393227:VSB393227 WBR393227:WBX393227 WLN393227:WLT393227 WVJ393227:WVP393227 B458763:H458763 IX458763:JD458763 ST458763:SZ458763 ACP458763:ACV458763 AML458763:AMR458763 AWH458763:AWN458763 BGD458763:BGJ458763 BPZ458763:BQF458763 BZV458763:CAB458763 CJR458763:CJX458763 CTN458763:CTT458763 DDJ458763:DDP458763 DNF458763:DNL458763 DXB458763:DXH458763 EGX458763:EHD458763 EQT458763:EQZ458763 FAP458763:FAV458763 FKL458763:FKR458763 FUH458763:FUN458763 GED458763:GEJ458763 GNZ458763:GOF458763 GXV458763:GYB458763 HHR458763:HHX458763 HRN458763:HRT458763 IBJ458763:IBP458763 ILF458763:ILL458763 IVB458763:IVH458763 JEX458763:JFD458763 JOT458763:JOZ458763 JYP458763:JYV458763 KIL458763:KIR458763 KSH458763:KSN458763 LCD458763:LCJ458763 LLZ458763:LMF458763 LVV458763:LWB458763 MFR458763:MFX458763 MPN458763:MPT458763 MZJ458763:MZP458763 NJF458763:NJL458763 NTB458763:NTH458763 OCX458763:ODD458763 OMT458763:OMZ458763 OWP458763:OWV458763 PGL458763:PGR458763 PQH458763:PQN458763 QAD458763:QAJ458763 QJZ458763:QKF458763 QTV458763:QUB458763 RDR458763:RDX458763 RNN458763:RNT458763 RXJ458763:RXP458763 SHF458763:SHL458763 SRB458763:SRH458763 TAX458763:TBD458763 TKT458763:TKZ458763 TUP458763:TUV458763 UEL458763:UER458763 UOH458763:UON458763 UYD458763:UYJ458763 VHZ458763:VIF458763 VRV458763:VSB458763 WBR458763:WBX458763 WLN458763:WLT458763 WVJ458763:WVP458763 B524299:H524299 IX524299:JD524299 ST524299:SZ524299 ACP524299:ACV524299 AML524299:AMR524299 AWH524299:AWN524299 BGD524299:BGJ524299 BPZ524299:BQF524299 BZV524299:CAB524299 CJR524299:CJX524299 CTN524299:CTT524299 DDJ524299:DDP524299 DNF524299:DNL524299 DXB524299:DXH524299 EGX524299:EHD524299 EQT524299:EQZ524299 FAP524299:FAV524299 FKL524299:FKR524299 FUH524299:FUN524299 GED524299:GEJ524299 GNZ524299:GOF524299 GXV524299:GYB524299 HHR524299:HHX524299 HRN524299:HRT524299 IBJ524299:IBP524299 ILF524299:ILL524299 IVB524299:IVH524299 JEX524299:JFD524299 JOT524299:JOZ524299 JYP524299:JYV524299 KIL524299:KIR524299 KSH524299:KSN524299 LCD524299:LCJ524299 LLZ524299:LMF524299 LVV524299:LWB524299 MFR524299:MFX524299 MPN524299:MPT524299 MZJ524299:MZP524299 NJF524299:NJL524299 NTB524299:NTH524299 OCX524299:ODD524299 OMT524299:OMZ524299 OWP524299:OWV524299 PGL524299:PGR524299 PQH524299:PQN524299 QAD524299:QAJ524299 QJZ524299:QKF524299 QTV524299:QUB524299 RDR524299:RDX524299 RNN524299:RNT524299 RXJ524299:RXP524299 SHF524299:SHL524299 SRB524299:SRH524299 TAX524299:TBD524299 TKT524299:TKZ524299 TUP524299:TUV524299 UEL524299:UER524299 UOH524299:UON524299 UYD524299:UYJ524299 VHZ524299:VIF524299 VRV524299:VSB524299 WBR524299:WBX524299 WLN524299:WLT524299 WVJ524299:WVP524299 B589835:H589835 IX589835:JD589835 ST589835:SZ589835 ACP589835:ACV589835 AML589835:AMR589835 AWH589835:AWN589835 BGD589835:BGJ589835 BPZ589835:BQF589835 BZV589835:CAB589835 CJR589835:CJX589835 CTN589835:CTT589835 DDJ589835:DDP589835 DNF589835:DNL589835 DXB589835:DXH589835 EGX589835:EHD589835 EQT589835:EQZ589835 FAP589835:FAV589835 FKL589835:FKR589835 FUH589835:FUN589835 GED589835:GEJ589835 GNZ589835:GOF589835 GXV589835:GYB589835 HHR589835:HHX589835 HRN589835:HRT589835 IBJ589835:IBP589835 ILF589835:ILL589835 IVB589835:IVH589835 JEX589835:JFD589835 JOT589835:JOZ589835 JYP589835:JYV589835 KIL589835:KIR589835 KSH589835:KSN589835 LCD589835:LCJ589835 LLZ589835:LMF589835 LVV589835:LWB589835 MFR589835:MFX589835 MPN589835:MPT589835 MZJ589835:MZP589835 NJF589835:NJL589835 NTB589835:NTH589835 OCX589835:ODD589835 OMT589835:OMZ589835 OWP589835:OWV589835 PGL589835:PGR589835 PQH589835:PQN589835 QAD589835:QAJ589835 QJZ589835:QKF589835 QTV589835:QUB589835 RDR589835:RDX589835 RNN589835:RNT589835 RXJ589835:RXP589835 SHF589835:SHL589835 SRB589835:SRH589835 TAX589835:TBD589835 TKT589835:TKZ589835 TUP589835:TUV589835 UEL589835:UER589835 UOH589835:UON589835 UYD589835:UYJ589835 VHZ589835:VIF589835 VRV589835:VSB589835 WBR589835:WBX589835 WLN589835:WLT589835 WVJ589835:WVP589835 B655371:H655371 IX655371:JD655371 ST655371:SZ655371 ACP655371:ACV655371 AML655371:AMR655371 AWH655371:AWN655371 BGD655371:BGJ655371 BPZ655371:BQF655371 BZV655371:CAB655371 CJR655371:CJX655371 CTN655371:CTT655371 DDJ655371:DDP655371 DNF655371:DNL655371 DXB655371:DXH655371 EGX655371:EHD655371 EQT655371:EQZ655371 FAP655371:FAV655371 FKL655371:FKR655371 FUH655371:FUN655371 GED655371:GEJ655371 GNZ655371:GOF655371 GXV655371:GYB655371 HHR655371:HHX655371 HRN655371:HRT655371 IBJ655371:IBP655371 ILF655371:ILL655371 IVB655371:IVH655371 JEX655371:JFD655371 JOT655371:JOZ655371 JYP655371:JYV655371 KIL655371:KIR655371 KSH655371:KSN655371 LCD655371:LCJ655371 LLZ655371:LMF655371 LVV655371:LWB655371 MFR655371:MFX655371 MPN655371:MPT655371 MZJ655371:MZP655371 NJF655371:NJL655371 NTB655371:NTH655371 OCX655371:ODD655371 OMT655371:OMZ655371 OWP655371:OWV655371 PGL655371:PGR655371 PQH655371:PQN655371 QAD655371:QAJ655371 QJZ655371:QKF655371 QTV655371:QUB655371 RDR655371:RDX655371 RNN655371:RNT655371 RXJ655371:RXP655371 SHF655371:SHL655371 SRB655371:SRH655371 TAX655371:TBD655371 TKT655371:TKZ655371 TUP655371:TUV655371 UEL655371:UER655371 UOH655371:UON655371 UYD655371:UYJ655371 VHZ655371:VIF655371 VRV655371:VSB655371 WBR655371:WBX655371 WLN655371:WLT655371 WVJ655371:WVP655371 B720907:H720907 IX720907:JD720907 ST720907:SZ720907 ACP720907:ACV720907 AML720907:AMR720907 AWH720907:AWN720907 BGD720907:BGJ720907 BPZ720907:BQF720907 BZV720907:CAB720907 CJR720907:CJX720907 CTN720907:CTT720907 DDJ720907:DDP720907 DNF720907:DNL720907 DXB720907:DXH720907 EGX720907:EHD720907 EQT720907:EQZ720907 FAP720907:FAV720907 FKL720907:FKR720907 FUH720907:FUN720907 GED720907:GEJ720907 GNZ720907:GOF720907 GXV720907:GYB720907 HHR720907:HHX720907 HRN720907:HRT720907 IBJ720907:IBP720907 ILF720907:ILL720907 IVB720907:IVH720907 JEX720907:JFD720907 JOT720907:JOZ720907 JYP720907:JYV720907 KIL720907:KIR720907 KSH720907:KSN720907 LCD720907:LCJ720907 LLZ720907:LMF720907 LVV720907:LWB720907 MFR720907:MFX720907 MPN720907:MPT720907 MZJ720907:MZP720907 NJF720907:NJL720907 NTB720907:NTH720907 OCX720907:ODD720907 OMT720907:OMZ720907 OWP720907:OWV720907 PGL720907:PGR720907 PQH720907:PQN720907 QAD720907:QAJ720907 QJZ720907:QKF720907 QTV720907:QUB720907 RDR720907:RDX720907 RNN720907:RNT720907 RXJ720907:RXP720907 SHF720907:SHL720907 SRB720907:SRH720907 TAX720907:TBD720907 TKT720907:TKZ720907 TUP720907:TUV720907 UEL720907:UER720907 UOH720907:UON720907 UYD720907:UYJ720907 VHZ720907:VIF720907 VRV720907:VSB720907 WBR720907:WBX720907 WLN720907:WLT720907 WVJ720907:WVP720907 B786443:H786443 IX786443:JD786443 ST786443:SZ786443 ACP786443:ACV786443 AML786443:AMR786443 AWH786443:AWN786443 BGD786443:BGJ786443 BPZ786443:BQF786443 BZV786443:CAB786443 CJR786443:CJX786443 CTN786443:CTT786443 DDJ786443:DDP786443 DNF786443:DNL786443 DXB786443:DXH786443 EGX786443:EHD786443 EQT786443:EQZ786443 FAP786443:FAV786443 FKL786443:FKR786443 FUH786443:FUN786443 GED786443:GEJ786443 GNZ786443:GOF786443 GXV786443:GYB786443 HHR786443:HHX786443 HRN786443:HRT786443 IBJ786443:IBP786443 ILF786443:ILL786443 IVB786443:IVH786443 JEX786443:JFD786443 JOT786443:JOZ786443 JYP786443:JYV786443 KIL786443:KIR786443 KSH786443:KSN786443 LCD786443:LCJ786443 LLZ786443:LMF786443 LVV786443:LWB786443 MFR786443:MFX786443 MPN786443:MPT786443 MZJ786443:MZP786443 NJF786443:NJL786443 NTB786443:NTH786443 OCX786443:ODD786443 OMT786443:OMZ786443 OWP786443:OWV786443 PGL786443:PGR786443 PQH786443:PQN786443 QAD786443:QAJ786443 QJZ786443:QKF786443 QTV786443:QUB786443 RDR786443:RDX786443 RNN786443:RNT786443 RXJ786443:RXP786443 SHF786443:SHL786443 SRB786443:SRH786443 TAX786443:TBD786443 TKT786443:TKZ786443 TUP786443:TUV786443 UEL786443:UER786443 UOH786443:UON786443 UYD786443:UYJ786443 VHZ786443:VIF786443 VRV786443:VSB786443 WBR786443:WBX786443 WLN786443:WLT786443 WVJ786443:WVP786443 B851979:H851979 IX851979:JD851979 ST851979:SZ851979 ACP851979:ACV851979 AML851979:AMR851979 AWH851979:AWN851979 BGD851979:BGJ851979 BPZ851979:BQF851979 BZV851979:CAB851979 CJR851979:CJX851979 CTN851979:CTT851979 DDJ851979:DDP851979 DNF851979:DNL851979 DXB851979:DXH851979 EGX851979:EHD851979 EQT851979:EQZ851979 FAP851979:FAV851979 FKL851979:FKR851979 FUH851979:FUN851979 GED851979:GEJ851979 GNZ851979:GOF851979 GXV851979:GYB851979 HHR851979:HHX851979 HRN851979:HRT851979 IBJ851979:IBP851979 ILF851979:ILL851979 IVB851979:IVH851979 JEX851979:JFD851979 JOT851979:JOZ851979 JYP851979:JYV851979 KIL851979:KIR851979 KSH851979:KSN851979 LCD851979:LCJ851979 LLZ851979:LMF851979 LVV851979:LWB851979 MFR851979:MFX851979 MPN851979:MPT851979 MZJ851979:MZP851979 NJF851979:NJL851979 NTB851979:NTH851979 OCX851979:ODD851979 OMT851979:OMZ851979 OWP851979:OWV851979 PGL851979:PGR851979 PQH851979:PQN851979 QAD851979:QAJ851979 QJZ851979:QKF851979 QTV851979:QUB851979 RDR851979:RDX851979 RNN851979:RNT851979 RXJ851979:RXP851979 SHF851979:SHL851979 SRB851979:SRH851979 TAX851979:TBD851979 TKT851979:TKZ851979 TUP851979:TUV851979 UEL851979:UER851979 UOH851979:UON851979 UYD851979:UYJ851979 VHZ851979:VIF851979 VRV851979:VSB851979 WBR851979:WBX851979 WLN851979:WLT851979 WVJ851979:WVP851979 B917515:H917515 IX917515:JD917515 ST917515:SZ917515 ACP917515:ACV917515 AML917515:AMR917515 AWH917515:AWN917515 BGD917515:BGJ917515 BPZ917515:BQF917515 BZV917515:CAB917515 CJR917515:CJX917515 CTN917515:CTT917515 DDJ917515:DDP917515 DNF917515:DNL917515 DXB917515:DXH917515 EGX917515:EHD917515 EQT917515:EQZ917515 FAP917515:FAV917515 FKL917515:FKR917515 FUH917515:FUN917515 GED917515:GEJ917515 GNZ917515:GOF917515 GXV917515:GYB917515 HHR917515:HHX917515 HRN917515:HRT917515 IBJ917515:IBP917515 ILF917515:ILL917515 IVB917515:IVH917515 JEX917515:JFD917515 JOT917515:JOZ917515 JYP917515:JYV917515 KIL917515:KIR917515 KSH917515:KSN917515 LCD917515:LCJ917515 LLZ917515:LMF917515 LVV917515:LWB917515 MFR917515:MFX917515 MPN917515:MPT917515 MZJ917515:MZP917515 NJF917515:NJL917515 NTB917515:NTH917515 OCX917515:ODD917515 OMT917515:OMZ917515 OWP917515:OWV917515 PGL917515:PGR917515 PQH917515:PQN917515 QAD917515:QAJ917515 QJZ917515:QKF917515 QTV917515:QUB917515 RDR917515:RDX917515 RNN917515:RNT917515 RXJ917515:RXP917515 SHF917515:SHL917515 SRB917515:SRH917515 TAX917515:TBD917515 TKT917515:TKZ917515 TUP917515:TUV917515 UEL917515:UER917515 UOH917515:UON917515 UYD917515:UYJ917515 VHZ917515:VIF917515 VRV917515:VSB917515 WBR917515:WBX917515 WLN917515:WLT917515 WVJ917515:WVP917515 B983051:H983051 IX983051:JD983051 ST983051:SZ983051 ACP983051:ACV983051 AML983051:AMR983051 AWH983051:AWN983051 BGD983051:BGJ983051 BPZ983051:BQF983051 BZV983051:CAB983051 CJR983051:CJX983051 CTN983051:CTT983051 DDJ983051:DDP983051 DNF983051:DNL983051 DXB983051:DXH983051 EGX983051:EHD983051 EQT983051:EQZ983051 FAP983051:FAV983051 FKL983051:FKR983051 FUH983051:FUN983051 GED983051:GEJ983051 GNZ983051:GOF983051 GXV983051:GYB983051 HHR983051:HHX983051 HRN983051:HRT983051 IBJ983051:IBP983051 ILF983051:ILL983051 IVB983051:IVH983051 JEX983051:JFD983051 JOT983051:JOZ983051 JYP983051:JYV983051 KIL983051:KIR983051 KSH983051:KSN983051 LCD983051:LCJ983051 LLZ983051:LMF983051 LVV983051:LWB983051 MFR983051:MFX983051 MPN983051:MPT983051 MZJ983051:MZP983051 NJF983051:NJL983051 NTB983051:NTH983051 OCX983051:ODD983051 OMT983051:OMZ983051 OWP983051:OWV983051 PGL983051:PGR983051 PQH983051:PQN983051 QAD983051:QAJ983051 QJZ983051:QKF983051 QTV983051:QUB983051 RDR983051:RDX983051 RNN983051:RNT983051 RXJ983051:RXP983051 SHF983051:SHL983051 SRB983051:SRH983051 TAX983051:TBD983051 TKT983051:TKZ983051 TUP983051:TUV983051 UEL983051:UER983051 UOH983051:UON983051 UYD983051:UYJ983051 VHZ983051:VIF983051 VRV983051:VSB983051 WBR983051:WBX983051 WLN983051:WLT983051 WVJ983051:WVP983051 K11:L11 JG11:JH11 TC11:TD11 ACY11:ACZ11 AMU11:AMV11 AWQ11:AWR11 BGM11:BGN11 BQI11:BQJ11 CAE11:CAF11 CKA11:CKB11 CTW11:CTX11 DDS11:DDT11 DNO11:DNP11 DXK11:DXL11 EHG11:EHH11 ERC11:ERD11 FAY11:FAZ11 FKU11:FKV11 FUQ11:FUR11 GEM11:GEN11 GOI11:GOJ11 GYE11:GYF11 HIA11:HIB11 HRW11:HRX11 IBS11:IBT11 ILO11:ILP11 IVK11:IVL11 JFG11:JFH11 JPC11:JPD11 JYY11:JYZ11 KIU11:KIV11 KSQ11:KSR11 LCM11:LCN11 LMI11:LMJ11 LWE11:LWF11 MGA11:MGB11 MPW11:MPX11 MZS11:MZT11 NJO11:NJP11 NTK11:NTL11 ODG11:ODH11 ONC11:OND11 OWY11:OWZ11 PGU11:PGV11 PQQ11:PQR11 QAM11:QAN11 QKI11:QKJ11 QUE11:QUF11 REA11:REB11 RNW11:RNX11 RXS11:RXT11 SHO11:SHP11 SRK11:SRL11 TBG11:TBH11 TLC11:TLD11 TUY11:TUZ11 UEU11:UEV11 UOQ11:UOR11 UYM11:UYN11 VII11:VIJ11 VSE11:VSF11 WCA11:WCB11 WLW11:WLX11 WVS11:WVT11 K65547:L65547 JG65547:JH65547 TC65547:TD65547 ACY65547:ACZ65547 AMU65547:AMV65547 AWQ65547:AWR65547 BGM65547:BGN65547 BQI65547:BQJ65547 CAE65547:CAF65547 CKA65547:CKB65547 CTW65547:CTX65547 DDS65547:DDT65547 DNO65547:DNP65547 DXK65547:DXL65547 EHG65547:EHH65547 ERC65547:ERD65547 FAY65547:FAZ65547 FKU65547:FKV65547 FUQ65547:FUR65547 GEM65547:GEN65547 GOI65547:GOJ65547 GYE65547:GYF65547 HIA65547:HIB65547 HRW65547:HRX65547 IBS65547:IBT65547 ILO65547:ILP65547 IVK65547:IVL65547 JFG65547:JFH65547 JPC65547:JPD65547 JYY65547:JYZ65547 KIU65547:KIV65547 KSQ65547:KSR65547 LCM65547:LCN65547 LMI65547:LMJ65547 LWE65547:LWF65547 MGA65547:MGB65547 MPW65547:MPX65547 MZS65547:MZT65547 NJO65547:NJP65547 NTK65547:NTL65547 ODG65547:ODH65547 ONC65547:OND65547 OWY65547:OWZ65547 PGU65547:PGV65547 PQQ65547:PQR65547 QAM65547:QAN65547 QKI65547:QKJ65547 QUE65547:QUF65547 REA65547:REB65547 RNW65547:RNX65547 RXS65547:RXT65547 SHO65547:SHP65547 SRK65547:SRL65547 TBG65547:TBH65547 TLC65547:TLD65547 TUY65547:TUZ65547 UEU65547:UEV65547 UOQ65547:UOR65547 UYM65547:UYN65547 VII65547:VIJ65547 VSE65547:VSF65547 WCA65547:WCB65547 WLW65547:WLX65547 WVS65547:WVT65547 K131083:L131083 JG131083:JH131083 TC131083:TD131083 ACY131083:ACZ131083 AMU131083:AMV131083 AWQ131083:AWR131083 BGM131083:BGN131083 BQI131083:BQJ131083 CAE131083:CAF131083 CKA131083:CKB131083 CTW131083:CTX131083 DDS131083:DDT131083 DNO131083:DNP131083 DXK131083:DXL131083 EHG131083:EHH131083 ERC131083:ERD131083 FAY131083:FAZ131083 FKU131083:FKV131083 FUQ131083:FUR131083 GEM131083:GEN131083 GOI131083:GOJ131083 GYE131083:GYF131083 HIA131083:HIB131083 HRW131083:HRX131083 IBS131083:IBT131083 ILO131083:ILP131083 IVK131083:IVL131083 JFG131083:JFH131083 JPC131083:JPD131083 JYY131083:JYZ131083 KIU131083:KIV131083 KSQ131083:KSR131083 LCM131083:LCN131083 LMI131083:LMJ131083 LWE131083:LWF131083 MGA131083:MGB131083 MPW131083:MPX131083 MZS131083:MZT131083 NJO131083:NJP131083 NTK131083:NTL131083 ODG131083:ODH131083 ONC131083:OND131083 OWY131083:OWZ131083 PGU131083:PGV131083 PQQ131083:PQR131083 QAM131083:QAN131083 QKI131083:QKJ131083 QUE131083:QUF131083 REA131083:REB131083 RNW131083:RNX131083 RXS131083:RXT131083 SHO131083:SHP131083 SRK131083:SRL131083 TBG131083:TBH131083 TLC131083:TLD131083 TUY131083:TUZ131083 UEU131083:UEV131083 UOQ131083:UOR131083 UYM131083:UYN131083 VII131083:VIJ131083 VSE131083:VSF131083 WCA131083:WCB131083 WLW131083:WLX131083 WVS131083:WVT131083 K196619:L196619 JG196619:JH196619 TC196619:TD196619 ACY196619:ACZ196619 AMU196619:AMV196619 AWQ196619:AWR196619 BGM196619:BGN196619 BQI196619:BQJ196619 CAE196619:CAF196619 CKA196619:CKB196619 CTW196619:CTX196619 DDS196619:DDT196619 DNO196619:DNP196619 DXK196619:DXL196619 EHG196619:EHH196619 ERC196619:ERD196619 FAY196619:FAZ196619 FKU196619:FKV196619 FUQ196619:FUR196619 GEM196619:GEN196619 GOI196619:GOJ196619 GYE196619:GYF196619 HIA196619:HIB196619 HRW196619:HRX196619 IBS196619:IBT196619 ILO196619:ILP196619 IVK196619:IVL196619 JFG196619:JFH196619 JPC196619:JPD196619 JYY196619:JYZ196619 KIU196619:KIV196619 KSQ196619:KSR196619 LCM196619:LCN196619 LMI196619:LMJ196619 LWE196619:LWF196619 MGA196619:MGB196619 MPW196619:MPX196619 MZS196619:MZT196619 NJO196619:NJP196619 NTK196619:NTL196619 ODG196619:ODH196619 ONC196619:OND196619 OWY196619:OWZ196619 PGU196619:PGV196619 PQQ196619:PQR196619 QAM196619:QAN196619 QKI196619:QKJ196619 QUE196619:QUF196619 REA196619:REB196619 RNW196619:RNX196619 RXS196619:RXT196619 SHO196619:SHP196619 SRK196619:SRL196619 TBG196619:TBH196619 TLC196619:TLD196619 TUY196619:TUZ196619 UEU196619:UEV196619 UOQ196619:UOR196619 UYM196619:UYN196619 VII196619:VIJ196619 VSE196619:VSF196619 WCA196619:WCB196619 WLW196619:WLX196619 WVS196619:WVT196619 K262155:L262155 JG262155:JH262155 TC262155:TD262155 ACY262155:ACZ262155 AMU262155:AMV262155 AWQ262155:AWR262155 BGM262155:BGN262155 BQI262155:BQJ262155 CAE262155:CAF262155 CKA262155:CKB262155 CTW262155:CTX262155 DDS262155:DDT262155 DNO262155:DNP262155 DXK262155:DXL262155 EHG262155:EHH262155 ERC262155:ERD262155 FAY262155:FAZ262155 FKU262155:FKV262155 FUQ262155:FUR262155 GEM262155:GEN262155 GOI262155:GOJ262155 GYE262155:GYF262155 HIA262155:HIB262155 HRW262155:HRX262155 IBS262155:IBT262155 ILO262155:ILP262155 IVK262155:IVL262155 JFG262155:JFH262155 JPC262155:JPD262155 JYY262155:JYZ262155 KIU262155:KIV262155 KSQ262155:KSR262155 LCM262155:LCN262155 LMI262155:LMJ262155 LWE262155:LWF262155 MGA262155:MGB262155 MPW262155:MPX262155 MZS262155:MZT262155 NJO262155:NJP262155 NTK262155:NTL262155 ODG262155:ODH262155 ONC262155:OND262155 OWY262155:OWZ262155 PGU262155:PGV262155 PQQ262155:PQR262155 QAM262155:QAN262155 QKI262155:QKJ262155 QUE262155:QUF262155 REA262155:REB262155 RNW262155:RNX262155 RXS262155:RXT262155 SHO262155:SHP262155 SRK262155:SRL262155 TBG262155:TBH262155 TLC262155:TLD262155 TUY262155:TUZ262155 UEU262155:UEV262155 UOQ262155:UOR262155 UYM262155:UYN262155 VII262155:VIJ262155 VSE262155:VSF262155 WCA262155:WCB262155 WLW262155:WLX262155 WVS262155:WVT262155 K327691:L327691 JG327691:JH327691 TC327691:TD327691 ACY327691:ACZ327691 AMU327691:AMV327691 AWQ327691:AWR327691 BGM327691:BGN327691 BQI327691:BQJ327691 CAE327691:CAF327691 CKA327691:CKB327691 CTW327691:CTX327691 DDS327691:DDT327691 DNO327691:DNP327691 DXK327691:DXL327691 EHG327691:EHH327691 ERC327691:ERD327691 FAY327691:FAZ327691 FKU327691:FKV327691 FUQ327691:FUR327691 GEM327691:GEN327691 GOI327691:GOJ327691 GYE327691:GYF327691 HIA327691:HIB327691 HRW327691:HRX327691 IBS327691:IBT327691 ILO327691:ILP327691 IVK327691:IVL327691 JFG327691:JFH327691 JPC327691:JPD327691 JYY327691:JYZ327691 KIU327691:KIV327691 KSQ327691:KSR327691 LCM327691:LCN327691 LMI327691:LMJ327691 LWE327691:LWF327691 MGA327691:MGB327691 MPW327691:MPX327691 MZS327691:MZT327691 NJO327691:NJP327691 NTK327691:NTL327691 ODG327691:ODH327691 ONC327691:OND327691 OWY327691:OWZ327691 PGU327691:PGV327691 PQQ327691:PQR327691 QAM327691:QAN327691 QKI327691:QKJ327691 QUE327691:QUF327691 REA327691:REB327691 RNW327691:RNX327691 RXS327691:RXT327691 SHO327691:SHP327691 SRK327691:SRL327691 TBG327691:TBH327691 TLC327691:TLD327691 TUY327691:TUZ327691 UEU327691:UEV327691 UOQ327691:UOR327691 UYM327691:UYN327691 VII327691:VIJ327691 VSE327691:VSF327691 WCA327691:WCB327691 WLW327691:WLX327691 WVS327691:WVT327691 K393227:L393227 JG393227:JH393227 TC393227:TD393227 ACY393227:ACZ393227 AMU393227:AMV393227 AWQ393227:AWR393227 BGM393227:BGN393227 BQI393227:BQJ393227 CAE393227:CAF393227 CKA393227:CKB393227 CTW393227:CTX393227 DDS393227:DDT393227 DNO393227:DNP393227 DXK393227:DXL393227 EHG393227:EHH393227 ERC393227:ERD393227 FAY393227:FAZ393227 FKU393227:FKV393227 FUQ393227:FUR393227 GEM393227:GEN393227 GOI393227:GOJ393227 GYE393227:GYF393227 HIA393227:HIB393227 HRW393227:HRX393227 IBS393227:IBT393227 ILO393227:ILP393227 IVK393227:IVL393227 JFG393227:JFH393227 JPC393227:JPD393227 JYY393227:JYZ393227 KIU393227:KIV393227 KSQ393227:KSR393227 LCM393227:LCN393227 LMI393227:LMJ393227 LWE393227:LWF393227 MGA393227:MGB393227 MPW393227:MPX393227 MZS393227:MZT393227 NJO393227:NJP393227 NTK393227:NTL393227 ODG393227:ODH393227 ONC393227:OND393227 OWY393227:OWZ393227 PGU393227:PGV393227 PQQ393227:PQR393227 QAM393227:QAN393227 QKI393227:QKJ393227 QUE393227:QUF393227 REA393227:REB393227 RNW393227:RNX393227 RXS393227:RXT393227 SHO393227:SHP393227 SRK393227:SRL393227 TBG393227:TBH393227 TLC393227:TLD393227 TUY393227:TUZ393227 UEU393227:UEV393227 UOQ393227:UOR393227 UYM393227:UYN393227 VII393227:VIJ393227 VSE393227:VSF393227 WCA393227:WCB393227 WLW393227:WLX393227 WVS393227:WVT393227 K458763:L458763 JG458763:JH458763 TC458763:TD458763 ACY458763:ACZ458763 AMU458763:AMV458763 AWQ458763:AWR458763 BGM458763:BGN458763 BQI458763:BQJ458763 CAE458763:CAF458763 CKA458763:CKB458763 CTW458763:CTX458763 DDS458763:DDT458763 DNO458763:DNP458763 DXK458763:DXL458763 EHG458763:EHH458763 ERC458763:ERD458763 FAY458763:FAZ458763 FKU458763:FKV458763 FUQ458763:FUR458763 GEM458763:GEN458763 GOI458763:GOJ458763 GYE458763:GYF458763 HIA458763:HIB458763 HRW458763:HRX458763 IBS458763:IBT458763 ILO458763:ILP458763 IVK458763:IVL458763 JFG458763:JFH458763 JPC458763:JPD458763 JYY458763:JYZ458763 KIU458763:KIV458763 KSQ458763:KSR458763 LCM458763:LCN458763 LMI458763:LMJ458763 LWE458763:LWF458763 MGA458763:MGB458763 MPW458763:MPX458763 MZS458763:MZT458763 NJO458763:NJP458763 NTK458763:NTL458763 ODG458763:ODH458763 ONC458763:OND458763 OWY458763:OWZ458763 PGU458763:PGV458763 PQQ458763:PQR458763 QAM458763:QAN458763 QKI458763:QKJ458763 QUE458763:QUF458763 REA458763:REB458763 RNW458763:RNX458763 RXS458763:RXT458763 SHO458763:SHP458763 SRK458763:SRL458763 TBG458763:TBH458763 TLC458763:TLD458763 TUY458763:TUZ458763 UEU458763:UEV458763 UOQ458763:UOR458763 UYM458763:UYN458763 VII458763:VIJ458763 VSE458763:VSF458763 WCA458763:WCB458763 WLW458763:WLX458763 WVS458763:WVT458763 K524299:L524299 JG524299:JH524299 TC524299:TD524299 ACY524299:ACZ524299 AMU524299:AMV524299 AWQ524299:AWR524299 BGM524299:BGN524299 BQI524299:BQJ524299 CAE524299:CAF524299 CKA524299:CKB524299 CTW524299:CTX524299 DDS524299:DDT524299 DNO524299:DNP524299 DXK524299:DXL524299 EHG524299:EHH524299 ERC524299:ERD524299 FAY524299:FAZ524299 FKU524299:FKV524299 FUQ524299:FUR524299 GEM524299:GEN524299 GOI524299:GOJ524299 GYE524299:GYF524299 HIA524299:HIB524299 HRW524299:HRX524299 IBS524299:IBT524299 ILO524299:ILP524299 IVK524299:IVL524299 JFG524299:JFH524299 JPC524299:JPD524299 JYY524299:JYZ524299 KIU524299:KIV524299 KSQ524299:KSR524299 LCM524299:LCN524299 LMI524299:LMJ524299 LWE524299:LWF524299 MGA524299:MGB524299 MPW524299:MPX524299 MZS524299:MZT524299 NJO524299:NJP524299 NTK524299:NTL524299 ODG524299:ODH524299 ONC524299:OND524299 OWY524299:OWZ524299 PGU524299:PGV524299 PQQ524299:PQR524299 QAM524299:QAN524299 QKI524299:QKJ524299 QUE524299:QUF524299 REA524299:REB524299 RNW524299:RNX524299 RXS524299:RXT524299 SHO524299:SHP524299 SRK524299:SRL524299 TBG524299:TBH524299 TLC524299:TLD524299 TUY524299:TUZ524299 UEU524299:UEV524299 UOQ524299:UOR524299 UYM524299:UYN524299 VII524299:VIJ524299 VSE524299:VSF524299 WCA524299:WCB524299 WLW524299:WLX524299 WVS524299:WVT524299 K589835:L589835 JG589835:JH589835 TC589835:TD589835 ACY589835:ACZ589835 AMU589835:AMV589835 AWQ589835:AWR589835 BGM589835:BGN589835 BQI589835:BQJ589835 CAE589835:CAF589835 CKA589835:CKB589835 CTW589835:CTX589835 DDS589835:DDT589835 DNO589835:DNP589835 DXK589835:DXL589835 EHG589835:EHH589835 ERC589835:ERD589835 FAY589835:FAZ589835 FKU589835:FKV589835 FUQ589835:FUR589835 GEM589835:GEN589835 GOI589835:GOJ589835 GYE589835:GYF589835 HIA589835:HIB589835 HRW589835:HRX589835 IBS589835:IBT589835 ILO589835:ILP589835 IVK589835:IVL589835 JFG589835:JFH589835 JPC589835:JPD589835 JYY589835:JYZ589835 KIU589835:KIV589835 KSQ589835:KSR589835 LCM589835:LCN589835 LMI589835:LMJ589835 LWE589835:LWF589835 MGA589835:MGB589835 MPW589835:MPX589835 MZS589835:MZT589835 NJO589835:NJP589835 NTK589835:NTL589835 ODG589835:ODH589835 ONC589835:OND589835 OWY589835:OWZ589835 PGU589835:PGV589835 PQQ589835:PQR589835 QAM589835:QAN589835 QKI589835:QKJ589835 QUE589835:QUF589835 REA589835:REB589835 RNW589835:RNX589835 RXS589835:RXT589835 SHO589835:SHP589835 SRK589835:SRL589835 TBG589835:TBH589835 TLC589835:TLD589835 TUY589835:TUZ589835 UEU589835:UEV589835 UOQ589835:UOR589835 UYM589835:UYN589835 VII589835:VIJ589835 VSE589835:VSF589835 WCA589835:WCB589835 WLW589835:WLX589835 WVS589835:WVT589835 K655371:L655371 JG655371:JH655371 TC655371:TD655371 ACY655371:ACZ655371 AMU655371:AMV655371 AWQ655371:AWR655371 BGM655371:BGN655371 BQI655371:BQJ655371 CAE655371:CAF655371 CKA655371:CKB655371 CTW655371:CTX655371 DDS655371:DDT655371 DNO655371:DNP655371 DXK655371:DXL655371 EHG655371:EHH655371 ERC655371:ERD655371 FAY655371:FAZ655371 FKU655371:FKV655371 FUQ655371:FUR655371 GEM655371:GEN655371 GOI655371:GOJ655371 GYE655371:GYF655371 HIA655371:HIB655371 HRW655371:HRX655371 IBS655371:IBT655371 ILO655371:ILP655371 IVK655371:IVL655371 JFG655371:JFH655371 JPC655371:JPD655371 JYY655371:JYZ655371 KIU655371:KIV655371 KSQ655371:KSR655371 LCM655371:LCN655371 LMI655371:LMJ655371 LWE655371:LWF655371 MGA655371:MGB655371 MPW655371:MPX655371 MZS655371:MZT655371 NJO655371:NJP655371 NTK655371:NTL655371 ODG655371:ODH655371 ONC655371:OND655371 OWY655371:OWZ655371 PGU655371:PGV655371 PQQ655371:PQR655371 QAM655371:QAN655371 QKI655371:QKJ655371 QUE655371:QUF655371 REA655371:REB655371 RNW655371:RNX655371 RXS655371:RXT655371 SHO655371:SHP655371 SRK655371:SRL655371 TBG655371:TBH655371 TLC655371:TLD655371 TUY655371:TUZ655371 UEU655371:UEV655371 UOQ655371:UOR655371 UYM655371:UYN655371 VII655371:VIJ655371 VSE655371:VSF655371 WCA655371:WCB655371 WLW655371:WLX655371 WVS655371:WVT655371 K720907:L720907 JG720907:JH720907 TC720907:TD720907 ACY720907:ACZ720907 AMU720907:AMV720907 AWQ720907:AWR720907 BGM720907:BGN720907 BQI720907:BQJ720907 CAE720907:CAF720907 CKA720907:CKB720907 CTW720907:CTX720907 DDS720907:DDT720907 DNO720907:DNP720907 DXK720907:DXL720907 EHG720907:EHH720907 ERC720907:ERD720907 FAY720907:FAZ720907 FKU720907:FKV720907 FUQ720907:FUR720907 GEM720907:GEN720907 GOI720907:GOJ720907 GYE720907:GYF720907 HIA720907:HIB720907 HRW720907:HRX720907 IBS720907:IBT720907 ILO720907:ILP720907 IVK720907:IVL720907 JFG720907:JFH720907 JPC720907:JPD720907 JYY720907:JYZ720907 KIU720907:KIV720907 KSQ720907:KSR720907 LCM720907:LCN720907 LMI720907:LMJ720907 LWE720907:LWF720907 MGA720907:MGB720907 MPW720907:MPX720907 MZS720907:MZT720907 NJO720907:NJP720907 NTK720907:NTL720907 ODG720907:ODH720907 ONC720907:OND720907 OWY720907:OWZ720907 PGU720907:PGV720907 PQQ720907:PQR720907 QAM720907:QAN720907 QKI720907:QKJ720907 QUE720907:QUF720907 REA720907:REB720907 RNW720907:RNX720907 RXS720907:RXT720907 SHO720907:SHP720907 SRK720907:SRL720907 TBG720907:TBH720907 TLC720907:TLD720907 TUY720907:TUZ720907 UEU720907:UEV720907 UOQ720907:UOR720907 UYM720907:UYN720907 VII720907:VIJ720907 VSE720907:VSF720907 WCA720907:WCB720907 WLW720907:WLX720907 WVS720907:WVT720907 K786443:L786443 JG786443:JH786443 TC786443:TD786443 ACY786443:ACZ786443 AMU786443:AMV786443 AWQ786443:AWR786443 BGM786443:BGN786443 BQI786443:BQJ786443 CAE786443:CAF786443 CKA786443:CKB786443 CTW786443:CTX786443 DDS786443:DDT786443 DNO786443:DNP786443 DXK786443:DXL786443 EHG786443:EHH786443 ERC786443:ERD786443 FAY786443:FAZ786443 FKU786443:FKV786443 FUQ786443:FUR786443 GEM786443:GEN786443 GOI786443:GOJ786443 GYE786443:GYF786443 HIA786443:HIB786443 HRW786443:HRX786443 IBS786443:IBT786443 ILO786443:ILP786443 IVK786443:IVL786443 JFG786443:JFH786443 JPC786443:JPD786443 JYY786443:JYZ786443 KIU786443:KIV786443 KSQ786443:KSR786443 LCM786443:LCN786443 LMI786443:LMJ786443 LWE786443:LWF786443 MGA786443:MGB786443 MPW786443:MPX786443 MZS786443:MZT786443 NJO786443:NJP786443 NTK786443:NTL786443 ODG786443:ODH786443 ONC786443:OND786443 OWY786443:OWZ786443 PGU786443:PGV786443 PQQ786443:PQR786443 QAM786443:QAN786443 QKI786443:QKJ786443 QUE786443:QUF786443 REA786443:REB786443 RNW786443:RNX786443 RXS786443:RXT786443 SHO786443:SHP786443 SRK786443:SRL786443 TBG786443:TBH786443 TLC786443:TLD786443 TUY786443:TUZ786443 UEU786443:UEV786443 UOQ786443:UOR786443 UYM786443:UYN786443 VII786443:VIJ786443 VSE786443:VSF786443 WCA786443:WCB786443 WLW786443:WLX786443 WVS786443:WVT786443 K851979:L851979 JG851979:JH851979 TC851979:TD851979 ACY851979:ACZ851979 AMU851979:AMV851979 AWQ851979:AWR851979 BGM851979:BGN851979 BQI851979:BQJ851979 CAE851979:CAF851979 CKA851979:CKB851979 CTW851979:CTX851979 DDS851979:DDT851979 DNO851979:DNP851979 DXK851979:DXL851979 EHG851979:EHH851979 ERC851979:ERD851979 FAY851979:FAZ851979 FKU851979:FKV851979 FUQ851979:FUR851979 GEM851979:GEN851979 GOI851979:GOJ851979 GYE851979:GYF851979 HIA851979:HIB851979 HRW851979:HRX851979 IBS851979:IBT851979 ILO851979:ILP851979 IVK851979:IVL851979 JFG851979:JFH851979 JPC851979:JPD851979 JYY851979:JYZ851979 KIU851979:KIV851979 KSQ851979:KSR851979 LCM851979:LCN851979 LMI851979:LMJ851979 LWE851979:LWF851979 MGA851979:MGB851979 MPW851979:MPX851979 MZS851979:MZT851979 NJO851979:NJP851979 NTK851979:NTL851979 ODG851979:ODH851979 ONC851979:OND851979 OWY851979:OWZ851979 PGU851979:PGV851979 PQQ851979:PQR851979 QAM851979:QAN851979 QKI851979:QKJ851979 QUE851979:QUF851979 REA851979:REB851979 RNW851979:RNX851979 RXS851979:RXT851979 SHO851979:SHP851979 SRK851979:SRL851979 TBG851979:TBH851979 TLC851979:TLD851979 TUY851979:TUZ851979 UEU851979:UEV851979 UOQ851979:UOR851979 UYM851979:UYN851979 VII851979:VIJ851979 VSE851979:VSF851979 WCA851979:WCB851979 WLW851979:WLX851979 WVS851979:WVT851979 K917515:L917515 JG917515:JH917515 TC917515:TD917515 ACY917515:ACZ917515 AMU917515:AMV917515 AWQ917515:AWR917515 BGM917515:BGN917515 BQI917515:BQJ917515 CAE917515:CAF917515 CKA917515:CKB917515 CTW917515:CTX917515 DDS917515:DDT917515 DNO917515:DNP917515 DXK917515:DXL917515 EHG917515:EHH917515 ERC917515:ERD917515 FAY917515:FAZ917515 FKU917515:FKV917515 FUQ917515:FUR917515 GEM917515:GEN917515 GOI917515:GOJ917515 GYE917515:GYF917515 HIA917515:HIB917515 HRW917515:HRX917515 IBS917515:IBT917515 ILO917515:ILP917515 IVK917515:IVL917515 JFG917515:JFH917515 JPC917515:JPD917515 JYY917515:JYZ917515 KIU917515:KIV917515 KSQ917515:KSR917515 LCM917515:LCN917515 LMI917515:LMJ917515 LWE917515:LWF917515 MGA917515:MGB917515 MPW917515:MPX917515 MZS917515:MZT917515 NJO917515:NJP917515 NTK917515:NTL917515 ODG917515:ODH917515 ONC917515:OND917515 OWY917515:OWZ917515 PGU917515:PGV917515 PQQ917515:PQR917515 QAM917515:QAN917515 QKI917515:QKJ917515 QUE917515:QUF917515 REA917515:REB917515 RNW917515:RNX917515 RXS917515:RXT917515 SHO917515:SHP917515 SRK917515:SRL917515 TBG917515:TBH917515 TLC917515:TLD917515 TUY917515:TUZ917515 UEU917515:UEV917515 UOQ917515:UOR917515 UYM917515:UYN917515 VII917515:VIJ917515 VSE917515:VSF917515 WCA917515:WCB917515 WLW917515:WLX917515 WVS917515:WVT917515 K983051:L983051 JG983051:JH983051 TC983051:TD983051 ACY983051:ACZ983051 AMU983051:AMV983051 AWQ983051:AWR983051 BGM983051:BGN983051 BQI983051:BQJ983051 CAE983051:CAF983051 CKA983051:CKB983051 CTW983051:CTX983051 DDS983051:DDT983051 DNO983051:DNP983051 DXK983051:DXL983051 EHG983051:EHH983051 ERC983051:ERD983051 FAY983051:FAZ983051 FKU983051:FKV983051 FUQ983051:FUR983051 GEM983051:GEN983051 GOI983051:GOJ983051 GYE983051:GYF983051 HIA983051:HIB983051 HRW983051:HRX983051 IBS983051:IBT983051 ILO983051:ILP983051 IVK983051:IVL983051 JFG983051:JFH983051 JPC983051:JPD983051 JYY983051:JYZ983051 KIU983051:KIV983051 KSQ983051:KSR983051 LCM983051:LCN983051 LMI983051:LMJ983051 LWE983051:LWF983051 MGA983051:MGB983051 MPW983051:MPX983051 MZS983051:MZT983051 NJO983051:NJP983051 NTK983051:NTL983051 ODG983051:ODH983051 ONC983051:OND983051 OWY983051:OWZ983051 PGU983051:PGV983051 PQQ983051:PQR983051 QAM983051:QAN983051 QKI983051:QKJ983051 QUE983051:QUF983051 REA983051:REB983051 RNW983051:RNX983051 RXS983051:RXT983051 SHO983051:SHP983051 SRK983051:SRL983051 TBG983051:TBH983051 TLC983051:TLD983051 TUY983051:TUZ983051 UEU983051:UEV983051 UOQ983051:UOR983051 UYM983051:UYN983051 VII983051:VIJ983051 VSE983051:VSF983051 WCA983051:WCB983051 WLW983051:WLX983051 WVS983051:WVT983051 B38:H38 IX38:JD38 ST38:SZ38 ACP38:ACV38 AML38:AMR38 AWH38:AWN38 BGD38:BGJ38 BPZ38:BQF38 BZV38:CAB38 CJR38:CJX38 CTN38:CTT38 DDJ38:DDP38 DNF38:DNL38 DXB38:DXH38 EGX38:EHD38 EQT38:EQZ38 FAP38:FAV38 FKL38:FKR38 FUH38:FUN38 GED38:GEJ38 GNZ38:GOF38 GXV38:GYB38 HHR38:HHX38 HRN38:HRT38 IBJ38:IBP38 ILF38:ILL38 IVB38:IVH38 JEX38:JFD38 JOT38:JOZ38 JYP38:JYV38 KIL38:KIR38 KSH38:KSN38 LCD38:LCJ38 LLZ38:LMF38 LVV38:LWB38 MFR38:MFX38 MPN38:MPT38 MZJ38:MZP38 NJF38:NJL38 NTB38:NTH38 OCX38:ODD38 OMT38:OMZ38 OWP38:OWV38 PGL38:PGR38 PQH38:PQN38 QAD38:QAJ38 QJZ38:QKF38 QTV38:QUB38 RDR38:RDX38 RNN38:RNT38 RXJ38:RXP38 SHF38:SHL38 SRB38:SRH38 TAX38:TBD38 TKT38:TKZ38 TUP38:TUV38 UEL38:UER38 UOH38:UON38 UYD38:UYJ38 VHZ38:VIF38 VRV38:VSB38 WBR38:WBX38 WLN38:WLT38 WVJ38:WVP38 B65574:H65574 IX65574:JD65574 ST65574:SZ65574 ACP65574:ACV65574 AML65574:AMR65574 AWH65574:AWN65574 BGD65574:BGJ65574 BPZ65574:BQF65574 BZV65574:CAB65574 CJR65574:CJX65574 CTN65574:CTT65574 DDJ65574:DDP65574 DNF65574:DNL65574 DXB65574:DXH65574 EGX65574:EHD65574 EQT65574:EQZ65574 FAP65574:FAV65574 FKL65574:FKR65574 FUH65574:FUN65574 GED65574:GEJ65574 GNZ65574:GOF65574 GXV65574:GYB65574 HHR65574:HHX65574 HRN65574:HRT65574 IBJ65574:IBP65574 ILF65574:ILL65574 IVB65574:IVH65574 JEX65574:JFD65574 JOT65574:JOZ65574 JYP65574:JYV65574 KIL65574:KIR65574 KSH65574:KSN65574 LCD65574:LCJ65574 LLZ65574:LMF65574 LVV65574:LWB65574 MFR65574:MFX65574 MPN65574:MPT65574 MZJ65574:MZP65574 NJF65574:NJL65574 NTB65574:NTH65574 OCX65574:ODD65574 OMT65574:OMZ65574 OWP65574:OWV65574 PGL65574:PGR65574 PQH65574:PQN65574 QAD65574:QAJ65574 QJZ65574:QKF65574 QTV65574:QUB65574 RDR65574:RDX65574 RNN65574:RNT65574 RXJ65574:RXP65574 SHF65574:SHL65574 SRB65574:SRH65574 TAX65574:TBD65574 TKT65574:TKZ65574 TUP65574:TUV65574 UEL65574:UER65574 UOH65574:UON65574 UYD65574:UYJ65574 VHZ65574:VIF65574 VRV65574:VSB65574 WBR65574:WBX65574 WLN65574:WLT65574 WVJ65574:WVP65574 B131110:H131110 IX131110:JD131110 ST131110:SZ131110 ACP131110:ACV131110 AML131110:AMR131110 AWH131110:AWN131110 BGD131110:BGJ131110 BPZ131110:BQF131110 BZV131110:CAB131110 CJR131110:CJX131110 CTN131110:CTT131110 DDJ131110:DDP131110 DNF131110:DNL131110 DXB131110:DXH131110 EGX131110:EHD131110 EQT131110:EQZ131110 FAP131110:FAV131110 FKL131110:FKR131110 FUH131110:FUN131110 GED131110:GEJ131110 GNZ131110:GOF131110 GXV131110:GYB131110 HHR131110:HHX131110 HRN131110:HRT131110 IBJ131110:IBP131110 ILF131110:ILL131110 IVB131110:IVH131110 JEX131110:JFD131110 JOT131110:JOZ131110 JYP131110:JYV131110 KIL131110:KIR131110 KSH131110:KSN131110 LCD131110:LCJ131110 LLZ131110:LMF131110 LVV131110:LWB131110 MFR131110:MFX131110 MPN131110:MPT131110 MZJ131110:MZP131110 NJF131110:NJL131110 NTB131110:NTH131110 OCX131110:ODD131110 OMT131110:OMZ131110 OWP131110:OWV131110 PGL131110:PGR131110 PQH131110:PQN131110 QAD131110:QAJ131110 QJZ131110:QKF131110 QTV131110:QUB131110 RDR131110:RDX131110 RNN131110:RNT131110 RXJ131110:RXP131110 SHF131110:SHL131110 SRB131110:SRH131110 TAX131110:TBD131110 TKT131110:TKZ131110 TUP131110:TUV131110 UEL131110:UER131110 UOH131110:UON131110 UYD131110:UYJ131110 VHZ131110:VIF131110 VRV131110:VSB131110 WBR131110:WBX131110 WLN131110:WLT131110 WVJ131110:WVP131110 B196646:H196646 IX196646:JD196646 ST196646:SZ196646 ACP196646:ACV196646 AML196646:AMR196646 AWH196646:AWN196646 BGD196646:BGJ196646 BPZ196646:BQF196646 BZV196646:CAB196646 CJR196646:CJX196646 CTN196646:CTT196646 DDJ196646:DDP196646 DNF196646:DNL196646 DXB196646:DXH196646 EGX196646:EHD196646 EQT196646:EQZ196646 FAP196646:FAV196646 FKL196646:FKR196646 FUH196646:FUN196646 GED196646:GEJ196646 GNZ196646:GOF196646 GXV196646:GYB196646 HHR196646:HHX196646 HRN196646:HRT196646 IBJ196646:IBP196646 ILF196646:ILL196646 IVB196646:IVH196646 JEX196646:JFD196646 JOT196646:JOZ196646 JYP196646:JYV196646 KIL196646:KIR196646 KSH196646:KSN196646 LCD196646:LCJ196646 LLZ196646:LMF196646 LVV196646:LWB196646 MFR196646:MFX196646 MPN196646:MPT196646 MZJ196646:MZP196646 NJF196646:NJL196646 NTB196646:NTH196646 OCX196646:ODD196646 OMT196646:OMZ196646 OWP196646:OWV196646 PGL196646:PGR196646 PQH196646:PQN196646 QAD196646:QAJ196646 QJZ196646:QKF196646 QTV196646:QUB196646 RDR196646:RDX196646 RNN196646:RNT196646 RXJ196646:RXP196646 SHF196646:SHL196646 SRB196646:SRH196646 TAX196646:TBD196646 TKT196646:TKZ196646 TUP196646:TUV196646 UEL196646:UER196646 UOH196646:UON196646 UYD196646:UYJ196646 VHZ196646:VIF196646 VRV196646:VSB196646 WBR196646:WBX196646 WLN196646:WLT196646 WVJ196646:WVP196646 B262182:H262182 IX262182:JD262182 ST262182:SZ262182 ACP262182:ACV262182 AML262182:AMR262182 AWH262182:AWN262182 BGD262182:BGJ262182 BPZ262182:BQF262182 BZV262182:CAB262182 CJR262182:CJX262182 CTN262182:CTT262182 DDJ262182:DDP262182 DNF262182:DNL262182 DXB262182:DXH262182 EGX262182:EHD262182 EQT262182:EQZ262182 FAP262182:FAV262182 FKL262182:FKR262182 FUH262182:FUN262182 GED262182:GEJ262182 GNZ262182:GOF262182 GXV262182:GYB262182 HHR262182:HHX262182 HRN262182:HRT262182 IBJ262182:IBP262182 ILF262182:ILL262182 IVB262182:IVH262182 JEX262182:JFD262182 JOT262182:JOZ262182 JYP262182:JYV262182 KIL262182:KIR262182 KSH262182:KSN262182 LCD262182:LCJ262182 LLZ262182:LMF262182 LVV262182:LWB262182 MFR262182:MFX262182 MPN262182:MPT262182 MZJ262182:MZP262182 NJF262182:NJL262182 NTB262182:NTH262182 OCX262182:ODD262182 OMT262182:OMZ262182 OWP262182:OWV262182 PGL262182:PGR262182 PQH262182:PQN262182 QAD262182:QAJ262182 QJZ262182:QKF262182 QTV262182:QUB262182 RDR262182:RDX262182 RNN262182:RNT262182 RXJ262182:RXP262182 SHF262182:SHL262182 SRB262182:SRH262182 TAX262182:TBD262182 TKT262182:TKZ262182 TUP262182:TUV262182 UEL262182:UER262182 UOH262182:UON262182 UYD262182:UYJ262182 VHZ262182:VIF262182 VRV262182:VSB262182 WBR262182:WBX262182 WLN262182:WLT262182 WVJ262182:WVP262182 B327718:H327718 IX327718:JD327718 ST327718:SZ327718 ACP327718:ACV327718 AML327718:AMR327718 AWH327718:AWN327718 BGD327718:BGJ327718 BPZ327718:BQF327718 BZV327718:CAB327718 CJR327718:CJX327718 CTN327718:CTT327718 DDJ327718:DDP327718 DNF327718:DNL327718 DXB327718:DXH327718 EGX327718:EHD327718 EQT327718:EQZ327718 FAP327718:FAV327718 FKL327718:FKR327718 FUH327718:FUN327718 GED327718:GEJ327718 GNZ327718:GOF327718 GXV327718:GYB327718 HHR327718:HHX327718 HRN327718:HRT327718 IBJ327718:IBP327718 ILF327718:ILL327718 IVB327718:IVH327718 JEX327718:JFD327718 JOT327718:JOZ327718 JYP327718:JYV327718 KIL327718:KIR327718 KSH327718:KSN327718 LCD327718:LCJ327718 LLZ327718:LMF327718 LVV327718:LWB327718 MFR327718:MFX327718 MPN327718:MPT327718 MZJ327718:MZP327718 NJF327718:NJL327718 NTB327718:NTH327718 OCX327718:ODD327718 OMT327718:OMZ327718 OWP327718:OWV327718 PGL327718:PGR327718 PQH327718:PQN327718 QAD327718:QAJ327718 QJZ327718:QKF327718 QTV327718:QUB327718 RDR327718:RDX327718 RNN327718:RNT327718 RXJ327718:RXP327718 SHF327718:SHL327718 SRB327718:SRH327718 TAX327718:TBD327718 TKT327718:TKZ327718 TUP327718:TUV327718 UEL327718:UER327718 UOH327718:UON327718 UYD327718:UYJ327718 VHZ327718:VIF327718 VRV327718:VSB327718 WBR327718:WBX327718 WLN327718:WLT327718 WVJ327718:WVP327718 B393254:H393254 IX393254:JD393254 ST393254:SZ393254 ACP393254:ACV393254 AML393254:AMR393254 AWH393254:AWN393254 BGD393254:BGJ393254 BPZ393254:BQF393254 BZV393254:CAB393254 CJR393254:CJX393254 CTN393254:CTT393254 DDJ393254:DDP393254 DNF393254:DNL393254 DXB393254:DXH393254 EGX393254:EHD393254 EQT393254:EQZ393254 FAP393254:FAV393254 FKL393254:FKR393254 FUH393254:FUN393254 GED393254:GEJ393254 GNZ393254:GOF393254 GXV393254:GYB393254 HHR393254:HHX393254 HRN393254:HRT393254 IBJ393254:IBP393254 ILF393254:ILL393254 IVB393254:IVH393254 JEX393254:JFD393254 JOT393254:JOZ393254 JYP393254:JYV393254 KIL393254:KIR393254 KSH393254:KSN393254 LCD393254:LCJ393254 LLZ393254:LMF393254 LVV393254:LWB393254 MFR393254:MFX393254 MPN393254:MPT393254 MZJ393254:MZP393254 NJF393254:NJL393254 NTB393254:NTH393254 OCX393254:ODD393254 OMT393254:OMZ393254 OWP393254:OWV393254 PGL393254:PGR393254 PQH393254:PQN393254 QAD393254:QAJ393254 QJZ393254:QKF393254 QTV393254:QUB393254 RDR393254:RDX393254 RNN393254:RNT393254 RXJ393254:RXP393254 SHF393254:SHL393254 SRB393254:SRH393254 TAX393254:TBD393254 TKT393254:TKZ393254 TUP393254:TUV393254 UEL393254:UER393254 UOH393254:UON393254 UYD393254:UYJ393254 VHZ393254:VIF393254 VRV393254:VSB393254 WBR393254:WBX393254 WLN393254:WLT393254 WVJ393254:WVP393254 B458790:H458790 IX458790:JD458790 ST458790:SZ458790 ACP458790:ACV458790 AML458790:AMR458790 AWH458790:AWN458790 BGD458790:BGJ458790 BPZ458790:BQF458790 BZV458790:CAB458790 CJR458790:CJX458790 CTN458790:CTT458790 DDJ458790:DDP458790 DNF458790:DNL458790 DXB458790:DXH458790 EGX458790:EHD458790 EQT458790:EQZ458790 FAP458790:FAV458790 FKL458790:FKR458790 FUH458790:FUN458790 GED458790:GEJ458790 GNZ458790:GOF458790 GXV458790:GYB458790 HHR458790:HHX458790 HRN458790:HRT458790 IBJ458790:IBP458790 ILF458790:ILL458790 IVB458790:IVH458790 JEX458790:JFD458790 JOT458790:JOZ458790 JYP458790:JYV458790 KIL458790:KIR458790 KSH458790:KSN458790 LCD458790:LCJ458790 LLZ458790:LMF458790 LVV458790:LWB458790 MFR458790:MFX458790 MPN458790:MPT458790 MZJ458790:MZP458790 NJF458790:NJL458790 NTB458790:NTH458790 OCX458790:ODD458790 OMT458790:OMZ458790 OWP458790:OWV458790 PGL458790:PGR458790 PQH458790:PQN458790 QAD458790:QAJ458790 QJZ458790:QKF458790 QTV458790:QUB458790 RDR458790:RDX458790 RNN458790:RNT458790 RXJ458790:RXP458790 SHF458790:SHL458790 SRB458790:SRH458790 TAX458790:TBD458790 TKT458790:TKZ458790 TUP458790:TUV458790 UEL458790:UER458790 UOH458790:UON458790 UYD458790:UYJ458790 VHZ458790:VIF458790 VRV458790:VSB458790 WBR458790:WBX458790 WLN458790:WLT458790 WVJ458790:WVP458790 B524326:H524326 IX524326:JD524326 ST524326:SZ524326 ACP524326:ACV524326 AML524326:AMR524326 AWH524326:AWN524326 BGD524326:BGJ524326 BPZ524326:BQF524326 BZV524326:CAB524326 CJR524326:CJX524326 CTN524326:CTT524326 DDJ524326:DDP524326 DNF524326:DNL524326 DXB524326:DXH524326 EGX524326:EHD524326 EQT524326:EQZ524326 FAP524326:FAV524326 FKL524326:FKR524326 FUH524326:FUN524326 GED524326:GEJ524326 GNZ524326:GOF524326 GXV524326:GYB524326 HHR524326:HHX524326 HRN524326:HRT524326 IBJ524326:IBP524326 ILF524326:ILL524326 IVB524326:IVH524326 JEX524326:JFD524326 JOT524326:JOZ524326 JYP524326:JYV524326 KIL524326:KIR524326 KSH524326:KSN524326 LCD524326:LCJ524326 LLZ524326:LMF524326 LVV524326:LWB524326 MFR524326:MFX524326 MPN524326:MPT524326 MZJ524326:MZP524326 NJF524326:NJL524326 NTB524326:NTH524326 OCX524326:ODD524326 OMT524326:OMZ524326 OWP524326:OWV524326 PGL524326:PGR524326 PQH524326:PQN524326 QAD524326:QAJ524326 QJZ524326:QKF524326 QTV524326:QUB524326 RDR524326:RDX524326 RNN524326:RNT524326 RXJ524326:RXP524326 SHF524326:SHL524326 SRB524326:SRH524326 TAX524326:TBD524326 TKT524326:TKZ524326 TUP524326:TUV524326 UEL524326:UER524326 UOH524326:UON524326 UYD524326:UYJ524326 VHZ524326:VIF524326 VRV524326:VSB524326 WBR524326:WBX524326 WLN524326:WLT524326 WVJ524326:WVP524326 B589862:H589862 IX589862:JD589862 ST589862:SZ589862 ACP589862:ACV589862 AML589862:AMR589862 AWH589862:AWN589862 BGD589862:BGJ589862 BPZ589862:BQF589862 BZV589862:CAB589862 CJR589862:CJX589862 CTN589862:CTT589862 DDJ589862:DDP589862 DNF589862:DNL589862 DXB589862:DXH589862 EGX589862:EHD589862 EQT589862:EQZ589862 FAP589862:FAV589862 FKL589862:FKR589862 FUH589862:FUN589862 GED589862:GEJ589862 GNZ589862:GOF589862 GXV589862:GYB589862 HHR589862:HHX589862 HRN589862:HRT589862 IBJ589862:IBP589862 ILF589862:ILL589862 IVB589862:IVH589862 JEX589862:JFD589862 JOT589862:JOZ589862 JYP589862:JYV589862 KIL589862:KIR589862 KSH589862:KSN589862 LCD589862:LCJ589862 LLZ589862:LMF589862 LVV589862:LWB589862 MFR589862:MFX589862 MPN589862:MPT589862 MZJ589862:MZP589862 NJF589862:NJL589862 NTB589862:NTH589862 OCX589862:ODD589862 OMT589862:OMZ589862 OWP589862:OWV589862 PGL589862:PGR589862 PQH589862:PQN589862 QAD589862:QAJ589862 QJZ589862:QKF589862 QTV589862:QUB589862 RDR589862:RDX589862 RNN589862:RNT589862 RXJ589862:RXP589862 SHF589862:SHL589862 SRB589862:SRH589862 TAX589862:TBD589862 TKT589862:TKZ589862 TUP589862:TUV589862 UEL589862:UER589862 UOH589862:UON589862 UYD589862:UYJ589862 VHZ589862:VIF589862 VRV589862:VSB589862 WBR589862:WBX589862 WLN589862:WLT589862 WVJ589862:WVP589862 B655398:H655398 IX655398:JD655398 ST655398:SZ655398 ACP655398:ACV655398 AML655398:AMR655398 AWH655398:AWN655398 BGD655398:BGJ655398 BPZ655398:BQF655398 BZV655398:CAB655398 CJR655398:CJX655398 CTN655398:CTT655398 DDJ655398:DDP655398 DNF655398:DNL655398 DXB655398:DXH655398 EGX655398:EHD655398 EQT655398:EQZ655398 FAP655398:FAV655398 FKL655398:FKR655398 FUH655398:FUN655398 GED655398:GEJ655398 GNZ655398:GOF655398 GXV655398:GYB655398 HHR655398:HHX655398 HRN655398:HRT655398 IBJ655398:IBP655398 ILF655398:ILL655398 IVB655398:IVH655398 JEX655398:JFD655398 JOT655398:JOZ655398 JYP655398:JYV655398 KIL655398:KIR655398 KSH655398:KSN655398 LCD655398:LCJ655398 LLZ655398:LMF655398 LVV655398:LWB655398 MFR655398:MFX655398 MPN655398:MPT655398 MZJ655398:MZP655398 NJF655398:NJL655398 NTB655398:NTH655398 OCX655398:ODD655398 OMT655398:OMZ655398 OWP655398:OWV655398 PGL655398:PGR655398 PQH655398:PQN655398 QAD655398:QAJ655398 QJZ655398:QKF655398 QTV655398:QUB655398 RDR655398:RDX655398 RNN655398:RNT655398 RXJ655398:RXP655398 SHF655398:SHL655398 SRB655398:SRH655398 TAX655398:TBD655398 TKT655398:TKZ655398 TUP655398:TUV655398 UEL655398:UER655398 UOH655398:UON655398 UYD655398:UYJ655398 VHZ655398:VIF655398 VRV655398:VSB655398 WBR655398:WBX655398 WLN655398:WLT655398 WVJ655398:WVP655398 B720934:H720934 IX720934:JD720934 ST720934:SZ720934 ACP720934:ACV720934 AML720934:AMR720934 AWH720934:AWN720934 BGD720934:BGJ720934 BPZ720934:BQF720934 BZV720934:CAB720934 CJR720934:CJX720934 CTN720934:CTT720934 DDJ720934:DDP720934 DNF720934:DNL720934 DXB720934:DXH720934 EGX720934:EHD720934 EQT720934:EQZ720934 FAP720934:FAV720934 FKL720934:FKR720934 FUH720934:FUN720934 GED720934:GEJ720934 GNZ720934:GOF720934 GXV720934:GYB720934 HHR720934:HHX720934 HRN720934:HRT720934 IBJ720934:IBP720934 ILF720934:ILL720934 IVB720934:IVH720934 JEX720934:JFD720934 JOT720934:JOZ720934 JYP720934:JYV720934 KIL720934:KIR720934 KSH720934:KSN720934 LCD720934:LCJ720934 LLZ720934:LMF720934 LVV720934:LWB720934 MFR720934:MFX720934 MPN720934:MPT720934 MZJ720934:MZP720934 NJF720934:NJL720934 NTB720934:NTH720934 OCX720934:ODD720934 OMT720934:OMZ720934 OWP720934:OWV720934 PGL720934:PGR720934 PQH720934:PQN720934 QAD720934:QAJ720934 QJZ720934:QKF720934 QTV720934:QUB720934 RDR720934:RDX720934 RNN720934:RNT720934 RXJ720934:RXP720934 SHF720934:SHL720934 SRB720934:SRH720934 TAX720934:TBD720934 TKT720934:TKZ720934 TUP720934:TUV720934 UEL720934:UER720934 UOH720934:UON720934 UYD720934:UYJ720934 VHZ720934:VIF720934 VRV720934:VSB720934 WBR720934:WBX720934 WLN720934:WLT720934 WVJ720934:WVP720934 B786470:H786470 IX786470:JD786470 ST786470:SZ786470 ACP786470:ACV786470 AML786470:AMR786470 AWH786470:AWN786470 BGD786470:BGJ786470 BPZ786470:BQF786470 BZV786470:CAB786470 CJR786470:CJX786470 CTN786470:CTT786470 DDJ786470:DDP786470 DNF786470:DNL786470 DXB786470:DXH786470 EGX786470:EHD786470 EQT786470:EQZ786470 FAP786470:FAV786470 FKL786470:FKR786470 FUH786470:FUN786470 GED786470:GEJ786470 GNZ786470:GOF786470 GXV786470:GYB786470 HHR786470:HHX786470 HRN786470:HRT786470 IBJ786470:IBP786470 ILF786470:ILL786470 IVB786470:IVH786470 JEX786470:JFD786470 JOT786470:JOZ786470 JYP786470:JYV786470 KIL786470:KIR786470 KSH786470:KSN786470 LCD786470:LCJ786470 LLZ786470:LMF786470 LVV786470:LWB786470 MFR786470:MFX786470 MPN786470:MPT786470 MZJ786470:MZP786470 NJF786470:NJL786470 NTB786470:NTH786470 OCX786470:ODD786470 OMT786470:OMZ786470 OWP786470:OWV786470 PGL786470:PGR786470 PQH786470:PQN786470 QAD786470:QAJ786470 QJZ786470:QKF786470 QTV786470:QUB786470 RDR786470:RDX786470 RNN786470:RNT786470 RXJ786470:RXP786470 SHF786470:SHL786470 SRB786470:SRH786470 TAX786470:TBD786470 TKT786470:TKZ786470 TUP786470:TUV786470 UEL786470:UER786470 UOH786470:UON786470 UYD786470:UYJ786470 VHZ786470:VIF786470 VRV786470:VSB786470 WBR786470:WBX786470 WLN786470:WLT786470 WVJ786470:WVP786470 B852006:H852006 IX852006:JD852006 ST852006:SZ852006 ACP852006:ACV852006 AML852006:AMR852006 AWH852006:AWN852006 BGD852006:BGJ852006 BPZ852006:BQF852006 BZV852006:CAB852006 CJR852006:CJX852006 CTN852006:CTT852006 DDJ852006:DDP852006 DNF852006:DNL852006 DXB852006:DXH852006 EGX852006:EHD852006 EQT852006:EQZ852006 FAP852006:FAV852006 FKL852006:FKR852006 FUH852006:FUN852006 GED852006:GEJ852006 GNZ852006:GOF852006 GXV852006:GYB852006 HHR852006:HHX852006 HRN852006:HRT852006 IBJ852006:IBP852006 ILF852006:ILL852006 IVB852006:IVH852006 JEX852006:JFD852006 JOT852006:JOZ852006 JYP852006:JYV852006 KIL852006:KIR852006 KSH852006:KSN852006 LCD852006:LCJ852006 LLZ852006:LMF852006 LVV852006:LWB852006 MFR852006:MFX852006 MPN852006:MPT852006 MZJ852006:MZP852006 NJF852006:NJL852006 NTB852006:NTH852006 OCX852006:ODD852006 OMT852006:OMZ852006 OWP852006:OWV852006 PGL852006:PGR852006 PQH852006:PQN852006 QAD852006:QAJ852006 QJZ852006:QKF852006 QTV852006:QUB852006 RDR852006:RDX852006 RNN852006:RNT852006 RXJ852006:RXP852006 SHF852006:SHL852006 SRB852006:SRH852006 TAX852006:TBD852006 TKT852006:TKZ852006 TUP852006:TUV852006 UEL852006:UER852006 UOH852006:UON852006 UYD852006:UYJ852006 VHZ852006:VIF852006 VRV852006:VSB852006 WBR852006:WBX852006 WLN852006:WLT852006 WVJ852006:WVP852006 B917542:H917542 IX917542:JD917542 ST917542:SZ917542 ACP917542:ACV917542 AML917542:AMR917542 AWH917542:AWN917542 BGD917542:BGJ917542 BPZ917542:BQF917542 BZV917542:CAB917542 CJR917542:CJX917542 CTN917542:CTT917542 DDJ917542:DDP917542 DNF917542:DNL917542 DXB917542:DXH917542 EGX917542:EHD917542 EQT917542:EQZ917542 FAP917542:FAV917542 FKL917542:FKR917542 FUH917542:FUN917542 GED917542:GEJ917542 GNZ917542:GOF917542 GXV917542:GYB917542 HHR917542:HHX917542 HRN917542:HRT917542 IBJ917542:IBP917542 ILF917542:ILL917542 IVB917542:IVH917542 JEX917542:JFD917542 JOT917542:JOZ917542 JYP917542:JYV917542 KIL917542:KIR917542 KSH917542:KSN917542 LCD917542:LCJ917542 LLZ917542:LMF917542 LVV917542:LWB917542 MFR917542:MFX917542 MPN917542:MPT917542 MZJ917542:MZP917542 NJF917542:NJL917542 NTB917542:NTH917542 OCX917542:ODD917542 OMT917542:OMZ917542 OWP917542:OWV917542 PGL917542:PGR917542 PQH917542:PQN917542 QAD917542:QAJ917542 QJZ917542:QKF917542 QTV917542:QUB917542 RDR917542:RDX917542 RNN917542:RNT917542 RXJ917542:RXP917542 SHF917542:SHL917542 SRB917542:SRH917542 TAX917542:TBD917542 TKT917542:TKZ917542 TUP917542:TUV917542 UEL917542:UER917542 UOH917542:UON917542 UYD917542:UYJ917542 VHZ917542:VIF917542 VRV917542:VSB917542 WBR917542:WBX917542 WLN917542:WLT917542 WVJ917542:WVP917542 B983078:H983078 IX983078:JD983078 ST983078:SZ983078 ACP983078:ACV983078 AML983078:AMR983078 AWH983078:AWN983078 BGD983078:BGJ983078 BPZ983078:BQF983078 BZV983078:CAB983078 CJR983078:CJX983078 CTN983078:CTT983078 DDJ983078:DDP983078 DNF983078:DNL983078 DXB983078:DXH983078 EGX983078:EHD983078 EQT983078:EQZ983078 FAP983078:FAV983078 FKL983078:FKR983078 FUH983078:FUN983078 GED983078:GEJ983078 GNZ983078:GOF983078 GXV983078:GYB983078 HHR983078:HHX983078 HRN983078:HRT983078 IBJ983078:IBP983078 ILF983078:ILL983078 IVB983078:IVH983078 JEX983078:JFD983078 JOT983078:JOZ983078 JYP983078:JYV983078 KIL983078:KIR983078 KSH983078:KSN983078 LCD983078:LCJ983078 LLZ983078:LMF983078 LVV983078:LWB983078 MFR983078:MFX983078 MPN983078:MPT983078 MZJ983078:MZP983078 NJF983078:NJL983078 NTB983078:NTH983078 OCX983078:ODD983078 OMT983078:OMZ983078 OWP983078:OWV983078 PGL983078:PGR983078 PQH983078:PQN983078 QAD983078:QAJ983078 QJZ983078:QKF983078 QTV983078:QUB983078 RDR983078:RDX983078 RNN983078:RNT983078 RXJ983078:RXP983078 SHF983078:SHL983078 SRB983078:SRH983078 TAX983078:TBD983078 TKT983078:TKZ983078 TUP983078:TUV983078 UEL983078:UER983078 UOH983078:UON983078 UYD983078:UYJ983078 VHZ983078:VIF983078 VRV983078:VSB983078 WBR983078:WBX983078 WLN983078:WLT983078 WVJ983078:WVP983078 B35:H35 IX35:JD35 ST35:SZ35 ACP35:ACV35 AML35:AMR35 AWH35:AWN35 BGD35:BGJ35 BPZ35:BQF35 BZV35:CAB35 CJR35:CJX35 CTN35:CTT35 DDJ35:DDP35 DNF35:DNL35 DXB35:DXH35 EGX35:EHD35 EQT35:EQZ35 FAP35:FAV35 FKL35:FKR35 FUH35:FUN35 GED35:GEJ35 GNZ35:GOF35 GXV35:GYB35 HHR35:HHX35 HRN35:HRT35 IBJ35:IBP35 ILF35:ILL35 IVB35:IVH35 JEX35:JFD35 JOT35:JOZ35 JYP35:JYV35 KIL35:KIR35 KSH35:KSN35 LCD35:LCJ35 LLZ35:LMF35 LVV35:LWB35 MFR35:MFX35 MPN35:MPT35 MZJ35:MZP35 NJF35:NJL35 NTB35:NTH35 OCX35:ODD35 OMT35:OMZ35 OWP35:OWV35 PGL35:PGR35 PQH35:PQN35 QAD35:QAJ35 QJZ35:QKF35 QTV35:QUB35 RDR35:RDX35 RNN35:RNT35 RXJ35:RXP35 SHF35:SHL35 SRB35:SRH35 TAX35:TBD35 TKT35:TKZ35 TUP35:TUV35 UEL35:UER35 UOH35:UON35 UYD35:UYJ35 VHZ35:VIF35 VRV35:VSB35 WBR35:WBX35 WLN35:WLT35 WVJ35:WVP35 B65571:H65571 IX65571:JD65571 ST65571:SZ65571 ACP65571:ACV65571 AML65571:AMR65571 AWH65571:AWN65571 BGD65571:BGJ65571 BPZ65571:BQF65571 BZV65571:CAB65571 CJR65571:CJX65571 CTN65571:CTT65571 DDJ65571:DDP65571 DNF65571:DNL65571 DXB65571:DXH65571 EGX65571:EHD65571 EQT65571:EQZ65571 FAP65571:FAV65571 FKL65571:FKR65571 FUH65571:FUN65571 GED65571:GEJ65571 GNZ65571:GOF65571 GXV65571:GYB65571 HHR65571:HHX65571 HRN65571:HRT65571 IBJ65571:IBP65571 ILF65571:ILL65571 IVB65571:IVH65571 JEX65571:JFD65571 JOT65571:JOZ65571 JYP65571:JYV65571 KIL65571:KIR65571 KSH65571:KSN65571 LCD65571:LCJ65571 LLZ65571:LMF65571 LVV65571:LWB65571 MFR65571:MFX65571 MPN65571:MPT65571 MZJ65571:MZP65571 NJF65571:NJL65571 NTB65571:NTH65571 OCX65571:ODD65571 OMT65571:OMZ65571 OWP65571:OWV65571 PGL65571:PGR65571 PQH65571:PQN65571 QAD65571:QAJ65571 QJZ65571:QKF65571 QTV65571:QUB65571 RDR65571:RDX65571 RNN65571:RNT65571 RXJ65571:RXP65571 SHF65571:SHL65571 SRB65571:SRH65571 TAX65571:TBD65571 TKT65571:TKZ65571 TUP65571:TUV65571 UEL65571:UER65571 UOH65571:UON65571 UYD65571:UYJ65571 VHZ65571:VIF65571 VRV65571:VSB65571 WBR65571:WBX65571 WLN65571:WLT65571 WVJ65571:WVP65571 B131107:H131107 IX131107:JD131107 ST131107:SZ131107 ACP131107:ACV131107 AML131107:AMR131107 AWH131107:AWN131107 BGD131107:BGJ131107 BPZ131107:BQF131107 BZV131107:CAB131107 CJR131107:CJX131107 CTN131107:CTT131107 DDJ131107:DDP131107 DNF131107:DNL131107 DXB131107:DXH131107 EGX131107:EHD131107 EQT131107:EQZ131107 FAP131107:FAV131107 FKL131107:FKR131107 FUH131107:FUN131107 GED131107:GEJ131107 GNZ131107:GOF131107 GXV131107:GYB131107 HHR131107:HHX131107 HRN131107:HRT131107 IBJ131107:IBP131107 ILF131107:ILL131107 IVB131107:IVH131107 JEX131107:JFD131107 JOT131107:JOZ131107 JYP131107:JYV131107 KIL131107:KIR131107 KSH131107:KSN131107 LCD131107:LCJ131107 LLZ131107:LMF131107 LVV131107:LWB131107 MFR131107:MFX131107 MPN131107:MPT131107 MZJ131107:MZP131107 NJF131107:NJL131107 NTB131107:NTH131107 OCX131107:ODD131107 OMT131107:OMZ131107 OWP131107:OWV131107 PGL131107:PGR131107 PQH131107:PQN131107 QAD131107:QAJ131107 QJZ131107:QKF131107 QTV131107:QUB131107 RDR131107:RDX131107 RNN131107:RNT131107 RXJ131107:RXP131107 SHF131107:SHL131107 SRB131107:SRH131107 TAX131107:TBD131107 TKT131107:TKZ131107 TUP131107:TUV131107 UEL131107:UER131107 UOH131107:UON131107 UYD131107:UYJ131107 VHZ131107:VIF131107 VRV131107:VSB131107 WBR131107:WBX131107 WLN131107:WLT131107 WVJ131107:WVP131107 B196643:H196643 IX196643:JD196643 ST196643:SZ196643 ACP196643:ACV196643 AML196643:AMR196643 AWH196643:AWN196643 BGD196643:BGJ196643 BPZ196643:BQF196643 BZV196643:CAB196643 CJR196643:CJX196643 CTN196643:CTT196643 DDJ196643:DDP196643 DNF196643:DNL196643 DXB196643:DXH196643 EGX196643:EHD196643 EQT196643:EQZ196643 FAP196643:FAV196643 FKL196643:FKR196643 FUH196643:FUN196643 GED196643:GEJ196643 GNZ196643:GOF196643 GXV196643:GYB196643 HHR196643:HHX196643 HRN196643:HRT196643 IBJ196643:IBP196643 ILF196643:ILL196643 IVB196643:IVH196643 JEX196643:JFD196643 JOT196643:JOZ196643 JYP196643:JYV196643 KIL196643:KIR196643 KSH196643:KSN196643 LCD196643:LCJ196643 LLZ196643:LMF196643 LVV196643:LWB196643 MFR196643:MFX196643 MPN196643:MPT196643 MZJ196643:MZP196643 NJF196643:NJL196643 NTB196643:NTH196643 OCX196643:ODD196643 OMT196643:OMZ196643 OWP196643:OWV196643 PGL196643:PGR196643 PQH196643:PQN196643 QAD196643:QAJ196643 QJZ196643:QKF196643 QTV196643:QUB196643 RDR196643:RDX196643 RNN196643:RNT196643 RXJ196643:RXP196643 SHF196643:SHL196643 SRB196643:SRH196643 TAX196643:TBD196643 TKT196643:TKZ196643 TUP196643:TUV196643 UEL196643:UER196643 UOH196643:UON196643 UYD196643:UYJ196643 VHZ196643:VIF196643 VRV196643:VSB196643 WBR196643:WBX196643 WLN196643:WLT196643 WVJ196643:WVP196643 B262179:H262179 IX262179:JD262179 ST262179:SZ262179 ACP262179:ACV262179 AML262179:AMR262179 AWH262179:AWN262179 BGD262179:BGJ262179 BPZ262179:BQF262179 BZV262179:CAB262179 CJR262179:CJX262179 CTN262179:CTT262179 DDJ262179:DDP262179 DNF262179:DNL262179 DXB262179:DXH262179 EGX262179:EHD262179 EQT262179:EQZ262179 FAP262179:FAV262179 FKL262179:FKR262179 FUH262179:FUN262179 GED262179:GEJ262179 GNZ262179:GOF262179 GXV262179:GYB262179 HHR262179:HHX262179 HRN262179:HRT262179 IBJ262179:IBP262179 ILF262179:ILL262179 IVB262179:IVH262179 JEX262179:JFD262179 JOT262179:JOZ262179 JYP262179:JYV262179 KIL262179:KIR262179 KSH262179:KSN262179 LCD262179:LCJ262179 LLZ262179:LMF262179 LVV262179:LWB262179 MFR262179:MFX262179 MPN262179:MPT262179 MZJ262179:MZP262179 NJF262179:NJL262179 NTB262179:NTH262179 OCX262179:ODD262179 OMT262179:OMZ262179 OWP262179:OWV262179 PGL262179:PGR262179 PQH262179:PQN262179 QAD262179:QAJ262179 QJZ262179:QKF262179 QTV262179:QUB262179 RDR262179:RDX262179 RNN262179:RNT262179 RXJ262179:RXP262179 SHF262179:SHL262179 SRB262179:SRH262179 TAX262179:TBD262179 TKT262179:TKZ262179 TUP262179:TUV262179 UEL262179:UER262179 UOH262179:UON262179 UYD262179:UYJ262179 VHZ262179:VIF262179 VRV262179:VSB262179 WBR262179:WBX262179 WLN262179:WLT262179 WVJ262179:WVP262179 B327715:H327715 IX327715:JD327715 ST327715:SZ327715 ACP327715:ACV327715 AML327715:AMR327715 AWH327715:AWN327715 BGD327715:BGJ327715 BPZ327715:BQF327715 BZV327715:CAB327715 CJR327715:CJX327715 CTN327715:CTT327715 DDJ327715:DDP327715 DNF327715:DNL327715 DXB327715:DXH327715 EGX327715:EHD327715 EQT327715:EQZ327715 FAP327715:FAV327715 FKL327715:FKR327715 FUH327715:FUN327715 GED327715:GEJ327715 GNZ327715:GOF327715 GXV327715:GYB327715 HHR327715:HHX327715 HRN327715:HRT327715 IBJ327715:IBP327715 ILF327715:ILL327715 IVB327715:IVH327715 JEX327715:JFD327715 JOT327715:JOZ327715 JYP327715:JYV327715 KIL327715:KIR327715 KSH327715:KSN327715 LCD327715:LCJ327715 LLZ327715:LMF327715 LVV327715:LWB327715 MFR327715:MFX327715 MPN327715:MPT327715 MZJ327715:MZP327715 NJF327715:NJL327715 NTB327715:NTH327715 OCX327715:ODD327715 OMT327715:OMZ327715 OWP327715:OWV327715 PGL327715:PGR327715 PQH327715:PQN327715 QAD327715:QAJ327715 QJZ327715:QKF327715 QTV327715:QUB327715 RDR327715:RDX327715 RNN327715:RNT327715 RXJ327715:RXP327715 SHF327715:SHL327715 SRB327715:SRH327715 TAX327715:TBD327715 TKT327715:TKZ327715 TUP327715:TUV327715 UEL327715:UER327715 UOH327715:UON327715 UYD327715:UYJ327715 VHZ327715:VIF327715 VRV327715:VSB327715 WBR327715:WBX327715 WLN327715:WLT327715 WVJ327715:WVP327715 B393251:H393251 IX393251:JD393251 ST393251:SZ393251 ACP393251:ACV393251 AML393251:AMR393251 AWH393251:AWN393251 BGD393251:BGJ393251 BPZ393251:BQF393251 BZV393251:CAB393251 CJR393251:CJX393251 CTN393251:CTT393251 DDJ393251:DDP393251 DNF393251:DNL393251 DXB393251:DXH393251 EGX393251:EHD393251 EQT393251:EQZ393251 FAP393251:FAV393251 FKL393251:FKR393251 FUH393251:FUN393251 GED393251:GEJ393251 GNZ393251:GOF393251 GXV393251:GYB393251 HHR393251:HHX393251 HRN393251:HRT393251 IBJ393251:IBP393251 ILF393251:ILL393251 IVB393251:IVH393251 JEX393251:JFD393251 JOT393251:JOZ393251 JYP393251:JYV393251 KIL393251:KIR393251 KSH393251:KSN393251 LCD393251:LCJ393251 LLZ393251:LMF393251 LVV393251:LWB393251 MFR393251:MFX393251 MPN393251:MPT393251 MZJ393251:MZP393251 NJF393251:NJL393251 NTB393251:NTH393251 OCX393251:ODD393251 OMT393251:OMZ393251 OWP393251:OWV393251 PGL393251:PGR393251 PQH393251:PQN393251 QAD393251:QAJ393251 QJZ393251:QKF393251 QTV393251:QUB393251 RDR393251:RDX393251 RNN393251:RNT393251 RXJ393251:RXP393251 SHF393251:SHL393251 SRB393251:SRH393251 TAX393251:TBD393251 TKT393251:TKZ393251 TUP393251:TUV393251 UEL393251:UER393251 UOH393251:UON393251 UYD393251:UYJ393251 VHZ393251:VIF393251 VRV393251:VSB393251 WBR393251:WBX393251 WLN393251:WLT393251 WVJ393251:WVP393251 B458787:H458787 IX458787:JD458787 ST458787:SZ458787 ACP458787:ACV458787 AML458787:AMR458787 AWH458787:AWN458787 BGD458787:BGJ458787 BPZ458787:BQF458787 BZV458787:CAB458787 CJR458787:CJX458787 CTN458787:CTT458787 DDJ458787:DDP458787 DNF458787:DNL458787 DXB458787:DXH458787 EGX458787:EHD458787 EQT458787:EQZ458787 FAP458787:FAV458787 FKL458787:FKR458787 FUH458787:FUN458787 GED458787:GEJ458787 GNZ458787:GOF458787 GXV458787:GYB458787 HHR458787:HHX458787 HRN458787:HRT458787 IBJ458787:IBP458787 ILF458787:ILL458787 IVB458787:IVH458787 JEX458787:JFD458787 JOT458787:JOZ458787 JYP458787:JYV458787 KIL458787:KIR458787 KSH458787:KSN458787 LCD458787:LCJ458787 LLZ458787:LMF458787 LVV458787:LWB458787 MFR458787:MFX458787 MPN458787:MPT458787 MZJ458787:MZP458787 NJF458787:NJL458787 NTB458787:NTH458787 OCX458787:ODD458787 OMT458787:OMZ458787 OWP458787:OWV458787 PGL458787:PGR458787 PQH458787:PQN458787 QAD458787:QAJ458787 QJZ458787:QKF458787 QTV458787:QUB458787 RDR458787:RDX458787 RNN458787:RNT458787 RXJ458787:RXP458787 SHF458787:SHL458787 SRB458787:SRH458787 TAX458787:TBD458787 TKT458787:TKZ458787 TUP458787:TUV458787 UEL458787:UER458787 UOH458787:UON458787 UYD458787:UYJ458787 VHZ458787:VIF458787 VRV458787:VSB458787 WBR458787:WBX458787 WLN458787:WLT458787 WVJ458787:WVP458787 B524323:H524323 IX524323:JD524323 ST524323:SZ524323 ACP524323:ACV524323 AML524323:AMR524323 AWH524323:AWN524323 BGD524323:BGJ524323 BPZ524323:BQF524323 BZV524323:CAB524323 CJR524323:CJX524323 CTN524323:CTT524323 DDJ524323:DDP524323 DNF524323:DNL524323 DXB524323:DXH524323 EGX524323:EHD524323 EQT524323:EQZ524323 FAP524323:FAV524323 FKL524323:FKR524323 FUH524323:FUN524323 GED524323:GEJ524323 GNZ524323:GOF524323 GXV524323:GYB524323 HHR524323:HHX524323 HRN524323:HRT524323 IBJ524323:IBP524323 ILF524323:ILL524323 IVB524323:IVH524323 JEX524323:JFD524323 JOT524323:JOZ524323 JYP524323:JYV524323 KIL524323:KIR524323 KSH524323:KSN524323 LCD524323:LCJ524323 LLZ524323:LMF524323 LVV524323:LWB524323 MFR524323:MFX524323 MPN524323:MPT524323 MZJ524323:MZP524323 NJF524323:NJL524323 NTB524323:NTH524323 OCX524323:ODD524323 OMT524323:OMZ524323 OWP524323:OWV524323 PGL524323:PGR524323 PQH524323:PQN524323 QAD524323:QAJ524323 QJZ524323:QKF524323 QTV524323:QUB524323 RDR524323:RDX524323 RNN524323:RNT524323 RXJ524323:RXP524323 SHF524323:SHL524323 SRB524323:SRH524323 TAX524323:TBD524323 TKT524323:TKZ524323 TUP524323:TUV524323 UEL524323:UER524323 UOH524323:UON524323 UYD524323:UYJ524323 VHZ524323:VIF524323 VRV524323:VSB524323 WBR524323:WBX524323 WLN524323:WLT524323 WVJ524323:WVP524323 B589859:H589859 IX589859:JD589859 ST589859:SZ589859 ACP589859:ACV589859 AML589859:AMR589859 AWH589859:AWN589859 BGD589859:BGJ589859 BPZ589859:BQF589859 BZV589859:CAB589859 CJR589859:CJX589859 CTN589859:CTT589859 DDJ589859:DDP589859 DNF589859:DNL589859 DXB589859:DXH589859 EGX589859:EHD589859 EQT589859:EQZ589859 FAP589859:FAV589859 FKL589859:FKR589859 FUH589859:FUN589859 GED589859:GEJ589859 GNZ589859:GOF589859 GXV589859:GYB589859 HHR589859:HHX589859 HRN589859:HRT589859 IBJ589859:IBP589859 ILF589859:ILL589859 IVB589859:IVH589859 JEX589859:JFD589859 JOT589859:JOZ589859 JYP589859:JYV589859 KIL589859:KIR589859 KSH589859:KSN589859 LCD589859:LCJ589859 LLZ589859:LMF589859 LVV589859:LWB589859 MFR589859:MFX589859 MPN589859:MPT589859 MZJ589859:MZP589859 NJF589859:NJL589859 NTB589859:NTH589859 OCX589859:ODD589859 OMT589859:OMZ589859 OWP589859:OWV589859 PGL589859:PGR589859 PQH589859:PQN589859 QAD589859:QAJ589859 QJZ589859:QKF589859 QTV589859:QUB589859 RDR589859:RDX589859 RNN589859:RNT589859 RXJ589859:RXP589859 SHF589859:SHL589859 SRB589859:SRH589859 TAX589859:TBD589859 TKT589859:TKZ589859 TUP589859:TUV589859 UEL589859:UER589859 UOH589859:UON589859 UYD589859:UYJ589859 VHZ589859:VIF589859 VRV589859:VSB589859 WBR589859:WBX589859 WLN589859:WLT589859 WVJ589859:WVP589859 B655395:H655395 IX655395:JD655395 ST655395:SZ655395 ACP655395:ACV655395 AML655395:AMR655395 AWH655395:AWN655395 BGD655395:BGJ655395 BPZ655395:BQF655395 BZV655395:CAB655395 CJR655395:CJX655395 CTN655395:CTT655395 DDJ655395:DDP655395 DNF655395:DNL655395 DXB655395:DXH655395 EGX655395:EHD655395 EQT655395:EQZ655395 FAP655395:FAV655395 FKL655395:FKR655395 FUH655395:FUN655395 GED655395:GEJ655395 GNZ655395:GOF655395 GXV655395:GYB655395 HHR655395:HHX655395 HRN655395:HRT655395 IBJ655395:IBP655395 ILF655395:ILL655395 IVB655395:IVH655395 JEX655395:JFD655395 JOT655395:JOZ655395 JYP655395:JYV655395 KIL655395:KIR655395 KSH655395:KSN655395 LCD655395:LCJ655395 LLZ655395:LMF655395 LVV655395:LWB655395 MFR655395:MFX655395 MPN655395:MPT655395 MZJ655395:MZP655395 NJF655395:NJL655395 NTB655395:NTH655395 OCX655395:ODD655395 OMT655395:OMZ655395 OWP655395:OWV655395 PGL655395:PGR655395 PQH655395:PQN655395 QAD655395:QAJ655395 QJZ655395:QKF655395 QTV655395:QUB655395 RDR655395:RDX655395 RNN655395:RNT655395 RXJ655395:RXP655395 SHF655395:SHL655395 SRB655395:SRH655395 TAX655395:TBD655395 TKT655395:TKZ655395 TUP655395:TUV655395 UEL655395:UER655395 UOH655395:UON655395 UYD655395:UYJ655395 VHZ655395:VIF655395 VRV655395:VSB655395 WBR655395:WBX655395 WLN655395:WLT655395 WVJ655395:WVP655395 B720931:H720931 IX720931:JD720931 ST720931:SZ720931 ACP720931:ACV720931 AML720931:AMR720931 AWH720931:AWN720931 BGD720931:BGJ720931 BPZ720931:BQF720931 BZV720931:CAB720931 CJR720931:CJX720931 CTN720931:CTT720931 DDJ720931:DDP720931 DNF720931:DNL720931 DXB720931:DXH720931 EGX720931:EHD720931 EQT720931:EQZ720931 FAP720931:FAV720931 FKL720931:FKR720931 FUH720931:FUN720931 GED720931:GEJ720931 GNZ720931:GOF720931 GXV720931:GYB720931 HHR720931:HHX720931 HRN720931:HRT720931 IBJ720931:IBP720931 ILF720931:ILL720931 IVB720931:IVH720931 JEX720931:JFD720931 JOT720931:JOZ720931 JYP720931:JYV720931 KIL720931:KIR720931 KSH720931:KSN720931 LCD720931:LCJ720931 LLZ720931:LMF720931 LVV720931:LWB720931 MFR720931:MFX720931 MPN720931:MPT720931 MZJ720931:MZP720931 NJF720931:NJL720931 NTB720931:NTH720931 OCX720931:ODD720931 OMT720931:OMZ720931 OWP720931:OWV720931 PGL720931:PGR720931 PQH720931:PQN720931 QAD720931:QAJ720931 QJZ720931:QKF720931 QTV720931:QUB720931 RDR720931:RDX720931 RNN720931:RNT720931 RXJ720931:RXP720931 SHF720931:SHL720931 SRB720931:SRH720931 TAX720931:TBD720931 TKT720931:TKZ720931 TUP720931:TUV720931 UEL720931:UER720931 UOH720931:UON720931 UYD720931:UYJ720931 VHZ720931:VIF720931 VRV720931:VSB720931 WBR720931:WBX720931 WLN720931:WLT720931 WVJ720931:WVP720931 B786467:H786467 IX786467:JD786467 ST786467:SZ786467 ACP786467:ACV786467 AML786467:AMR786467 AWH786467:AWN786467 BGD786467:BGJ786467 BPZ786467:BQF786467 BZV786467:CAB786467 CJR786467:CJX786467 CTN786467:CTT786467 DDJ786467:DDP786467 DNF786467:DNL786467 DXB786467:DXH786467 EGX786467:EHD786467 EQT786467:EQZ786467 FAP786467:FAV786467 FKL786467:FKR786467 FUH786467:FUN786467 GED786467:GEJ786467 GNZ786467:GOF786467 GXV786467:GYB786467 HHR786467:HHX786467 HRN786467:HRT786467 IBJ786467:IBP786467 ILF786467:ILL786467 IVB786467:IVH786467 JEX786467:JFD786467 JOT786467:JOZ786467 JYP786467:JYV786467 KIL786467:KIR786467 KSH786467:KSN786467 LCD786467:LCJ786467 LLZ786467:LMF786467 LVV786467:LWB786467 MFR786467:MFX786467 MPN786467:MPT786467 MZJ786467:MZP786467 NJF786467:NJL786467 NTB786467:NTH786467 OCX786467:ODD786467 OMT786467:OMZ786467 OWP786467:OWV786467 PGL786467:PGR786467 PQH786467:PQN786467 QAD786467:QAJ786467 QJZ786467:QKF786467 QTV786467:QUB786467 RDR786467:RDX786467 RNN786467:RNT786467 RXJ786467:RXP786467 SHF786467:SHL786467 SRB786467:SRH786467 TAX786467:TBD786467 TKT786467:TKZ786467 TUP786467:TUV786467 UEL786467:UER786467 UOH786467:UON786467 UYD786467:UYJ786467 VHZ786467:VIF786467 VRV786467:VSB786467 WBR786467:WBX786467 WLN786467:WLT786467 WVJ786467:WVP786467 B852003:H852003 IX852003:JD852003 ST852003:SZ852003 ACP852003:ACV852003 AML852003:AMR852003 AWH852003:AWN852003 BGD852003:BGJ852003 BPZ852003:BQF852003 BZV852003:CAB852003 CJR852003:CJX852003 CTN852003:CTT852003 DDJ852003:DDP852003 DNF852003:DNL852003 DXB852003:DXH852003 EGX852003:EHD852003 EQT852003:EQZ852003 FAP852003:FAV852003 FKL852003:FKR852003 FUH852003:FUN852003 GED852003:GEJ852003 GNZ852003:GOF852003 GXV852003:GYB852003 HHR852003:HHX852003 HRN852003:HRT852003 IBJ852003:IBP852003 ILF852003:ILL852003 IVB852003:IVH852003 JEX852003:JFD852003 JOT852003:JOZ852003 JYP852003:JYV852003 KIL852003:KIR852003 KSH852003:KSN852003 LCD852003:LCJ852003 LLZ852003:LMF852003 LVV852003:LWB852003 MFR852003:MFX852003 MPN852003:MPT852003 MZJ852003:MZP852003 NJF852003:NJL852003 NTB852003:NTH852003 OCX852003:ODD852003 OMT852003:OMZ852003 OWP852003:OWV852003 PGL852003:PGR852003 PQH852003:PQN852003 QAD852003:QAJ852003 QJZ852003:QKF852003 QTV852003:QUB852003 RDR852003:RDX852003 RNN852003:RNT852003 RXJ852003:RXP852003 SHF852003:SHL852003 SRB852003:SRH852003 TAX852003:TBD852003 TKT852003:TKZ852003 TUP852003:TUV852003 UEL852003:UER852003 UOH852003:UON852003 UYD852003:UYJ852003 VHZ852003:VIF852003 VRV852003:VSB852003 WBR852003:WBX852003 WLN852003:WLT852003 WVJ852003:WVP852003 B917539:H917539 IX917539:JD917539 ST917539:SZ917539 ACP917539:ACV917539 AML917539:AMR917539 AWH917539:AWN917539 BGD917539:BGJ917539 BPZ917539:BQF917539 BZV917539:CAB917539 CJR917539:CJX917539 CTN917539:CTT917539 DDJ917539:DDP917539 DNF917539:DNL917539 DXB917539:DXH917539 EGX917539:EHD917539 EQT917539:EQZ917539 FAP917539:FAV917539 FKL917539:FKR917539 FUH917539:FUN917539 GED917539:GEJ917539 GNZ917539:GOF917539 GXV917539:GYB917539 HHR917539:HHX917539 HRN917539:HRT917539 IBJ917539:IBP917539 ILF917539:ILL917539 IVB917539:IVH917539 JEX917539:JFD917539 JOT917539:JOZ917539 JYP917539:JYV917539 KIL917539:KIR917539 KSH917539:KSN917539 LCD917539:LCJ917539 LLZ917539:LMF917539 LVV917539:LWB917539 MFR917539:MFX917539 MPN917539:MPT917539 MZJ917539:MZP917539 NJF917539:NJL917539 NTB917539:NTH917539 OCX917539:ODD917539 OMT917539:OMZ917539 OWP917539:OWV917539 PGL917539:PGR917539 PQH917539:PQN917539 QAD917539:QAJ917539 QJZ917539:QKF917539 QTV917539:QUB917539 RDR917539:RDX917539 RNN917539:RNT917539 RXJ917539:RXP917539 SHF917539:SHL917539 SRB917539:SRH917539 TAX917539:TBD917539 TKT917539:TKZ917539 TUP917539:TUV917539 UEL917539:UER917539 UOH917539:UON917539 UYD917539:UYJ917539 VHZ917539:VIF917539 VRV917539:VSB917539 WBR917539:WBX917539 WLN917539:WLT917539 WVJ917539:WVP917539 B983075:H983075 IX983075:JD983075 ST983075:SZ983075 ACP983075:ACV983075 AML983075:AMR983075 AWH983075:AWN983075 BGD983075:BGJ983075 BPZ983075:BQF983075 BZV983075:CAB983075 CJR983075:CJX983075 CTN983075:CTT983075 DDJ983075:DDP983075 DNF983075:DNL983075 DXB983075:DXH983075 EGX983075:EHD983075 EQT983075:EQZ983075 FAP983075:FAV983075 FKL983075:FKR983075 FUH983075:FUN983075 GED983075:GEJ983075 GNZ983075:GOF983075 GXV983075:GYB983075 HHR983075:HHX983075 HRN983075:HRT983075 IBJ983075:IBP983075 ILF983075:ILL983075 IVB983075:IVH983075 JEX983075:JFD983075 JOT983075:JOZ983075 JYP983075:JYV983075 KIL983075:KIR983075 KSH983075:KSN983075 LCD983075:LCJ983075 LLZ983075:LMF983075 LVV983075:LWB983075 MFR983075:MFX983075 MPN983075:MPT983075 MZJ983075:MZP983075 NJF983075:NJL983075 NTB983075:NTH983075 OCX983075:ODD983075 OMT983075:OMZ983075 OWP983075:OWV983075 PGL983075:PGR983075 PQH983075:PQN983075 QAD983075:QAJ983075 QJZ983075:QKF983075 QTV983075:QUB983075 RDR983075:RDX983075 RNN983075:RNT983075 RXJ983075:RXP983075 SHF983075:SHL983075 SRB983075:SRH983075 TAX983075:TBD983075 TKT983075:TKZ983075 TUP983075:TUV983075 UEL983075:UER983075 UOH983075:UON983075 UYD983075:UYJ983075 VHZ983075:VIF983075 VRV983075:VSB983075 WBR983075:WBX983075 WLN983075:WLT983075 WVJ983075:WVP983075 B32:H32 IX32:JD32 ST32:SZ32 ACP32:ACV32 AML32:AMR32 AWH32:AWN32 BGD32:BGJ32 BPZ32:BQF32 BZV32:CAB32 CJR32:CJX32 CTN32:CTT32 DDJ32:DDP32 DNF32:DNL32 DXB32:DXH32 EGX32:EHD32 EQT32:EQZ32 FAP32:FAV32 FKL32:FKR32 FUH32:FUN32 GED32:GEJ32 GNZ32:GOF32 GXV32:GYB32 HHR32:HHX32 HRN32:HRT32 IBJ32:IBP32 ILF32:ILL32 IVB32:IVH32 JEX32:JFD32 JOT32:JOZ32 JYP32:JYV32 KIL32:KIR32 KSH32:KSN32 LCD32:LCJ32 LLZ32:LMF32 LVV32:LWB32 MFR32:MFX32 MPN32:MPT32 MZJ32:MZP32 NJF32:NJL32 NTB32:NTH32 OCX32:ODD32 OMT32:OMZ32 OWP32:OWV32 PGL32:PGR32 PQH32:PQN32 QAD32:QAJ32 QJZ32:QKF32 QTV32:QUB32 RDR32:RDX32 RNN32:RNT32 RXJ32:RXP32 SHF32:SHL32 SRB32:SRH32 TAX32:TBD32 TKT32:TKZ32 TUP32:TUV32 UEL32:UER32 UOH32:UON32 UYD32:UYJ32 VHZ32:VIF32 VRV32:VSB32 WBR32:WBX32 WLN32:WLT32 WVJ32:WVP32 B65568:H65568 IX65568:JD65568 ST65568:SZ65568 ACP65568:ACV65568 AML65568:AMR65568 AWH65568:AWN65568 BGD65568:BGJ65568 BPZ65568:BQF65568 BZV65568:CAB65568 CJR65568:CJX65568 CTN65568:CTT65568 DDJ65568:DDP65568 DNF65568:DNL65568 DXB65568:DXH65568 EGX65568:EHD65568 EQT65568:EQZ65568 FAP65568:FAV65568 FKL65568:FKR65568 FUH65568:FUN65568 GED65568:GEJ65568 GNZ65568:GOF65568 GXV65568:GYB65568 HHR65568:HHX65568 HRN65568:HRT65568 IBJ65568:IBP65568 ILF65568:ILL65568 IVB65568:IVH65568 JEX65568:JFD65568 JOT65568:JOZ65568 JYP65568:JYV65568 KIL65568:KIR65568 KSH65568:KSN65568 LCD65568:LCJ65568 LLZ65568:LMF65568 LVV65568:LWB65568 MFR65568:MFX65568 MPN65568:MPT65568 MZJ65568:MZP65568 NJF65568:NJL65568 NTB65568:NTH65568 OCX65568:ODD65568 OMT65568:OMZ65568 OWP65568:OWV65568 PGL65568:PGR65568 PQH65568:PQN65568 QAD65568:QAJ65568 QJZ65568:QKF65568 QTV65568:QUB65568 RDR65568:RDX65568 RNN65568:RNT65568 RXJ65568:RXP65568 SHF65568:SHL65568 SRB65568:SRH65568 TAX65568:TBD65568 TKT65568:TKZ65568 TUP65568:TUV65568 UEL65568:UER65568 UOH65568:UON65568 UYD65568:UYJ65568 VHZ65568:VIF65568 VRV65568:VSB65568 WBR65568:WBX65568 WLN65568:WLT65568 WVJ65568:WVP65568 B131104:H131104 IX131104:JD131104 ST131104:SZ131104 ACP131104:ACV131104 AML131104:AMR131104 AWH131104:AWN131104 BGD131104:BGJ131104 BPZ131104:BQF131104 BZV131104:CAB131104 CJR131104:CJX131104 CTN131104:CTT131104 DDJ131104:DDP131104 DNF131104:DNL131104 DXB131104:DXH131104 EGX131104:EHD131104 EQT131104:EQZ131104 FAP131104:FAV131104 FKL131104:FKR131104 FUH131104:FUN131104 GED131104:GEJ131104 GNZ131104:GOF131104 GXV131104:GYB131104 HHR131104:HHX131104 HRN131104:HRT131104 IBJ131104:IBP131104 ILF131104:ILL131104 IVB131104:IVH131104 JEX131104:JFD131104 JOT131104:JOZ131104 JYP131104:JYV131104 KIL131104:KIR131104 KSH131104:KSN131104 LCD131104:LCJ131104 LLZ131104:LMF131104 LVV131104:LWB131104 MFR131104:MFX131104 MPN131104:MPT131104 MZJ131104:MZP131104 NJF131104:NJL131104 NTB131104:NTH131104 OCX131104:ODD131104 OMT131104:OMZ131104 OWP131104:OWV131104 PGL131104:PGR131104 PQH131104:PQN131104 QAD131104:QAJ131104 QJZ131104:QKF131104 QTV131104:QUB131104 RDR131104:RDX131104 RNN131104:RNT131104 RXJ131104:RXP131104 SHF131104:SHL131104 SRB131104:SRH131104 TAX131104:TBD131104 TKT131104:TKZ131104 TUP131104:TUV131104 UEL131104:UER131104 UOH131104:UON131104 UYD131104:UYJ131104 VHZ131104:VIF131104 VRV131104:VSB131104 WBR131104:WBX131104 WLN131104:WLT131104 WVJ131104:WVP131104 B196640:H196640 IX196640:JD196640 ST196640:SZ196640 ACP196640:ACV196640 AML196640:AMR196640 AWH196640:AWN196640 BGD196640:BGJ196640 BPZ196640:BQF196640 BZV196640:CAB196640 CJR196640:CJX196640 CTN196640:CTT196640 DDJ196640:DDP196640 DNF196640:DNL196640 DXB196640:DXH196640 EGX196640:EHD196640 EQT196640:EQZ196640 FAP196640:FAV196640 FKL196640:FKR196640 FUH196640:FUN196640 GED196640:GEJ196640 GNZ196640:GOF196640 GXV196640:GYB196640 HHR196640:HHX196640 HRN196640:HRT196640 IBJ196640:IBP196640 ILF196640:ILL196640 IVB196640:IVH196640 JEX196640:JFD196640 JOT196640:JOZ196640 JYP196640:JYV196640 KIL196640:KIR196640 KSH196640:KSN196640 LCD196640:LCJ196640 LLZ196640:LMF196640 LVV196640:LWB196640 MFR196640:MFX196640 MPN196640:MPT196640 MZJ196640:MZP196640 NJF196640:NJL196640 NTB196640:NTH196640 OCX196640:ODD196640 OMT196640:OMZ196640 OWP196640:OWV196640 PGL196640:PGR196640 PQH196640:PQN196640 QAD196640:QAJ196640 QJZ196640:QKF196640 QTV196640:QUB196640 RDR196640:RDX196640 RNN196640:RNT196640 RXJ196640:RXP196640 SHF196640:SHL196640 SRB196640:SRH196640 TAX196640:TBD196640 TKT196640:TKZ196640 TUP196640:TUV196640 UEL196640:UER196640 UOH196640:UON196640 UYD196640:UYJ196640 VHZ196640:VIF196640 VRV196640:VSB196640 WBR196640:WBX196640 WLN196640:WLT196640 WVJ196640:WVP196640 B262176:H262176 IX262176:JD262176 ST262176:SZ262176 ACP262176:ACV262176 AML262176:AMR262176 AWH262176:AWN262176 BGD262176:BGJ262176 BPZ262176:BQF262176 BZV262176:CAB262176 CJR262176:CJX262176 CTN262176:CTT262176 DDJ262176:DDP262176 DNF262176:DNL262176 DXB262176:DXH262176 EGX262176:EHD262176 EQT262176:EQZ262176 FAP262176:FAV262176 FKL262176:FKR262176 FUH262176:FUN262176 GED262176:GEJ262176 GNZ262176:GOF262176 GXV262176:GYB262176 HHR262176:HHX262176 HRN262176:HRT262176 IBJ262176:IBP262176 ILF262176:ILL262176 IVB262176:IVH262176 JEX262176:JFD262176 JOT262176:JOZ262176 JYP262176:JYV262176 KIL262176:KIR262176 KSH262176:KSN262176 LCD262176:LCJ262176 LLZ262176:LMF262176 LVV262176:LWB262176 MFR262176:MFX262176 MPN262176:MPT262176 MZJ262176:MZP262176 NJF262176:NJL262176 NTB262176:NTH262176 OCX262176:ODD262176 OMT262176:OMZ262176 OWP262176:OWV262176 PGL262176:PGR262176 PQH262176:PQN262176 QAD262176:QAJ262176 QJZ262176:QKF262176 QTV262176:QUB262176 RDR262176:RDX262176 RNN262176:RNT262176 RXJ262176:RXP262176 SHF262176:SHL262176 SRB262176:SRH262176 TAX262176:TBD262176 TKT262176:TKZ262176 TUP262176:TUV262176 UEL262176:UER262176 UOH262176:UON262176 UYD262176:UYJ262176 VHZ262176:VIF262176 VRV262176:VSB262176 WBR262176:WBX262176 WLN262176:WLT262176 WVJ262176:WVP262176 B327712:H327712 IX327712:JD327712 ST327712:SZ327712 ACP327712:ACV327712 AML327712:AMR327712 AWH327712:AWN327712 BGD327712:BGJ327712 BPZ327712:BQF327712 BZV327712:CAB327712 CJR327712:CJX327712 CTN327712:CTT327712 DDJ327712:DDP327712 DNF327712:DNL327712 DXB327712:DXH327712 EGX327712:EHD327712 EQT327712:EQZ327712 FAP327712:FAV327712 FKL327712:FKR327712 FUH327712:FUN327712 GED327712:GEJ327712 GNZ327712:GOF327712 GXV327712:GYB327712 HHR327712:HHX327712 HRN327712:HRT327712 IBJ327712:IBP327712 ILF327712:ILL327712 IVB327712:IVH327712 JEX327712:JFD327712 JOT327712:JOZ327712 JYP327712:JYV327712 KIL327712:KIR327712 KSH327712:KSN327712 LCD327712:LCJ327712 LLZ327712:LMF327712 LVV327712:LWB327712 MFR327712:MFX327712 MPN327712:MPT327712 MZJ327712:MZP327712 NJF327712:NJL327712 NTB327712:NTH327712 OCX327712:ODD327712 OMT327712:OMZ327712 OWP327712:OWV327712 PGL327712:PGR327712 PQH327712:PQN327712 QAD327712:QAJ327712 QJZ327712:QKF327712 QTV327712:QUB327712 RDR327712:RDX327712 RNN327712:RNT327712 RXJ327712:RXP327712 SHF327712:SHL327712 SRB327712:SRH327712 TAX327712:TBD327712 TKT327712:TKZ327712 TUP327712:TUV327712 UEL327712:UER327712 UOH327712:UON327712 UYD327712:UYJ327712 VHZ327712:VIF327712 VRV327712:VSB327712 WBR327712:WBX327712 WLN327712:WLT327712 WVJ327712:WVP327712 B393248:H393248 IX393248:JD393248 ST393248:SZ393248 ACP393248:ACV393248 AML393248:AMR393248 AWH393248:AWN393248 BGD393248:BGJ393248 BPZ393248:BQF393248 BZV393248:CAB393248 CJR393248:CJX393248 CTN393248:CTT393248 DDJ393248:DDP393248 DNF393248:DNL393248 DXB393248:DXH393248 EGX393248:EHD393248 EQT393248:EQZ393248 FAP393248:FAV393248 FKL393248:FKR393248 FUH393248:FUN393248 GED393248:GEJ393248 GNZ393248:GOF393248 GXV393248:GYB393248 HHR393248:HHX393248 HRN393248:HRT393248 IBJ393248:IBP393248 ILF393248:ILL393248 IVB393248:IVH393248 JEX393248:JFD393248 JOT393248:JOZ393248 JYP393248:JYV393248 KIL393248:KIR393248 KSH393248:KSN393248 LCD393248:LCJ393248 LLZ393248:LMF393248 LVV393248:LWB393248 MFR393248:MFX393248 MPN393248:MPT393248 MZJ393248:MZP393248 NJF393248:NJL393248 NTB393248:NTH393248 OCX393248:ODD393248 OMT393248:OMZ393248 OWP393248:OWV393248 PGL393248:PGR393248 PQH393248:PQN393248 QAD393248:QAJ393248 QJZ393248:QKF393248 QTV393248:QUB393248 RDR393248:RDX393248 RNN393248:RNT393248 RXJ393248:RXP393248 SHF393248:SHL393248 SRB393248:SRH393248 TAX393248:TBD393248 TKT393248:TKZ393248 TUP393248:TUV393248 UEL393248:UER393248 UOH393248:UON393248 UYD393248:UYJ393248 VHZ393248:VIF393248 VRV393248:VSB393248 WBR393248:WBX393248 WLN393248:WLT393248 WVJ393248:WVP393248 B458784:H458784 IX458784:JD458784 ST458784:SZ458784 ACP458784:ACV458784 AML458784:AMR458784 AWH458784:AWN458784 BGD458784:BGJ458784 BPZ458784:BQF458784 BZV458784:CAB458784 CJR458784:CJX458784 CTN458784:CTT458784 DDJ458784:DDP458784 DNF458784:DNL458784 DXB458784:DXH458784 EGX458784:EHD458784 EQT458784:EQZ458784 FAP458784:FAV458784 FKL458784:FKR458784 FUH458784:FUN458784 GED458784:GEJ458784 GNZ458784:GOF458784 GXV458784:GYB458784 HHR458784:HHX458784 HRN458784:HRT458784 IBJ458784:IBP458784 ILF458784:ILL458784 IVB458784:IVH458784 JEX458784:JFD458784 JOT458784:JOZ458784 JYP458784:JYV458784 KIL458784:KIR458784 KSH458784:KSN458784 LCD458784:LCJ458784 LLZ458784:LMF458784 LVV458784:LWB458784 MFR458784:MFX458784 MPN458784:MPT458784 MZJ458784:MZP458784 NJF458784:NJL458784 NTB458784:NTH458784 OCX458784:ODD458784 OMT458784:OMZ458784 OWP458784:OWV458784 PGL458784:PGR458784 PQH458784:PQN458784 QAD458784:QAJ458784 QJZ458784:QKF458784 QTV458784:QUB458784 RDR458784:RDX458784 RNN458784:RNT458784 RXJ458784:RXP458784 SHF458784:SHL458784 SRB458784:SRH458784 TAX458784:TBD458784 TKT458784:TKZ458784 TUP458784:TUV458784 UEL458784:UER458784 UOH458784:UON458784 UYD458784:UYJ458784 VHZ458784:VIF458784 VRV458784:VSB458784 WBR458784:WBX458784 WLN458784:WLT458784 WVJ458784:WVP458784 B524320:H524320 IX524320:JD524320 ST524320:SZ524320 ACP524320:ACV524320 AML524320:AMR524320 AWH524320:AWN524320 BGD524320:BGJ524320 BPZ524320:BQF524320 BZV524320:CAB524320 CJR524320:CJX524320 CTN524320:CTT524320 DDJ524320:DDP524320 DNF524320:DNL524320 DXB524320:DXH524320 EGX524320:EHD524320 EQT524320:EQZ524320 FAP524320:FAV524320 FKL524320:FKR524320 FUH524320:FUN524320 GED524320:GEJ524320 GNZ524320:GOF524320 GXV524320:GYB524320 HHR524320:HHX524320 HRN524320:HRT524320 IBJ524320:IBP524320 ILF524320:ILL524320 IVB524320:IVH524320 JEX524320:JFD524320 JOT524320:JOZ524320 JYP524320:JYV524320 KIL524320:KIR524320 KSH524320:KSN524320 LCD524320:LCJ524320 LLZ524320:LMF524320 LVV524320:LWB524320 MFR524320:MFX524320 MPN524320:MPT524320 MZJ524320:MZP524320 NJF524320:NJL524320 NTB524320:NTH524320 OCX524320:ODD524320 OMT524320:OMZ524320 OWP524320:OWV524320 PGL524320:PGR524320 PQH524320:PQN524320 QAD524320:QAJ524320 QJZ524320:QKF524320 QTV524320:QUB524320 RDR524320:RDX524320 RNN524320:RNT524320 RXJ524320:RXP524320 SHF524320:SHL524320 SRB524320:SRH524320 TAX524320:TBD524320 TKT524320:TKZ524320 TUP524320:TUV524320 UEL524320:UER524320 UOH524320:UON524320 UYD524320:UYJ524320 VHZ524320:VIF524320 VRV524320:VSB524320 WBR524320:WBX524320 WLN524320:WLT524320 WVJ524320:WVP524320 B589856:H589856 IX589856:JD589856 ST589856:SZ589856 ACP589856:ACV589856 AML589856:AMR589856 AWH589856:AWN589856 BGD589856:BGJ589856 BPZ589856:BQF589856 BZV589856:CAB589856 CJR589856:CJX589856 CTN589856:CTT589856 DDJ589856:DDP589856 DNF589856:DNL589856 DXB589856:DXH589856 EGX589856:EHD589856 EQT589856:EQZ589856 FAP589856:FAV589856 FKL589856:FKR589856 FUH589856:FUN589856 GED589856:GEJ589856 GNZ589856:GOF589856 GXV589856:GYB589856 HHR589856:HHX589856 HRN589856:HRT589856 IBJ589856:IBP589856 ILF589856:ILL589856 IVB589856:IVH589856 JEX589856:JFD589856 JOT589856:JOZ589856 JYP589856:JYV589856 KIL589856:KIR589856 KSH589856:KSN589856 LCD589856:LCJ589856 LLZ589856:LMF589856 LVV589856:LWB589856 MFR589856:MFX589856 MPN589856:MPT589856 MZJ589856:MZP589856 NJF589856:NJL589856 NTB589856:NTH589856 OCX589856:ODD589856 OMT589856:OMZ589856 OWP589856:OWV589856 PGL589856:PGR589856 PQH589856:PQN589856 QAD589856:QAJ589856 QJZ589856:QKF589856 QTV589856:QUB589856 RDR589856:RDX589856 RNN589856:RNT589856 RXJ589856:RXP589856 SHF589856:SHL589856 SRB589856:SRH589856 TAX589856:TBD589856 TKT589856:TKZ589856 TUP589856:TUV589856 UEL589856:UER589856 UOH589856:UON589856 UYD589856:UYJ589856 VHZ589856:VIF589856 VRV589856:VSB589856 WBR589856:WBX589856 WLN589856:WLT589856 WVJ589856:WVP589856 B655392:H655392 IX655392:JD655392 ST655392:SZ655392 ACP655392:ACV655392 AML655392:AMR655392 AWH655392:AWN655392 BGD655392:BGJ655392 BPZ655392:BQF655392 BZV655392:CAB655392 CJR655392:CJX655392 CTN655392:CTT655392 DDJ655392:DDP655392 DNF655392:DNL655392 DXB655392:DXH655392 EGX655392:EHD655392 EQT655392:EQZ655392 FAP655392:FAV655392 FKL655392:FKR655392 FUH655392:FUN655392 GED655392:GEJ655392 GNZ655392:GOF655392 GXV655392:GYB655392 HHR655392:HHX655392 HRN655392:HRT655392 IBJ655392:IBP655392 ILF655392:ILL655392 IVB655392:IVH655392 JEX655392:JFD655392 JOT655392:JOZ655392 JYP655392:JYV655392 KIL655392:KIR655392 KSH655392:KSN655392 LCD655392:LCJ655392 LLZ655392:LMF655392 LVV655392:LWB655392 MFR655392:MFX655392 MPN655392:MPT655392 MZJ655392:MZP655392 NJF655392:NJL655392 NTB655392:NTH655392 OCX655392:ODD655392 OMT655392:OMZ655392 OWP655392:OWV655392 PGL655392:PGR655392 PQH655392:PQN655392 QAD655392:QAJ655392 QJZ655392:QKF655392 QTV655392:QUB655392 RDR655392:RDX655392 RNN655392:RNT655392 RXJ655392:RXP655392 SHF655392:SHL655392 SRB655392:SRH655392 TAX655392:TBD655392 TKT655392:TKZ655392 TUP655392:TUV655392 UEL655392:UER655392 UOH655392:UON655392 UYD655392:UYJ655392 VHZ655392:VIF655392 VRV655392:VSB655392 WBR655392:WBX655392 WLN655392:WLT655392 WVJ655392:WVP655392 B720928:H720928 IX720928:JD720928 ST720928:SZ720928 ACP720928:ACV720928 AML720928:AMR720928 AWH720928:AWN720928 BGD720928:BGJ720928 BPZ720928:BQF720928 BZV720928:CAB720928 CJR720928:CJX720928 CTN720928:CTT720928 DDJ720928:DDP720928 DNF720928:DNL720928 DXB720928:DXH720928 EGX720928:EHD720928 EQT720928:EQZ720928 FAP720928:FAV720928 FKL720928:FKR720928 FUH720928:FUN720928 GED720928:GEJ720928 GNZ720928:GOF720928 GXV720928:GYB720928 HHR720928:HHX720928 HRN720928:HRT720928 IBJ720928:IBP720928 ILF720928:ILL720928 IVB720928:IVH720928 JEX720928:JFD720928 JOT720928:JOZ720928 JYP720928:JYV720928 KIL720928:KIR720928 KSH720928:KSN720928 LCD720928:LCJ720928 LLZ720928:LMF720928 LVV720928:LWB720928 MFR720928:MFX720928 MPN720928:MPT720928 MZJ720928:MZP720928 NJF720928:NJL720928 NTB720928:NTH720928 OCX720928:ODD720928 OMT720928:OMZ720928 OWP720928:OWV720928 PGL720928:PGR720928 PQH720928:PQN720928 QAD720928:QAJ720928 QJZ720928:QKF720928 QTV720928:QUB720928 RDR720928:RDX720928 RNN720928:RNT720928 RXJ720928:RXP720928 SHF720928:SHL720928 SRB720928:SRH720928 TAX720928:TBD720928 TKT720928:TKZ720928 TUP720928:TUV720928 UEL720928:UER720928 UOH720928:UON720928 UYD720928:UYJ720928 VHZ720928:VIF720928 VRV720928:VSB720928 WBR720928:WBX720928 WLN720928:WLT720928 WVJ720928:WVP720928 B786464:H786464 IX786464:JD786464 ST786464:SZ786464 ACP786464:ACV786464 AML786464:AMR786464 AWH786464:AWN786464 BGD786464:BGJ786464 BPZ786464:BQF786464 BZV786464:CAB786464 CJR786464:CJX786464 CTN786464:CTT786464 DDJ786464:DDP786464 DNF786464:DNL786464 DXB786464:DXH786464 EGX786464:EHD786464 EQT786464:EQZ786464 FAP786464:FAV786464 FKL786464:FKR786464 FUH786464:FUN786464 GED786464:GEJ786464 GNZ786464:GOF786464 GXV786464:GYB786464 HHR786464:HHX786464 HRN786464:HRT786464 IBJ786464:IBP786464 ILF786464:ILL786464 IVB786464:IVH786464 JEX786464:JFD786464 JOT786464:JOZ786464 JYP786464:JYV786464 KIL786464:KIR786464 KSH786464:KSN786464 LCD786464:LCJ786464 LLZ786464:LMF786464 LVV786464:LWB786464 MFR786464:MFX786464 MPN786464:MPT786464 MZJ786464:MZP786464 NJF786464:NJL786464 NTB786464:NTH786464 OCX786464:ODD786464 OMT786464:OMZ786464 OWP786464:OWV786464 PGL786464:PGR786464 PQH786464:PQN786464 QAD786464:QAJ786464 QJZ786464:QKF786464 QTV786464:QUB786464 RDR786464:RDX786464 RNN786464:RNT786464 RXJ786464:RXP786464 SHF786464:SHL786464 SRB786464:SRH786464 TAX786464:TBD786464 TKT786464:TKZ786464 TUP786464:TUV786464 UEL786464:UER786464 UOH786464:UON786464 UYD786464:UYJ786464 VHZ786464:VIF786464 VRV786464:VSB786464 WBR786464:WBX786464 WLN786464:WLT786464 WVJ786464:WVP786464 B852000:H852000 IX852000:JD852000 ST852000:SZ852000 ACP852000:ACV852000 AML852000:AMR852000 AWH852000:AWN852000 BGD852000:BGJ852000 BPZ852000:BQF852000 BZV852000:CAB852000 CJR852000:CJX852000 CTN852000:CTT852000 DDJ852000:DDP852000 DNF852000:DNL852000 DXB852000:DXH852000 EGX852000:EHD852000 EQT852000:EQZ852000 FAP852000:FAV852000 FKL852000:FKR852000 FUH852000:FUN852000 GED852000:GEJ852000 GNZ852000:GOF852000 GXV852000:GYB852000 HHR852000:HHX852000 HRN852000:HRT852000 IBJ852000:IBP852000 ILF852000:ILL852000 IVB852000:IVH852000 JEX852000:JFD852000 JOT852000:JOZ852000 JYP852000:JYV852000 KIL852000:KIR852000 KSH852000:KSN852000 LCD852000:LCJ852000 LLZ852000:LMF852000 LVV852000:LWB852000 MFR852000:MFX852000 MPN852000:MPT852000 MZJ852000:MZP852000 NJF852000:NJL852000 NTB852000:NTH852000 OCX852000:ODD852000 OMT852000:OMZ852000 OWP852000:OWV852000 PGL852000:PGR852000 PQH852000:PQN852000 QAD852000:QAJ852000 QJZ852000:QKF852000 QTV852000:QUB852000 RDR852000:RDX852000 RNN852000:RNT852000 RXJ852000:RXP852000 SHF852000:SHL852000 SRB852000:SRH852000 TAX852000:TBD852000 TKT852000:TKZ852000 TUP852000:TUV852000 UEL852000:UER852000 UOH852000:UON852000 UYD852000:UYJ852000 VHZ852000:VIF852000 VRV852000:VSB852000 WBR852000:WBX852000 WLN852000:WLT852000 WVJ852000:WVP852000 B917536:H917536 IX917536:JD917536 ST917536:SZ917536 ACP917536:ACV917536 AML917536:AMR917536 AWH917536:AWN917536 BGD917536:BGJ917536 BPZ917536:BQF917536 BZV917536:CAB917536 CJR917536:CJX917536 CTN917536:CTT917536 DDJ917536:DDP917536 DNF917536:DNL917536 DXB917536:DXH917536 EGX917536:EHD917536 EQT917536:EQZ917536 FAP917536:FAV917536 FKL917536:FKR917536 FUH917536:FUN917536 GED917536:GEJ917536 GNZ917536:GOF917536 GXV917536:GYB917536 HHR917536:HHX917536 HRN917536:HRT917536 IBJ917536:IBP917536 ILF917536:ILL917536 IVB917536:IVH917536 JEX917536:JFD917536 JOT917536:JOZ917536 JYP917536:JYV917536 KIL917536:KIR917536 KSH917536:KSN917536 LCD917536:LCJ917536 LLZ917536:LMF917536 LVV917536:LWB917536 MFR917536:MFX917536 MPN917536:MPT917536 MZJ917536:MZP917536 NJF917536:NJL917536 NTB917536:NTH917536 OCX917536:ODD917536 OMT917536:OMZ917536 OWP917536:OWV917536 PGL917536:PGR917536 PQH917536:PQN917536 QAD917536:QAJ917536 QJZ917536:QKF917536 QTV917536:QUB917536 RDR917536:RDX917536 RNN917536:RNT917536 RXJ917536:RXP917536 SHF917536:SHL917536 SRB917536:SRH917536 TAX917536:TBD917536 TKT917536:TKZ917536 TUP917536:TUV917536 UEL917536:UER917536 UOH917536:UON917536 UYD917536:UYJ917536 VHZ917536:VIF917536 VRV917536:VSB917536 WBR917536:WBX917536 WLN917536:WLT917536 WVJ917536:WVP917536 B983072:H983072 IX983072:JD983072 ST983072:SZ983072 ACP983072:ACV983072 AML983072:AMR983072 AWH983072:AWN983072 BGD983072:BGJ983072 BPZ983072:BQF983072 BZV983072:CAB983072 CJR983072:CJX983072 CTN983072:CTT983072 DDJ983072:DDP983072 DNF983072:DNL983072 DXB983072:DXH983072 EGX983072:EHD983072 EQT983072:EQZ983072 FAP983072:FAV983072 FKL983072:FKR983072 FUH983072:FUN983072 GED983072:GEJ983072 GNZ983072:GOF983072 GXV983072:GYB983072 HHR983072:HHX983072 HRN983072:HRT983072 IBJ983072:IBP983072 ILF983072:ILL983072 IVB983072:IVH983072 JEX983072:JFD983072 JOT983072:JOZ983072 JYP983072:JYV983072 KIL983072:KIR983072 KSH983072:KSN983072 LCD983072:LCJ983072 LLZ983072:LMF983072 LVV983072:LWB983072 MFR983072:MFX983072 MPN983072:MPT983072 MZJ983072:MZP983072 NJF983072:NJL983072 NTB983072:NTH983072 OCX983072:ODD983072 OMT983072:OMZ983072 OWP983072:OWV983072 PGL983072:PGR983072 PQH983072:PQN983072 QAD983072:QAJ983072 QJZ983072:QKF983072 QTV983072:QUB983072 RDR983072:RDX983072 RNN983072:RNT983072 RXJ983072:RXP983072 SHF983072:SHL983072 SRB983072:SRH983072 TAX983072:TBD983072 TKT983072:TKZ983072 TUP983072:TUV983072 UEL983072:UER983072 UOH983072:UON983072 UYD983072:UYJ983072 VHZ983072:VIF983072 VRV983072:VSB983072 WBR983072:WBX983072 WLN983072:WLT983072 WVJ983072:WVP983072 B29:H29 IX29:JD29 ST29:SZ29 ACP29:ACV29 AML29:AMR29 AWH29:AWN29 BGD29:BGJ29 BPZ29:BQF29 BZV29:CAB29 CJR29:CJX29 CTN29:CTT29 DDJ29:DDP29 DNF29:DNL29 DXB29:DXH29 EGX29:EHD29 EQT29:EQZ29 FAP29:FAV29 FKL29:FKR29 FUH29:FUN29 GED29:GEJ29 GNZ29:GOF29 GXV29:GYB29 HHR29:HHX29 HRN29:HRT29 IBJ29:IBP29 ILF29:ILL29 IVB29:IVH29 JEX29:JFD29 JOT29:JOZ29 JYP29:JYV29 KIL29:KIR29 KSH29:KSN29 LCD29:LCJ29 LLZ29:LMF29 LVV29:LWB29 MFR29:MFX29 MPN29:MPT29 MZJ29:MZP29 NJF29:NJL29 NTB29:NTH29 OCX29:ODD29 OMT29:OMZ29 OWP29:OWV29 PGL29:PGR29 PQH29:PQN29 QAD29:QAJ29 QJZ29:QKF29 QTV29:QUB29 RDR29:RDX29 RNN29:RNT29 RXJ29:RXP29 SHF29:SHL29 SRB29:SRH29 TAX29:TBD29 TKT29:TKZ29 TUP29:TUV29 UEL29:UER29 UOH29:UON29 UYD29:UYJ29 VHZ29:VIF29 VRV29:VSB29 WBR29:WBX29 WLN29:WLT29 WVJ29:WVP29 B65565:H65565 IX65565:JD65565 ST65565:SZ65565 ACP65565:ACV65565 AML65565:AMR65565 AWH65565:AWN65565 BGD65565:BGJ65565 BPZ65565:BQF65565 BZV65565:CAB65565 CJR65565:CJX65565 CTN65565:CTT65565 DDJ65565:DDP65565 DNF65565:DNL65565 DXB65565:DXH65565 EGX65565:EHD65565 EQT65565:EQZ65565 FAP65565:FAV65565 FKL65565:FKR65565 FUH65565:FUN65565 GED65565:GEJ65565 GNZ65565:GOF65565 GXV65565:GYB65565 HHR65565:HHX65565 HRN65565:HRT65565 IBJ65565:IBP65565 ILF65565:ILL65565 IVB65565:IVH65565 JEX65565:JFD65565 JOT65565:JOZ65565 JYP65565:JYV65565 KIL65565:KIR65565 KSH65565:KSN65565 LCD65565:LCJ65565 LLZ65565:LMF65565 LVV65565:LWB65565 MFR65565:MFX65565 MPN65565:MPT65565 MZJ65565:MZP65565 NJF65565:NJL65565 NTB65565:NTH65565 OCX65565:ODD65565 OMT65565:OMZ65565 OWP65565:OWV65565 PGL65565:PGR65565 PQH65565:PQN65565 QAD65565:QAJ65565 QJZ65565:QKF65565 QTV65565:QUB65565 RDR65565:RDX65565 RNN65565:RNT65565 RXJ65565:RXP65565 SHF65565:SHL65565 SRB65565:SRH65565 TAX65565:TBD65565 TKT65565:TKZ65565 TUP65565:TUV65565 UEL65565:UER65565 UOH65565:UON65565 UYD65565:UYJ65565 VHZ65565:VIF65565 VRV65565:VSB65565 WBR65565:WBX65565 WLN65565:WLT65565 WVJ65565:WVP65565 B131101:H131101 IX131101:JD131101 ST131101:SZ131101 ACP131101:ACV131101 AML131101:AMR131101 AWH131101:AWN131101 BGD131101:BGJ131101 BPZ131101:BQF131101 BZV131101:CAB131101 CJR131101:CJX131101 CTN131101:CTT131101 DDJ131101:DDP131101 DNF131101:DNL131101 DXB131101:DXH131101 EGX131101:EHD131101 EQT131101:EQZ131101 FAP131101:FAV131101 FKL131101:FKR131101 FUH131101:FUN131101 GED131101:GEJ131101 GNZ131101:GOF131101 GXV131101:GYB131101 HHR131101:HHX131101 HRN131101:HRT131101 IBJ131101:IBP131101 ILF131101:ILL131101 IVB131101:IVH131101 JEX131101:JFD131101 JOT131101:JOZ131101 JYP131101:JYV131101 KIL131101:KIR131101 KSH131101:KSN131101 LCD131101:LCJ131101 LLZ131101:LMF131101 LVV131101:LWB131101 MFR131101:MFX131101 MPN131101:MPT131101 MZJ131101:MZP131101 NJF131101:NJL131101 NTB131101:NTH131101 OCX131101:ODD131101 OMT131101:OMZ131101 OWP131101:OWV131101 PGL131101:PGR131101 PQH131101:PQN131101 QAD131101:QAJ131101 QJZ131101:QKF131101 QTV131101:QUB131101 RDR131101:RDX131101 RNN131101:RNT131101 RXJ131101:RXP131101 SHF131101:SHL131101 SRB131101:SRH131101 TAX131101:TBD131101 TKT131101:TKZ131101 TUP131101:TUV131101 UEL131101:UER131101 UOH131101:UON131101 UYD131101:UYJ131101 VHZ131101:VIF131101 VRV131101:VSB131101 WBR131101:WBX131101 WLN131101:WLT131101 WVJ131101:WVP131101 B196637:H196637 IX196637:JD196637 ST196637:SZ196637 ACP196637:ACV196637 AML196637:AMR196637 AWH196637:AWN196637 BGD196637:BGJ196637 BPZ196637:BQF196637 BZV196637:CAB196637 CJR196637:CJX196637 CTN196637:CTT196637 DDJ196637:DDP196637 DNF196637:DNL196637 DXB196637:DXH196637 EGX196637:EHD196637 EQT196637:EQZ196637 FAP196637:FAV196637 FKL196637:FKR196637 FUH196637:FUN196637 GED196637:GEJ196637 GNZ196637:GOF196637 GXV196637:GYB196637 HHR196637:HHX196637 HRN196637:HRT196637 IBJ196637:IBP196637 ILF196637:ILL196637 IVB196637:IVH196637 JEX196637:JFD196637 JOT196637:JOZ196637 JYP196637:JYV196637 KIL196637:KIR196637 KSH196637:KSN196637 LCD196637:LCJ196637 LLZ196637:LMF196637 LVV196637:LWB196637 MFR196637:MFX196637 MPN196637:MPT196637 MZJ196637:MZP196637 NJF196637:NJL196637 NTB196637:NTH196637 OCX196637:ODD196637 OMT196637:OMZ196637 OWP196637:OWV196637 PGL196637:PGR196637 PQH196637:PQN196637 QAD196637:QAJ196637 QJZ196637:QKF196637 QTV196637:QUB196637 RDR196637:RDX196637 RNN196637:RNT196637 RXJ196637:RXP196637 SHF196637:SHL196637 SRB196637:SRH196637 TAX196637:TBD196637 TKT196637:TKZ196637 TUP196637:TUV196637 UEL196637:UER196637 UOH196637:UON196637 UYD196637:UYJ196637 VHZ196637:VIF196637 VRV196637:VSB196637 WBR196637:WBX196637 WLN196637:WLT196637 WVJ196637:WVP196637 B262173:H262173 IX262173:JD262173 ST262173:SZ262173 ACP262173:ACV262173 AML262173:AMR262173 AWH262173:AWN262173 BGD262173:BGJ262173 BPZ262173:BQF262173 BZV262173:CAB262173 CJR262173:CJX262173 CTN262173:CTT262173 DDJ262173:DDP262173 DNF262173:DNL262173 DXB262173:DXH262173 EGX262173:EHD262173 EQT262173:EQZ262173 FAP262173:FAV262173 FKL262173:FKR262173 FUH262173:FUN262173 GED262173:GEJ262173 GNZ262173:GOF262173 GXV262173:GYB262173 HHR262173:HHX262173 HRN262173:HRT262173 IBJ262173:IBP262173 ILF262173:ILL262173 IVB262173:IVH262173 JEX262173:JFD262173 JOT262173:JOZ262173 JYP262173:JYV262173 KIL262173:KIR262173 KSH262173:KSN262173 LCD262173:LCJ262173 LLZ262173:LMF262173 LVV262173:LWB262173 MFR262173:MFX262173 MPN262173:MPT262173 MZJ262173:MZP262173 NJF262173:NJL262173 NTB262173:NTH262173 OCX262173:ODD262173 OMT262173:OMZ262173 OWP262173:OWV262173 PGL262173:PGR262173 PQH262173:PQN262173 QAD262173:QAJ262173 QJZ262173:QKF262173 QTV262173:QUB262173 RDR262173:RDX262173 RNN262173:RNT262173 RXJ262173:RXP262173 SHF262173:SHL262173 SRB262173:SRH262173 TAX262173:TBD262173 TKT262173:TKZ262173 TUP262173:TUV262173 UEL262173:UER262173 UOH262173:UON262173 UYD262173:UYJ262173 VHZ262173:VIF262173 VRV262173:VSB262173 WBR262173:WBX262173 WLN262173:WLT262173 WVJ262173:WVP262173 B327709:H327709 IX327709:JD327709 ST327709:SZ327709 ACP327709:ACV327709 AML327709:AMR327709 AWH327709:AWN327709 BGD327709:BGJ327709 BPZ327709:BQF327709 BZV327709:CAB327709 CJR327709:CJX327709 CTN327709:CTT327709 DDJ327709:DDP327709 DNF327709:DNL327709 DXB327709:DXH327709 EGX327709:EHD327709 EQT327709:EQZ327709 FAP327709:FAV327709 FKL327709:FKR327709 FUH327709:FUN327709 GED327709:GEJ327709 GNZ327709:GOF327709 GXV327709:GYB327709 HHR327709:HHX327709 HRN327709:HRT327709 IBJ327709:IBP327709 ILF327709:ILL327709 IVB327709:IVH327709 JEX327709:JFD327709 JOT327709:JOZ327709 JYP327709:JYV327709 KIL327709:KIR327709 KSH327709:KSN327709 LCD327709:LCJ327709 LLZ327709:LMF327709 LVV327709:LWB327709 MFR327709:MFX327709 MPN327709:MPT327709 MZJ327709:MZP327709 NJF327709:NJL327709 NTB327709:NTH327709 OCX327709:ODD327709 OMT327709:OMZ327709 OWP327709:OWV327709 PGL327709:PGR327709 PQH327709:PQN327709 QAD327709:QAJ327709 QJZ327709:QKF327709 QTV327709:QUB327709 RDR327709:RDX327709 RNN327709:RNT327709 RXJ327709:RXP327709 SHF327709:SHL327709 SRB327709:SRH327709 TAX327709:TBD327709 TKT327709:TKZ327709 TUP327709:TUV327709 UEL327709:UER327709 UOH327709:UON327709 UYD327709:UYJ327709 VHZ327709:VIF327709 VRV327709:VSB327709 WBR327709:WBX327709 WLN327709:WLT327709 WVJ327709:WVP327709 B393245:H393245 IX393245:JD393245 ST393245:SZ393245 ACP393245:ACV393245 AML393245:AMR393245 AWH393245:AWN393245 BGD393245:BGJ393245 BPZ393245:BQF393245 BZV393245:CAB393245 CJR393245:CJX393245 CTN393245:CTT393245 DDJ393245:DDP393245 DNF393245:DNL393245 DXB393245:DXH393245 EGX393245:EHD393245 EQT393245:EQZ393245 FAP393245:FAV393245 FKL393245:FKR393245 FUH393245:FUN393245 GED393245:GEJ393245 GNZ393245:GOF393245 GXV393245:GYB393245 HHR393245:HHX393245 HRN393245:HRT393245 IBJ393245:IBP393245 ILF393245:ILL393245 IVB393245:IVH393245 JEX393245:JFD393245 JOT393245:JOZ393245 JYP393245:JYV393245 KIL393245:KIR393245 KSH393245:KSN393245 LCD393245:LCJ393245 LLZ393245:LMF393245 LVV393245:LWB393245 MFR393245:MFX393245 MPN393245:MPT393245 MZJ393245:MZP393245 NJF393245:NJL393245 NTB393245:NTH393245 OCX393245:ODD393245 OMT393245:OMZ393245 OWP393245:OWV393245 PGL393245:PGR393245 PQH393245:PQN393245 QAD393245:QAJ393245 QJZ393245:QKF393245 QTV393245:QUB393245 RDR393245:RDX393245 RNN393245:RNT393245 RXJ393245:RXP393245 SHF393245:SHL393245 SRB393245:SRH393245 TAX393245:TBD393245 TKT393245:TKZ393245 TUP393245:TUV393245 UEL393245:UER393245 UOH393245:UON393245 UYD393245:UYJ393245 VHZ393245:VIF393245 VRV393245:VSB393245 WBR393245:WBX393245 WLN393245:WLT393245 WVJ393245:WVP393245 B458781:H458781 IX458781:JD458781 ST458781:SZ458781 ACP458781:ACV458781 AML458781:AMR458781 AWH458781:AWN458781 BGD458781:BGJ458781 BPZ458781:BQF458781 BZV458781:CAB458781 CJR458781:CJX458781 CTN458781:CTT458781 DDJ458781:DDP458781 DNF458781:DNL458781 DXB458781:DXH458781 EGX458781:EHD458781 EQT458781:EQZ458781 FAP458781:FAV458781 FKL458781:FKR458781 FUH458781:FUN458781 GED458781:GEJ458781 GNZ458781:GOF458781 GXV458781:GYB458781 HHR458781:HHX458781 HRN458781:HRT458781 IBJ458781:IBP458781 ILF458781:ILL458781 IVB458781:IVH458781 JEX458781:JFD458781 JOT458781:JOZ458781 JYP458781:JYV458781 KIL458781:KIR458781 KSH458781:KSN458781 LCD458781:LCJ458781 LLZ458781:LMF458781 LVV458781:LWB458781 MFR458781:MFX458781 MPN458781:MPT458781 MZJ458781:MZP458781 NJF458781:NJL458781 NTB458781:NTH458781 OCX458781:ODD458781 OMT458781:OMZ458781 OWP458781:OWV458781 PGL458781:PGR458781 PQH458781:PQN458781 QAD458781:QAJ458781 QJZ458781:QKF458781 QTV458781:QUB458781 RDR458781:RDX458781 RNN458781:RNT458781 RXJ458781:RXP458781 SHF458781:SHL458781 SRB458781:SRH458781 TAX458781:TBD458781 TKT458781:TKZ458781 TUP458781:TUV458781 UEL458781:UER458781 UOH458781:UON458781 UYD458781:UYJ458781 VHZ458781:VIF458781 VRV458781:VSB458781 WBR458781:WBX458781 WLN458781:WLT458781 WVJ458781:WVP458781 B524317:H524317 IX524317:JD524317 ST524317:SZ524317 ACP524317:ACV524317 AML524317:AMR524317 AWH524317:AWN524317 BGD524317:BGJ524317 BPZ524317:BQF524317 BZV524317:CAB524317 CJR524317:CJX524317 CTN524317:CTT524317 DDJ524317:DDP524317 DNF524317:DNL524317 DXB524317:DXH524317 EGX524317:EHD524317 EQT524317:EQZ524317 FAP524317:FAV524317 FKL524317:FKR524317 FUH524317:FUN524317 GED524317:GEJ524317 GNZ524317:GOF524317 GXV524317:GYB524317 HHR524317:HHX524317 HRN524317:HRT524317 IBJ524317:IBP524317 ILF524317:ILL524317 IVB524317:IVH524317 JEX524317:JFD524317 JOT524317:JOZ524317 JYP524317:JYV524317 KIL524317:KIR524317 KSH524317:KSN524317 LCD524317:LCJ524317 LLZ524317:LMF524317 LVV524317:LWB524317 MFR524317:MFX524317 MPN524317:MPT524317 MZJ524317:MZP524317 NJF524317:NJL524317 NTB524317:NTH524317 OCX524317:ODD524317 OMT524317:OMZ524317 OWP524317:OWV524317 PGL524317:PGR524317 PQH524317:PQN524317 QAD524317:QAJ524317 QJZ524317:QKF524317 QTV524317:QUB524317 RDR524317:RDX524317 RNN524317:RNT524317 RXJ524317:RXP524317 SHF524317:SHL524317 SRB524317:SRH524317 TAX524317:TBD524317 TKT524317:TKZ524317 TUP524317:TUV524317 UEL524317:UER524317 UOH524317:UON524317 UYD524317:UYJ524317 VHZ524317:VIF524317 VRV524317:VSB524317 WBR524317:WBX524317 WLN524317:WLT524317 WVJ524317:WVP524317 B589853:H589853 IX589853:JD589853 ST589853:SZ589853 ACP589853:ACV589853 AML589853:AMR589853 AWH589853:AWN589853 BGD589853:BGJ589853 BPZ589853:BQF589853 BZV589853:CAB589853 CJR589853:CJX589853 CTN589853:CTT589853 DDJ589853:DDP589853 DNF589853:DNL589853 DXB589853:DXH589853 EGX589853:EHD589853 EQT589853:EQZ589853 FAP589853:FAV589853 FKL589853:FKR589853 FUH589853:FUN589853 GED589853:GEJ589853 GNZ589853:GOF589853 GXV589853:GYB589853 HHR589853:HHX589853 HRN589853:HRT589853 IBJ589853:IBP589853 ILF589853:ILL589853 IVB589853:IVH589853 JEX589853:JFD589853 JOT589853:JOZ589853 JYP589853:JYV589853 KIL589853:KIR589853 KSH589853:KSN589853 LCD589853:LCJ589853 LLZ589853:LMF589853 LVV589853:LWB589853 MFR589853:MFX589853 MPN589853:MPT589853 MZJ589853:MZP589853 NJF589853:NJL589853 NTB589853:NTH589853 OCX589853:ODD589853 OMT589853:OMZ589853 OWP589853:OWV589853 PGL589853:PGR589853 PQH589853:PQN589853 QAD589853:QAJ589853 QJZ589853:QKF589853 QTV589853:QUB589853 RDR589853:RDX589853 RNN589853:RNT589853 RXJ589853:RXP589853 SHF589853:SHL589853 SRB589853:SRH589853 TAX589853:TBD589853 TKT589853:TKZ589853 TUP589853:TUV589853 UEL589853:UER589853 UOH589853:UON589853 UYD589853:UYJ589853 VHZ589853:VIF589853 VRV589853:VSB589853 WBR589853:WBX589853 WLN589853:WLT589853 WVJ589853:WVP589853 B655389:H655389 IX655389:JD655389 ST655389:SZ655389 ACP655389:ACV655389 AML655389:AMR655389 AWH655389:AWN655389 BGD655389:BGJ655389 BPZ655389:BQF655389 BZV655389:CAB655389 CJR655389:CJX655389 CTN655389:CTT655389 DDJ655389:DDP655389 DNF655389:DNL655389 DXB655389:DXH655389 EGX655389:EHD655389 EQT655389:EQZ655389 FAP655389:FAV655389 FKL655389:FKR655389 FUH655389:FUN655389 GED655389:GEJ655389 GNZ655389:GOF655389 GXV655389:GYB655389 HHR655389:HHX655389 HRN655389:HRT655389 IBJ655389:IBP655389 ILF655389:ILL655389 IVB655389:IVH655389 JEX655389:JFD655389 JOT655389:JOZ655389 JYP655389:JYV655389 KIL655389:KIR655389 KSH655389:KSN655389 LCD655389:LCJ655389 LLZ655389:LMF655389 LVV655389:LWB655389 MFR655389:MFX655389 MPN655389:MPT655389 MZJ655389:MZP655389 NJF655389:NJL655389 NTB655389:NTH655389 OCX655389:ODD655389 OMT655389:OMZ655389 OWP655389:OWV655389 PGL655389:PGR655389 PQH655389:PQN655389 QAD655389:QAJ655389 QJZ655389:QKF655389 QTV655389:QUB655389 RDR655389:RDX655389 RNN655389:RNT655389 RXJ655389:RXP655389 SHF655389:SHL655389 SRB655389:SRH655389 TAX655389:TBD655389 TKT655389:TKZ655389 TUP655389:TUV655389 UEL655389:UER655389 UOH655389:UON655389 UYD655389:UYJ655389 VHZ655389:VIF655389 VRV655389:VSB655389 WBR655389:WBX655389 WLN655389:WLT655389 WVJ655389:WVP655389 B720925:H720925 IX720925:JD720925 ST720925:SZ720925 ACP720925:ACV720925 AML720925:AMR720925 AWH720925:AWN720925 BGD720925:BGJ720925 BPZ720925:BQF720925 BZV720925:CAB720925 CJR720925:CJX720925 CTN720925:CTT720925 DDJ720925:DDP720925 DNF720925:DNL720925 DXB720925:DXH720925 EGX720925:EHD720925 EQT720925:EQZ720925 FAP720925:FAV720925 FKL720925:FKR720925 FUH720925:FUN720925 GED720925:GEJ720925 GNZ720925:GOF720925 GXV720925:GYB720925 HHR720925:HHX720925 HRN720925:HRT720925 IBJ720925:IBP720925 ILF720925:ILL720925 IVB720925:IVH720925 JEX720925:JFD720925 JOT720925:JOZ720925 JYP720925:JYV720925 KIL720925:KIR720925 KSH720925:KSN720925 LCD720925:LCJ720925 LLZ720925:LMF720925 LVV720925:LWB720925 MFR720925:MFX720925 MPN720925:MPT720925 MZJ720925:MZP720925 NJF720925:NJL720925 NTB720925:NTH720925 OCX720925:ODD720925 OMT720925:OMZ720925 OWP720925:OWV720925 PGL720925:PGR720925 PQH720925:PQN720925 QAD720925:QAJ720925 QJZ720925:QKF720925 QTV720925:QUB720925 RDR720925:RDX720925 RNN720925:RNT720925 RXJ720925:RXP720925 SHF720925:SHL720925 SRB720925:SRH720925 TAX720925:TBD720925 TKT720925:TKZ720925 TUP720925:TUV720925 UEL720925:UER720925 UOH720925:UON720925 UYD720925:UYJ720925 VHZ720925:VIF720925 VRV720925:VSB720925 WBR720925:WBX720925 WLN720925:WLT720925 WVJ720925:WVP720925 B786461:H786461 IX786461:JD786461 ST786461:SZ786461 ACP786461:ACV786461 AML786461:AMR786461 AWH786461:AWN786461 BGD786461:BGJ786461 BPZ786461:BQF786461 BZV786461:CAB786461 CJR786461:CJX786461 CTN786461:CTT786461 DDJ786461:DDP786461 DNF786461:DNL786461 DXB786461:DXH786461 EGX786461:EHD786461 EQT786461:EQZ786461 FAP786461:FAV786461 FKL786461:FKR786461 FUH786461:FUN786461 GED786461:GEJ786461 GNZ786461:GOF786461 GXV786461:GYB786461 HHR786461:HHX786461 HRN786461:HRT786461 IBJ786461:IBP786461 ILF786461:ILL786461 IVB786461:IVH786461 JEX786461:JFD786461 JOT786461:JOZ786461 JYP786461:JYV786461 KIL786461:KIR786461 KSH786461:KSN786461 LCD786461:LCJ786461 LLZ786461:LMF786461 LVV786461:LWB786461 MFR786461:MFX786461 MPN786461:MPT786461 MZJ786461:MZP786461 NJF786461:NJL786461 NTB786461:NTH786461 OCX786461:ODD786461 OMT786461:OMZ786461 OWP786461:OWV786461 PGL786461:PGR786461 PQH786461:PQN786461 QAD786461:QAJ786461 QJZ786461:QKF786461 QTV786461:QUB786461 RDR786461:RDX786461 RNN786461:RNT786461 RXJ786461:RXP786461 SHF786461:SHL786461 SRB786461:SRH786461 TAX786461:TBD786461 TKT786461:TKZ786461 TUP786461:TUV786461 UEL786461:UER786461 UOH786461:UON786461 UYD786461:UYJ786461 VHZ786461:VIF786461 VRV786461:VSB786461 WBR786461:WBX786461 WLN786461:WLT786461 WVJ786461:WVP786461 B851997:H851997 IX851997:JD851997 ST851997:SZ851997 ACP851997:ACV851997 AML851997:AMR851997 AWH851997:AWN851997 BGD851997:BGJ851997 BPZ851997:BQF851997 BZV851997:CAB851997 CJR851997:CJX851997 CTN851997:CTT851997 DDJ851997:DDP851997 DNF851997:DNL851997 DXB851997:DXH851997 EGX851997:EHD851997 EQT851997:EQZ851997 FAP851997:FAV851997 FKL851997:FKR851997 FUH851997:FUN851997 GED851997:GEJ851997 GNZ851997:GOF851997 GXV851997:GYB851997 HHR851997:HHX851997 HRN851997:HRT851997 IBJ851997:IBP851997 ILF851997:ILL851997 IVB851997:IVH851997 JEX851997:JFD851997 JOT851997:JOZ851997 JYP851997:JYV851997 KIL851997:KIR851997 KSH851997:KSN851997 LCD851997:LCJ851997 LLZ851997:LMF851997 LVV851997:LWB851997 MFR851997:MFX851997 MPN851997:MPT851997 MZJ851997:MZP851997 NJF851997:NJL851997 NTB851997:NTH851997 OCX851997:ODD851997 OMT851997:OMZ851997 OWP851997:OWV851997 PGL851997:PGR851997 PQH851997:PQN851997 QAD851997:QAJ851997 QJZ851997:QKF851997 QTV851997:QUB851997 RDR851997:RDX851997 RNN851997:RNT851997 RXJ851997:RXP851997 SHF851997:SHL851997 SRB851997:SRH851997 TAX851997:TBD851997 TKT851997:TKZ851997 TUP851997:TUV851997 UEL851997:UER851997 UOH851997:UON851997 UYD851997:UYJ851997 VHZ851997:VIF851997 VRV851997:VSB851997 WBR851997:WBX851997 WLN851997:WLT851997 WVJ851997:WVP851997 B917533:H917533 IX917533:JD917533 ST917533:SZ917533 ACP917533:ACV917533 AML917533:AMR917533 AWH917533:AWN917533 BGD917533:BGJ917533 BPZ917533:BQF917533 BZV917533:CAB917533 CJR917533:CJX917533 CTN917533:CTT917533 DDJ917533:DDP917533 DNF917533:DNL917533 DXB917533:DXH917533 EGX917533:EHD917533 EQT917533:EQZ917533 FAP917533:FAV917533 FKL917533:FKR917533 FUH917533:FUN917533 GED917533:GEJ917533 GNZ917533:GOF917533 GXV917533:GYB917533 HHR917533:HHX917533 HRN917533:HRT917533 IBJ917533:IBP917533 ILF917533:ILL917533 IVB917533:IVH917533 JEX917533:JFD917533 JOT917533:JOZ917533 JYP917533:JYV917533 KIL917533:KIR917533 KSH917533:KSN917533 LCD917533:LCJ917533 LLZ917533:LMF917533 LVV917533:LWB917533 MFR917533:MFX917533 MPN917533:MPT917533 MZJ917533:MZP917533 NJF917533:NJL917533 NTB917533:NTH917533 OCX917533:ODD917533 OMT917533:OMZ917533 OWP917533:OWV917533 PGL917533:PGR917533 PQH917533:PQN917533 QAD917533:QAJ917533 QJZ917533:QKF917533 QTV917533:QUB917533 RDR917533:RDX917533 RNN917533:RNT917533 RXJ917533:RXP917533 SHF917533:SHL917533 SRB917533:SRH917533 TAX917533:TBD917533 TKT917533:TKZ917533 TUP917533:TUV917533 UEL917533:UER917533 UOH917533:UON917533 UYD917533:UYJ917533 VHZ917533:VIF917533 VRV917533:VSB917533 WBR917533:WBX917533 WLN917533:WLT917533 WVJ917533:WVP917533 B983069:H983069 IX983069:JD983069 ST983069:SZ983069 ACP983069:ACV983069 AML983069:AMR983069 AWH983069:AWN983069 BGD983069:BGJ983069 BPZ983069:BQF983069 BZV983069:CAB983069 CJR983069:CJX983069 CTN983069:CTT983069 DDJ983069:DDP983069 DNF983069:DNL983069 DXB983069:DXH983069 EGX983069:EHD983069 EQT983069:EQZ983069 FAP983069:FAV983069 FKL983069:FKR983069 FUH983069:FUN983069 GED983069:GEJ983069 GNZ983069:GOF983069 GXV983069:GYB983069 HHR983069:HHX983069 HRN983069:HRT983069 IBJ983069:IBP983069 ILF983069:ILL983069 IVB983069:IVH983069 JEX983069:JFD983069 JOT983069:JOZ983069 JYP983069:JYV983069 KIL983069:KIR983069 KSH983069:KSN983069 LCD983069:LCJ983069 LLZ983069:LMF983069 LVV983069:LWB983069 MFR983069:MFX983069 MPN983069:MPT983069 MZJ983069:MZP983069 NJF983069:NJL983069 NTB983069:NTH983069 OCX983069:ODD983069 OMT983069:OMZ983069 OWP983069:OWV983069 PGL983069:PGR983069 PQH983069:PQN983069 QAD983069:QAJ983069 QJZ983069:QKF983069 QTV983069:QUB983069 RDR983069:RDX983069 RNN983069:RNT983069 RXJ983069:RXP983069 SHF983069:SHL983069 SRB983069:SRH983069 TAX983069:TBD983069 TKT983069:TKZ983069 TUP983069:TUV983069 UEL983069:UER983069 UOH983069:UON983069 UYD983069:UYJ983069 VHZ983069:VIF983069 VRV983069:VSB983069 WBR983069:WBX983069 WLN983069:WLT983069 WVJ983069:WVP983069 B26:H26 IX26:JD26 ST26:SZ26 ACP26:ACV26 AML26:AMR26 AWH26:AWN26 BGD26:BGJ26 BPZ26:BQF26 BZV26:CAB26 CJR26:CJX26 CTN26:CTT26 DDJ26:DDP26 DNF26:DNL26 DXB26:DXH26 EGX26:EHD26 EQT26:EQZ26 FAP26:FAV26 FKL26:FKR26 FUH26:FUN26 GED26:GEJ26 GNZ26:GOF26 GXV26:GYB26 HHR26:HHX26 HRN26:HRT26 IBJ26:IBP26 ILF26:ILL26 IVB26:IVH26 JEX26:JFD26 JOT26:JOZ26 JYP26:JYV26 KIL26:KIR26 KSH26:KSN26 LCD26:LCJ26 LLZ26:LMF26 LVV26:LWB26 MFR26:MFX26 MPN26:MPT26 MZJ26:MZP26 NJF26:NJL26 NTB26:NTH26 OCX26:ODD26 OMT26:OMZ26 OWP26:OWV26 PGL26:PGR26 PQH26:PQN26 QAD26:QAJ26 QJZ26:QKF26 QTV26:QUB26 RDR26:RDX26 RNN26:RNT26 RXJ26:RXP26 SHF26:SHL26 SRB26:SRH26 TAX26:TBD26 TKT26:TKZ26 TUP26:TUV26 UEL26:UER26 UOH26:UON26 UYD26:UYJ26 VHZ26:VIF26 VRV26:VSB26 WBR26:WBX26 WLN26:WLT26 WVJ26:WVP26 B65562:H65562 IX65562:JD65562 ST65562:SZ65562 ACP65562:ACV65562 AML65562:AMR65562 AWH65562:AWN65562 BGD65562:BGJ65562 BPZ65562:BQF65562 BZV65562:CAB65562 CJR65562:CJX65562 CTN65562:CTT65562 DDJ65562:DDP65562 DNF65562:DNL65562 DXB65562:DXH65562 EGX65562:EHD65562 EQT65562:EQZ65562 FAP65562:FAV65562 FKL65562:FKR65562 FUH65562:FUN65562 GED65562:GEJ65562 GNZ65562:GOF65562 GXV65562:GYB65562 HHR65562:HHX65562 HRN65562:HRT65562 IBJ65562:IBP65562 ILF65562:ILL65562 IVB65562:IVH65562 JEX65562:JFD65562 JOT65562:JOZ65562 JYP65562:JYV65562 KIL65562:KIR65562 KSH65562:KSN65562 LCD65562:LCJ65562 LLZ65562:LMF65562 LVV65562:LWB65562 MFR65562:MFX65562 MPN65562:MPT65562 MZJ65562:MZP65562 NJF65562:NJL65562 NTB65562:NTH65562 OCX65562:ODD65562 OMT65562:OMZ65562 OWP65562:OWV65562 PGL65562:PGR65562 PQH65562:PQN65562 QAD65562:QAJ65562 QJZ65562:QKF65562 QTV65562:QUB65562 RDR65562:RDX65562 RNN65562:RNT65562 RXJ65562:RXP65562 SHF65562:SHL65562 SRB65562:SRH65562 TAX65562:TBD65562 TKT65562:TKZ65562 TUP65562:TUV65562 UEL65562:UER65562 UOH65562:UON65562 UYD65562:UYJ65562 VHZ65562:VIF65562 VRV65562:VSB65562 WBR65562:WBX65562 WLN65562:WLT65562 WVJ65562:WVP65562 B131098:H131098 IX131098:JD131098 ST131098:SZ131098 ACP131098:ACV131098 AML131098:AMR131098 AWH131098:AWN131098 BGD131098:BGJ131098 BPZ131098:BQF131098 BZV131098:CAB131098 CJR131098:CJX131098 CTN131098:CTT131098 DDJ131098:DDP131098 DNF131098:DNL131098 DXB131098:DXH131098 EGX131098:EHD131098 EQT131098:EQZ131098 FAP131098:FAV131098 FKL131098:FKR131098 FUH131098:FUN131098 GED131098:GEJ131098 GNZ131098:GOF131098 GXV131098:GYB131098 HHR131098:HHX131098 HRN131098:HRT131098 IBJ131098:IBP131098 ILF131098:ILL131098 IVB131098:IVH131098 JEX131098:JFD131098 JOT131098:JOZ131098 JYP131098:JYV131098 KIL131098:KIR131098 KSH131098:KSN131098 LCD131098:LCJ131098 LLZ131098:LMF131098 LVV131098:LWB131098 MFR131098:MFX131098 MPN131098:MPT131098 MZJ131098:MZP131098 NJF131098:NJL131098 NTB131098:NTH131098 OCX131098:ODD131098 OMT131098:OMZ131098 OWP131098:OWV131098 PGL131098:PGR131098 PQH131098:PQN131098 QAD131098:QAJ131098 QJZ131098:QKF131098 QTV131098:QUB131098 RDR131098:RDX131098 RNN131098:RNT131098 RXJ131098:RXP131098 SHF131098:SHL131098 SRB131098:SRH131098 TAX131098:TBD131098 TKT131098:TKZ131098 TUP131098:TUV131098 UEL131098:UER131098 UOH131098:UON131098 UYD131098:UYJ131098 VHZ131098:VIF131098 VRV131098:VSB131098 WBR131098:WBX131098 WLN131098:WLT131098 WVJ131098:WVP131098 B196634:H196634 IX196634:JD196634 ST196634:SZ196634 ACP196634:ACV196634 AML196634:AMR196634 AWH196634:AWN196634 BGD196634:BGJ196634 BPZ196634:BQF196634 BZV196634:CAB196634 CJR196634:CJX196634 CTN196634:CTT196634 DDJ196634:DDP196634 DNF196634:DNL196634 DXB196634:DXH196634 EGX196634:EHD196634 EQT196634:EQZ196634 FAP196634:FAV196634 FKL196634:FKR196634 FUH196634:FUN196634 GED196634:GEJ196634 GNZ196634:GOF196634 GXV196634:GYB196634 HHR196634:HHX196634 HRN196634:HRT196634 IBJ196634:IBP196634 ILF196634:ILL196634 IVB196634:IVH196634 JEX196634:JFD196634 JOT196634:JOZ196634 JYP196634:JYV196634 KIL196634:KIR196634 KSH196634:KSN196634 LCD196634:LCJ196634 LLZ196634:LMF196634 LVV196634:LWB196634 MFR196634:MFX196634 MPN196634:MPT196634 MZJ196634:MZP196634 NJF196634:NJL196634 NTB196634:NTH196634 OCX196634:ODD196634 OMT196634:OMZ196634 OWP196634:OWV196634 PGL196634:PGR196634 PQH196634:PQN196634 QAD196634:QAJ196634 QJZ196634:QKF196634 QTV196634:QUB196634 RDR196634:RDX196634 RNN196634:RNT196634 RXJ196634:RXP196634 SHF196634:SHL196634 SRB196634:SRH196634 TAX196634:TBD196634 TKT196634:TKZ196634 TUP196634:TUV196634 UEL196634:UER196634 UOH196634:UON196634 UYD196634:UYJ196634 VHZ196634:VIF196634 VRV196634:VSB196634 WBR196634:WBX196634 WLN196634:WLT196634 WVJ196634:WVP196634 B262170:H262170 IX262170:JD262170 ST262170:SZ262170 ACP262170:ACV262170 AML262170:AMR262170 AWH262170:AWN262170 BGD262170:BGJ262170 BPZ262170:BQF262170 BZV262170:CAB262170 CJR262170:CJX262170 CTN262170:CTT262170 DDJ262170:DDP262170 DNF262170:DNL262170 DXB262170:DXH262170 EGX262170:EHD262170 EQT262170:EQZ262170 FAP262170:FAV262170 FKL262170:FKR262170 FUH262170:FUN262170 GED262170:GEJ262170 GNZ262170:GOF262170 GXV262170:GYB262170 HHR262170:HHX262170 HRN262170:HRT262170 IBJ262170:IBP262170 ILF262170:ILL262170 IVB262170:IVH262170 JEX262170:JFD262170 JOT262170:JOZ262170 JYP262170:JYV262170 KIL262170:KIR262170 KSH262170:KSN262170 LCD262170:LCJ262170 LLZ262170:LMF262170 LVV262170:LWB262170 MFR262170:MFX262170 MPN262170:MPT262170 MZJ262170:MZP262170 NJF262170:NJL262170 NTB262170:NTH262170 OCX262170:ODD262170 OMT262170:OMZ262170 OWP262170:OWV262170 PGL262170:PGR262170 PQH262170:PQN262170 QAD262170:QAJ262170 QJZ262170:QKF262170 QTV262170:QUB262170 RDR262170:RDX262170 RNN262170:RNT262170 RXJ262170:RXP262170 SHF262170:SHL262170 SRB262170:SRH262170 TAX262170:TBD262170 TKT262170:TKZ262170 TUP262170:TUV262170 UEL262170:UER262170 UOH262170:UON262170 UYD262170:UYJ262170 VHZ262170:VIF262170 VRV262170:VSB262170 WBR262170:WBX262170 WLN262170:WLT262170 WVJ262170:WVP262170 B327706:H327706 IX327706:JD327706 ST327706:SZ327706 ACP327706:ACV327706 AML327706:AMR327706 AWH327706:AWN327706 BGD327706:BGJ327706 BPZ327706:BQF327706 BZV327706:CAB327706 CJR327706:CJX327706 CTN327706:CTT327706 DDJ327706:DDP327706 DNF327706:DNL327706 DXB327706:DXH327706 EGX327706:EHD327706 EQT327706:EQZ327706 FAP327706:FAV327706 FKL327706:FKR327706 FUH327706:FUN327706 GED327706:GEJ327706 GNZ327706:GOF327706 GXV327706:GYB327706 HHR327706:HHX327706 HRN327706:HRT327706 IBJ327706:IBP327706 ILF327706:ILL327706 IVB327706:IVH327706 JEX327706:JFD327706 JOT327706:JOZ327706 JYP327706:JYV327706 KIL327706:KIR327706 KSH327706:KSN327706 LCD327706:LCJ327706 LLZ327706:LMF327706 LVV327706:LWB327706 MFR327706:MFX327706 MPN327706:MPT327706 MZJ327706:MZP327706 NJF327706:NJL327706 NTB327706:NTH327706 OCX327706:ODD327706 OMT327706:OMZ327706 OWP327706:OWV327706 PGL327706:PGR327706 PQH327706:PQN327706 QAD327706:QAJ327706 QJZ327706:QKF327706 QTV327706:QUB327706 RDR327706:RDX327706 RNN327706:RNT327706 RXJ327706:RXP327706 SHF327706:SHL327706 SRB327706:SRH327706 TAX327706:TBD327706 TKT327706:TKZ327706 TUP327706:TUV327706 UEL327706:UER327706 UOH327706:UON327706 UYD327706:UYJ327706 VHZ327706:VIF327706 VRV327706:VSB327706 WBR327706:WBX327706 WLN327706:WLT327706 WVJ327706:WVP327706 B393242:H393242 IX393242:JD393242 ST393242:SZ393242 ACP393242:ACV393242 AML393242:AMR393242 AWH393242:AWN393242 BGD393242:BGJ393242 BPZ393242:BQF393242 BZV393242:CAB393242 CJR393242:CJX393242 CTN393242:CTT393242 DDJ393242:DDP393242 DNF393242:DNL393242 DXB393242:DXH393242 EGX393242:EHD393242 EQT393242:EQZ393242 FAP393242:FAV393242 FKL393242:FKR393242 FUH393242:FUN393242 GED393242:GEJ393242 GNZ393242:GOF393242 GXV393242:GYB393242 HHR393242:HHX393242 HRN393242:HRT393242 IBJ393242:IBP393242 ILF393242:ILL393242 IVB393242:IVH393242 JEX393242:JFD393242 JOT393242:JOZ393242 JYP393242:JYV393242 KIL393242:KIR393242 KSH393242:KSN393242 LCD393242:LCJ393242 LLZ393242:LMF393242 LVV393242:LWB393242 MFR393242:MFX393242 MPN393242:MPT393242 MZJ393242:MZP393242 NJF393242:NJL393242 NTB393242:NTH393242 OCX393242:ODD393242 OMT393242:OMZ393242 OWP393242:OWV393242 PGL393242:PGR393242 PQH393242:PQN393242 QAD393242:QAJ393242 QJZ393242:QKF393242 QTV393242:QUB393242 RDR393242:RDX393242 RNN393242:RNT393242 RXJ393242:RXP393242 SHF393242:SHL393242 SRB393242:SRH393242 TAX393242:TBD393242 TKT393242:TKZ393242 TUP393242:TUV393242 UEL393242:UER393242 UOH393242:UON393242 UYD393242:UYJ393242 VHZ393242:VIF393242 VRV393242:VSB393242 WBR393242:WBX393242 WLN393242:WLT393242 WVJ393242:WVP393242 B458778:H458778 IX458778:JD458778 ST458778:SZ458778 ACP458778:ACV458778 AML458778:AMR458778 AWH458778:AWN458778 BGD458778:BGJ458778 BPZ458778:BQF458778 BZV458778:CAB458778 CJR458778:CJX458778 CTN458778:CTT458778 DDJ458778:DDP458778 DNF458778:DNL458778 DXB458778:DXH458778 EGX458778:EHD458778 EQT458778:EQZ458778 FAP458778:FAV458778 FKL458778:FKR458778 FUH458778:FUN458778 GED458778:GEJ458778 GNZ458778:GOF458778 GXV458778:GYB458778 HHR458778:HHX458778 HRN458778:HRT458778 IBJ458778:IBP458778 ILF458778:ILL458778 IVB458778:IVH458778 JEX458778:JFD458778 JOT458778:JOZ458778 JYP458778:JYV458778 KIL458778:KIR458778 KSH458778:KSN458778 LCD458778:LCJ458778 LLZ458778:LMF458778 LVV458778:LWB458778 MFR458778:MFX458778 MPN458778:MPT458778 MZJ458778:MZP458778 NJF458778:NJL458778 NTB458778:NTH458778 OCX458778:ODD458778 OMT458778:OMZ458778 OWP458778:OWV458778 PGL458778:PGR458778 PQH458778:PQN458778 QAD458778:QAJ458778 QJZ458778:QKF458778 QTV458778:QUB458778 RDR458778:RDX458778 RNN458778:RNT458778 RXJ458778:RXP458778 SHF458778:SHL458778 SRB458778:SRH458778 TAX458778:TBD458778 TKT458778:TKZ458778 TUP458778:TUV458778 UEL458778:UER458778 UOH458778:UON458778 UYD458778:UYJ458778 VHZ458778:VIF458778 VRV458778:VSB458778 WBR458778:WBX458778 WLN458778:WLT458778 WVJ458778:WVP458778 B524314:H524314 IX524314:JD524314 ST524314:SZ524314 ACP524314:ACV524314 AML524314:AMR524314 AWH524314:AWN524314 BGD524314:BGJ524314 BPZ524314:BQF524314 BZV524314:CAB524314 CJR524314:CJX524314 CTN524314:CTT524314 DDJ524314:DDP524314 DNF524314:DNL524314 DXB524314:DXH524314 EGX524314:EHD524314 EQT524314:EQZ524314 FAP524314:FAV524314 FKL524314:FKR524314 FUH524314:FUN524314 GED524314:GEJ524314 GNZ524314:GOF524314 GXV524314:GYB524314 HHR524314:HHX524314 HRN524314:HRT524314 IBJ524314:IBP524314 ILF524314:ILL524314 IVB524314:IVH524314 JEX524314:JFD524314 JOT524314:JOZ524314 JYP524314:JYV524314 KIL524314:KIR524314 KSH524314:KSN524314 LCD524314:LCJ524314 LLZ524314:LMF524314 LVV524314:LWB524314 MFR524314:MFX524314 MPN524314:MPT524314 MZJ524314:MZP524314 NJF524314:NJL524314 NTB524314:NTH524314 OCX524314:ODD524314 OMT524314:OMZ524314 OWP524314:OWV524314 PGL524314:PGR524314 PQH524314:PQN524314 QAD524314:QAJ524314 QJZ524314:QKF524314 QTV524314:QUB524314 RDR524314:RDX524314 RNN524314:RNT524314 RXJ524314:RXP524314 SHF524314:SHL524314 SRB524314:SRH524314 TAX524314:TBD524314 TKT524314:TKZ524314 TUP524314:TUV524314 UEL524314:UER524314 UOH524314:UON524314 UYD524314:UYJ524314 VHZ524314:VIF524314 VRV524314:VSB524314 WBR524314:WBX524314 WLN524314:WLT524314 WVJ524314:WVP524314 B589850:H589850 IX589850:JD589850 ST589850:SZ589850 ACP589850:ACV589850 AML589850:AMR589850 AWH589850:AWN589850 BGD589850:BGJ589850 BPZ589850:BQF589850 BZV589850:CAB589850 CJR589850:CJX589850 CTN589850:CTT589850 DDJ589850:DDP589850 DNF589850:DNL589850 DXB589850:DXH589850 EGX589850:EHD589850 EQT589850:EQZ589850 FAP589850:FAV589850 FKL589850:FKR589850 FUH589850:FUN589850 GED589850:GEJ589850 GNZ589850:GOF589850 GXV589850:GYB589850 HHR589850:HHX589850 HRN589850:HRT589850 IBJ589850:IBP589850 ILF589850:ILL589850 IVB589850:IVH589850 JEX589850:JFD589850 JOT589850:JOZ589850 JYP589850:JYV589850 KIL589850:KIR589850 KSH589850:KSN589850 LCD589850:LCJ589850 LLZ589850:LMF589850 LVV589850:LWB589850 MFR589850:MFX589850 MPN589850:MPT589850 MZJ589850:MZP589850 NJF589850:NJL589850 NTB589850:NTH589850 OCX589850:ODD589850 OMT589850:OMZ589850 OWP589850:OWV589850 PGL589850:PGR589850 PQH589850:PQN589850 QAD589850:QAJ589850 QJZ589850:QKF589850 QTV589850:QUB589850 RDR589850:RDX589850 RNN589850:RNT589850 RXJ589850:RXP589850 SHF589850:SHL589850 SRB589850:SRH589850 TAX589850:TBD589850 TKT589850:TKZ589850 TUP589850:TUV589850 UEL589850:UER589850 UOH589850:UON589850 UYD589850:UYJ589850 VHZ589850:VIF589850 VRV589850:VSB589850 WBR589850:WBX589850 WLN589850:WLT589850 WVJ589850:WVP589850 B655386:H655386 IX655386:JD655386 ST655386:SZ655386 ACP655386:ACV655386 AML655386:AMR655386 AWH655386:AWN655386 BGD655386:BGJ655386 BPZ655386:BQF655386 BZV655386:CAB655386 CJR655386:CJX655386 CTN655386:CTT655386 DDJ655386:DDP655386 DNF655386:DNL655386 DXB655386:DXH655386 EGX655386:EHD655386 EQT655386:EQZ655386 FAP655386:FAV655386 FKL655386:FKR655386 FUH655386:FUN655386 GED655386:GEJ655386 GNZ655386:GOF655386 GXV655386:GYB655386 HHR655386:HHX655386 HRN655386:HRT655386 IBJ655386:IBP655386 ILF655386:ILL655386 IVB655386:IVH655386 JEX655386:JFD655386 JOT655386:JOZ655386 JYP655386:JYV655386 KIL655386:KIR655386 KSH655386:KSN655386 LCD655386:LCJ655386 LLZ655386:LMF655386 LVV655386:LWB655386 MFR655386:MFX655386 MPN655386:MPT655386 MZJ655386:MZP655386 NJF655386:NJL655386 NTB655386:NTH655386 OCX655386:ODD655386 OMT655386:OMZ655386 OWP655386:OWV655386 PGL655386:PGR655386 PQH655386:PQN655386 QAD655386:QAJ655386 QJZ655386:QKF655386 QTV655386:QUB655386 RDR655386:RDX655386 RNN655386:RNT655386 RXJ655386:RXP655386 SHF655386:SHL655386 SRB655386:SRH655386 TAX655386:TBD655386 TKT655386:TKZ655386 TUP655386:TUV655386 UEL655386:UER655386 UOH655386:UON655386 UYD655386:UYJ655386 VHZ655386:VIF655386 VRV655386:VSB655386 WBR655386:WBX655386 WLN655386:WLT655386 WVJ655386:WVP655386 B720922:H720922 IX720922:JD720922 ST720922:SZ720922 ACP720922:ACV720922 AML720922:AMR720922 AWH720922:AWN720922 BGD720922:BGJ720922 BPZ720922:BQF720922 BZV720922:CAB720922 CJR720922:CJX720922 CTN720922:CTT720922 DDJ720922:DDP720922 DNF720922:DNL720922 DXB720922:DXH720922 EGX720922:EHD720922 EQT720922:EQZ720922 FAP720922:FAV720922 FKL720922:FKR720922 FUH720922:FUN720922 GED720922:GEJ720922 GNZ720922:GOF720922 GXV720922:GYB720922 HHR720922:HHX720922 HRN720922:HRT720922 IBJ720922:IBP720922 ILF720922:ILL720922 IVB720922:IVH720922 JEX720922:JFD720922 JOT720922:JOZ720922 JYP720922:JYV720922 KIL720922:KIR720922 KSH720922:KSN720922 LCD720922:LCJ720922 LLZ720922:LMF720922 LVV720922:LWB720922 MFR720922:MFX720922 MPN720922:MPT720922 MZJ720922:MZP720922 NJF720922:NJL720922 NTB720922:NTH720922 OCX720922:ODD720922 OMT720922:OMZ720922 OWP720922:OWV720922 PGL720922:PGR720922 PQH720922:PQN720922 QAD720922:QAJ720922 QJZ720922:QKF720922 QTV720922:QUB720922 RDR720922:RDX720922 RNN720922:RNT720922 RXJ720922:RXP720922 SHF720922:SHL720922 SRB720922:SRH720922 TAX720922:TBD720922 TKT720922:TKZ720922 TUP720922:TUV720922 UEL720922:UER720922 UOH720922:UON720922 UYD720922:UYJ720922 VHZ720922:VIF720922 VRV720922:VSB720922 WBR720922:WBX720922 WLN720922:WLT720922 WVJ720922:WVP720922 B786458:H786458 IX786458:JD786458 ST786458:SZ786458 ACP786458:ACV786458 AML786458:AMR786458 AWH786458:AWN786458 BGD786458:BGJ786458 BPZ786458:BQF786458 BZV786458:CAB786458 CJR786458:CJX786458 CTN786458:CTT786458 DDJ786458:DDP786458 DNF786458:DNL786458 DXB786458:DXH786458 EGX786458:EHD786458 EQT786458:EQZ786458 FAP786458:FAV786458 FKL786458:FKR786458 FUH786458:FUN786458 GED786458:GEJ786458 GNZ786458:GOF786458 GXV786458:GYB786458 HHR786458:HHX786458 HRN786458:HRT786458 IBJ786458:IBP786458 ILF786458:ILL786458 IVB786458:IVH786458 JEX786458:JFD786458 JOT786458:JOZ786458 JYP786458:JYV786458 KIL786458:KIR786458 KSH786458:KSN786458 LCD786458:LCJ786458 LLZ786458:LMF786458 LVV786458:LWB786458 MFR786458:MFX786458 MPN786458:MPT786458 MZJ786458:MZP786458 NJF786458:NJL786458 NTB786458:NTH786458 OCX786458:ODD786458 OMT786458:OMZ786458 OWP786458:OWV786458 PGL786458:PGR786458 PQH786458:PQN786458 QAD786458:QAJ786458 QJZ786458:QKF786458 QTV786458:QUB786458 RDR786458:RDX786458 RNN786458:RNT786458 RXJ786458:RXP786458 SHF786458:SHL786458 SRB786458:SRH786458 TAX786458:TBD786458 TKT786458:TKZ786458 TUP786458:TUV786458 UEL786458:UER786458 UOH786458:UON786458 UYD786458:UYJ786458 VHZ786458:VIF786458 VRV786458:VSB786458 WBR786458:WBX786458 WLN786458:WLT786458 WVJ786458:WVP786458 B851994:H851994 IX851994:JD851994 ST851994:SZ851994 ACP851994:ACV851994 AML851994:AMR851994 AWH851994:AWN851994 BGD851994:BGJ851994 BPZ851994:BQF851994 BZV851994:CAB851994 CJR851994:CJX851994 CTN851994:CTT851994 DDJ851994:DDP851994 DNF851994:DNL851994 DXB851994:DXH851994 EGX851994:EHD851994 EQT851994:EQZ851994 FAP851994:FAV851994 FKL851994:FKR851994 FUH851994:FUN851994 GED851994:GEJ851994 GNZ851994:GOF851994 GXV851994:GYB851994 HHR851994:HHX851994 HRN851994:HRT851994 IBJ851994:IBP851994 ILF851994:ILL851994 IVB851994:IVH851994 JEX851994:JFD851994 JOT851994:JOZ851994 JYP851994:JYV851994 KIL851994:KIR851994 KSH851994:KSN851994 LCD851994:LCJ851994 LLZ851994:LMF851994 LVV851994:LWB851994 MFR851994:MFX851994 MPN851994:MPT851994 MZJ851994:MZP851994 NJF851994:NJL851994 NTB851994:NTH851994 OCX851994:ODD851994 OMT851994:OMZ851994 OWP851994:OWV851994 PGL851994:PGR851994 PQH851994:PQN851994 QAD851994:QAJ851994 QJZ851994:QKF851994 QTV851994:QUB851994 RDR851994:RDX851994 RNN851994:RNT851994 RXJ851994:RXP851994 SHF851994:SHL851994 SRB851994:SRH851994 TAX851994:TBD851994 TKT851994:TKZ851994 TUP851994:TUV851994 UEL851994:UER851994 UOH851994:UON851994 UYD851994:UYJ851994 VHZ851994:VIF851994 VRV851994:VSB851994 WBR851994:WBX851994 WLN851994:WLT851994 WVJ851994:WVP851994 B917530:H917530 IX917530:JD917530 ST917530:SZ917530 ACP917530:ACV917530 AML917530:AMR917530 AWH917530:AWN917530 BGD917530:BGJ917530 BPZ917530:BQF917530 BZV917530:CAB917530 CJR917530:CJX917530 CTN917530:CTT917530 DDJ917530:DDP917530 DNF917530:DNL917530 DXB917530:DXH917530 EGX917530:EHD917530 EQT917530:EQZ917530 FAP917530:FAV917530 FKL917530:FKR917530 FUH917530:FUN917530 GED917530:GEJ917530 GNZ917530:GOF917530 GXV917530:GYB917530 HHR917530:HHX917530 HRN917530:HRT917530 IBJ917530:IBP917530 ILF917530:ILL917530 IVB917530:IVH917530 JEX917530:JFD917530 JOT917530:JOZ917530 JYP917530:JYV917530 KIL917530:KIR917530 KSH917530:KSN917530 LCD917530:LCJ917530 LLZ917530:LMF917530 LVV917530:LWB917530 MFR917530:MFX917530 MPN917530:MPT917530 MZJ917530:MZP917530 NJF917530:NJL917530 NTB917530:NTH917530 OCX917530:ODD917530 OMT917530:OMZ917530 OWP917530:OWV917530 PGL917530:PGR917530 PQH917530:PQN917530 QAD917530:QAJ917530 QJZ917530:QKF917530 QTV917530:QUB917530 RDR917530:RDX917530 RNN917530:RNT917530 RXJ917530:RXP917530 SHF917530:SHL917530 SRB917530:SRH917530 TAX917530:TBD917530 TKT917530:TKZ917530 TUP917530:TUV917530 UEL917530:UER917530 UOH917530:UON917530 UYD917530:UYJ917530 VHZ917530:VIF917530 VRV917530:VSB917530 WBR917530:WBX917530 WLN917530:WLT917530 WVJ917530:WVP917530 B983066:H983066 IX983066:JD983066 ST983066:SZ983066 ACP983066:ACV983066 AML983066:AMR983066 AWH983066:AWN983066 BGD983066:BGJ983066 BPZ983066:BQF983066 BZV983066:CAB983066 CJR983066:CJX983066 CTN983066:CTT983066 DDJ983066:DDP983066 DNF983066:DNL983066 DXB983066:DXH983066 EGX983066:EHD983066 EQT983066:EQZ983066 FAP983066:FAV983066 FKL983066:FKR983066 FUH983066:FUN983066 GED983066:GEJ983066 GNZ983066:GOF983066 GXV983066:GYB983066 HHR983066:HHX983066 HRN983066:HRT983066 IBJ983066:IBP983066 ILF983066:ILL983066 IVB983066:IVH983066 JEX983066:JFD983066 JOT983066:JOZ983066 JYP983066:JYV983066 KIL983066:KIR983066 KSH983066:KSN983066 LCD983066:LCJ983066 LLZ983066:LMF983066 LVV983066:LWB983066 MFR983066:MFX983066 MPN983066:MPT983066 MZJ983066:MZP983066 NJF983066:NJL983066 NTB983066:NTH983066 OCX983066:ODD983066 OMT983066:OMZ983066 OWP983066:OWV983066 PGL983066:PGR983066 PQH983066:PQN983066 QAD983066:QAJ983066 QJZ983066:QKF983066 QTV983066:QUB983066 RDR983066:RDX983066 RNN983066:RNT983066 RXJ983066:RXP983066 SHF983066:SHL983066 SRB983066:SRH983066 TAX983066:TBD983066 TKT983066:TKZ983066 TUP983066:TUV983066 UEL983066:UER983066 UOH983066:UON983066 UYD983066:UYJ983066 VHZ983066:VIF983066 VRV983066:VSB983066 WBR983066:WBX983066 WLN983066:WLT983066 WVJ983066:WVP983066 B23:H23 IX23:JD23 ST23:SZ23 ACP23:ACV23 AML23:AMR23 AWH23:AWN23 BGD23:BGJ23 BPZ23:BQF23 BZV23:CAB23 CJR23:CJX23 CTN23:CTT23 DDJ23:DDP23 DNF23:DNL23 DXB23:DXH23 EGX23:EHD23 EQT23:EQZ23 FAP23:FAV23 FKL23:FKR23 FUH23:FUN23 GED23:GEJ23 GNZ23:GOF23 GXV23:GYB23 HHR23:HHX23 HRN23:HRT23 IBJ23:IBP23 ILF23:ILL23 IVB23:IVH23 JEX23:JFD23 JOT23:JOZ23 JYP23:JYV23 KIL23:KIR23 KSH23:KSN23 LCD23:LCJ23 LLZ23:LMF23 LVV23:LWB23 MFR23:MFX23 MPN23:MPT23 MZJ23:MZP23 NJF23:NJL23 NTB23:NTH23 OCX23:ODD23 OMT23:OMZ23 OWP23:OWV23 PGL23:PGR23 PQH23:PQN23 QAD23:QAJ23 QJZ23:QKF23 QTV23:QUB23 RDR23:RDX23 RNN23:RNT23 RXJ23:RXP23 SHF23:SHL23 SRB23:SRH23 TAX23:TBD23 TKT23:TKZ23 TUP23:TUV23 UEL23:UER23 UOH23:UON23 UYD23:UYJ23 VHZ23:VIF23 VRV23:VSB23 WBR23:WBX23 WLN23:WLT23 WVJ23:WVP23 B65559:H65559 IX65559:JD65559 ST65559:SZ65559 ACP65559:ACV65559 AML65559:AMR65559 AWH65559:AWN65559 BGD65559:BGJ65559 BPZ65559:BQF65559 BZV65559:CAB65559 CJR65559:CJX65559 CTN65559:CTT65559 DDJ65559:DDP65559 DNF65559:DNL65559 DXB65559:DXH65559 EGX65559:EHD65559 EQT65559:EQZ65559 FAP65559:FAV65559 FKL65559:FKR65559 FUH65559:FUN65559 GED65559:GEJ65559 GNZ65559:GOF65559 GXV65559:GYB65559 HHR65559:HHX65559 HRN65559:HRT65559 IBJ65559:IBP65559 ILF65559:ILL65559 IVB65559:IVH65559 JEX65559:JFD65559 JOT65559:JOZ65559 JYP65559:JYV65559 KIL65559:KIR65559 KSH65559:KSN65559 LCD65559:LCJ65559 LLZ65559:LMF65559 LVV65559:LWB65559 MFR65559:MFX65559 MPN65559:MPT65559 MZJ65559:MZP65559 NJF65559:NJL65559 NTB65559:NTH65559 OCX65559:ODD65559 OMT65559:OMZ65559 OWP65559:OWV65559 PGL65559:PGR65559 PQH65559:PQN65559 QAD65559:QAJ65559 QJZ65559:QKF65559 QTV65559:QUB65559 RDR65559:RDX65559 RNN65559:RNT65559 RXJ65559:RXP65559 SHF65559:SHL65559 SRB65559:SRH65559 TAX65559:TBD65559 TKT65559:TKZ65559 TUP65559:TUV65559 UEL65559:UER65559 UOH65559:UON65559 UYD65559:UYJ65559 VHZ65559:VIF65559 VRV65559:VSB65559 WBR65559:WBX65559 WLN65559:WLT65559 WVJ65559:WVP65559 B131095:H131095 IX131095:JD131095 ST131095:SZ131095 ACP131095:ACV131095 AML131095:AMR131095 AWH131095:AWN131095 BGD131095:BGJ131095 BPZ131095:BQF131095 BZV131095:CAB131095 CJR131095:CJX131095 CTN131095:CTT131095 DDJ131095:DDP131095 DNF131095:DNL131095 DXB131095:DXH131095 EGX131095:EHD131095 EQT131095:EQZ131095 FAP131095:FAV131095 FKL131095:FKR131095 FUH131095:FUN131095 GED131095:GEJ131095 GNZ131095:GOF131095 GXV131095:GYB131095 HHR131095:HHX131095 HRN131095:HRT131095 IBJ131095:IBP131095 ILF131095:ILL131095 IVB131095:IVH131095 JEX131095:JFD131095 JOT131095:JOZ131095 JYP131095:JYV131095 KIL131095:KIR131095 KSH131095:KSN131095 LCD131095:LCJ131095 LLZ131095:LMF131095 LVV131095:LWB131095 MFR131095:MFX131095 MPN131095:MPT131095 MZJ131095:MZP131095 NJF131095:NJL131095 NTB131095:NTH131095 OCX131095:ODD131095 OMT131095:OMZ131095 OWP131095:OWV131095 PGL131095:PGR131095 PQH131095:PQN131095 QAD131095:QAJ131095 QJZ131095:QKF131095 QTV131095:QUB131095 RDR131095:RDX131095 RNN131095:RNT131095 RXJ131095:RXP131095 SHF131095:SHL131095 SRB131095:SRH131095 TAX131095:TBD131095 TKT131095:TKZ131095 TUP131095:TUV131095 UEL131095:UER131095 UOH131095:UON131095 UYD131095:UYJ131095 VHZ131095:VIF131095 VRV131095:VSB131095 WBR131095:WBX131095 WLN131095:WLT131095 WVJ131095:WVP131095 B196631:H196631 IX196631:JD196631 ST196631:SZ196631 ACP196631:ACV196631 AML196631:AMR196631 AWH196631:AWN196631 BGD196631:BGJ196631 BPZ196631:BQF196631 BZV196631:CAB196631 CJR196631:CJX196631 CTN196631:CTT196631 DDJ196631:DDP196631 DNF196631:DNL196631 DXB196631:DXH196631 EGX196631:EHD196631 EQT196631:EQZ196631 FAP196631:FAV196631 FKL196631:FKR196631 FUH196631:FUN196631 GED196631:GEJ196631 GNZ196631:GOF196631 GXV196631:GYB196631 HHR196631:HHX196631 HRN196631:HRT196631 IBJ196631:IBP196631 ILF196631:ILL196631 IVB196631:IVH196631 JEX196631:JFD196631 JOT196631:JOZ196631 JYP196631:JYV196631 KIL196631:KIR196631 KSH196631:KSN196631 LCD196631:LCJ196631 LLZ196631:LMF196631 LVV196631:LWB196631 MFR196631:MFX196631 MPN196631:MPT196631 MZJ196631:MZP196631 NJF196631:NJL196631 NTB196631:NTH196631 OCX196631:ODD196631 OMT196631:OMZ196631 OWP196631:OWV196631 PGL196631:PGR196631 PQH196631:PQN196631 QAD196631:QAJ196631 QJZ196631:QKF196631 QTV196631:QUB196631 RDR196631:RDX196631 RNN196631:RNT196631 RXJ196631:RXP196631 SHF196631:SHL196631 SRB196631:SRH196631 TAX196631:TBD196631 TKT196631:TKZ196631 TUP196631:TUV196631 UEL196631:UER196631 UOH196631:UON196631 UYD196631:UYJ196631 VHZ196631:VIF196631 VRV196631:VSB196631 WBR196631:WBX196631 WLN196631:WLT196631 WVJ196631:WVP196631 B262167:H262167 IX262167:JD262167 ST262167:SZ262167 ACP262167:ACV262167 AML262167:AMR262167 AWH262167:AWN262167 BGD262167:BGJ262167 BPZ262167:BQF262167 BZV262167:CAB262167 CJR262167:CJX262167 CTN262167:CTT262167 DDJ262167:DDP262167 DNF262167:DNL262167 DXB262167:DXH262167 EGX262167:EHD262167 EQT262167:EQZ262167 FAP262167:FAV262167 FKL262167:FKR262167 FUH262167:FUN262167 GED262167:GEJ262167 GNZ262167:GOF262167 GXV262167:GYB262167 HHR262167:HHX262167 HRN262167:HRT262167 IBJ262167:IBP262167 ILF262167:ILL262167 IVB262167:IVH262167 JEX262167:JFD262167 JOT262167:JOZ262167 JYP262167:JYV262167 KIL262167:KIR262167 KSH262167:KSN262167 LCD262167:LCJ262167 LLZ262167:LMF262167 LVV262167:LWB262167 MFR262167:MFX262167 MPN262167:MPT262167 MZJ262167:MZP262167 NJF262167:NJL262167 NTB262167:NTH262167 OCX262167:ODD262167 OMT262167:OMZ262167 OWP262167:OWV262167 PGL262167:PGR262167 PQH262167:PQN262167 QAD262167:QAJ262167 QJZ262167:QKF262167 QTV262167:QUB262167 RDR262167:RDX262167 RNN262167:RNT262167 RXJ262167:RXP262167 SHF262167:SHL262167 SRB262167:SRH262167 TAX262167:TBD262167 TKT262167:TKZ262167 TUP262167:TUV262167 UEL262167:UER262167 UOH262167:UON262167 UYD262167:UYJ262167 VHZ262167:VIF262167 VRV262167:VSB262167 WBR262167:WBX262167 WLN262167:WLT262167 WVJ262167:WVP262167 B327703:H327703 IX327703:JD327703 ST327703:SZ327703 ACP327703:ACV327703 AML327703:AMR327703 AWH327703:AWN327703 BGD327703:BGJ327703 BPZ327703:BQF327703 BZV327703:CAB327703 CJR327703:CJX327703 CTN327703:CTT327703 DDJ327703:DDP327703 DNF327703:DNL327703 DXB327703:DXH327703 EGX327703:EHD327703 EQT327703:EQZ327703 FAP327703:FAV327703 FKL327703:FKR327703 FUH327703:FUN327703 GED327703:GEJ327703 GNZ327703:GOF327703 GXV327703:GYB327703 HHR327703:HHX327703 HRN327703:HRT327703 IBJ327703:IBP327703 ILF327703:ILL327703 IVB327703:IVH327703 JEX327703:JFD327703 JOT327703:JOZ327703 JYP327703:JYV327703 KIL327703:KIR327703 KSH327703:KSN327703 LCD327703:LCJ327703 LLZ327703:LMF327703 LVV327703:LWB327703 MFR327703:MFX327703 MPN327703:MPT327703 MZJ327703:MZP327703 NJF327703:NJL327703 NTB327703:NTH327703 OCX327703:ODD327703 OMT327703:OMZ327703 OWP327703:OWV327703 PGL327703:PGR327703 PQH327703:PQN327703 QAD327703:QAJ327703 QJZ327703:QKF327703 QTV327703:QUB327703 RDR327703:RDX327703 RNN327703:RNT327703 RXJ327703:RXP327703 SHF327703:SHL327703 SRB327703:SRH327703 TAX327703:TBD327703 TKT327703:TKZ327703 TUP327703:TUV327703 UEL327703:UER327703 UOH327703:UON327703 UYD327703:UYJ327703 VHZ327703:VIF327703 VRV327703:VSB327703 WBR327703:WBX327703 WLN327703:WLT327703 WVJ327703:WVP327703 B393239:H393239 IX393239:JD393239 ST393239:SZ393239 ACP393239:ACV393239 AML393239:AMR393239 AWH393239:AWN393239 BGD393239:BGJ393239 BPZ393239:BQF393239 BZV393239:CAB393239 CJR393239:CJX393239 CTN393239:CTT393239 DDJ393239:DDP393239 DNF393239:DNL393239 DXB393239:DXH393239 EGX393239:EHD393239 EQT393239:EQZ393239 FAP393239:FAV393239 FKL393239:FKR393239 FUH393239:FUN393239 GED393239:GEJ393239 GNZ393239:GOF393239 GXV393239:GYB393239 HHR393239:HHX393239 HRN393239:HRT393239 IBJ393239:IBP393239 ILF393239:ILL393239 IVB393239:IVH393239 JEX393239:JFD393239 JOT393239:JOZ393239 JYP393239:JYV393239 KIL393239:KIR393239 KSH393239:KSN393239 LCD393239:LCJ393239 LLZ393239:LMF393239 LVV393239:LWB393239 MFR393239:MFX393239 MPN393239:MPT393239 MZJ393239:MZP393239 NJF393239:NJL393239 NTB393239:NTH393239 OCX393239:ODD393239 OMT393239:OMZ393239 OWP393239:OWV393239 PGL393239:PGR393239 PQH393239:PQN393239 QAD393239:QAJ393239 QJZ393239:QKF393239 QTV393239:QUB393239 RDR393239:RDX393239 RNN393239:RNT393239 RXJ393239:RXP393239 SHF393239:SHL393239 SRB393239:SRH393239 TAX393239:TBD393239 TKT393239:TKZ393239 TUP393239:TUV393239 UEL393239:UER393239 UOH393239:UON393239 UYD393239:UYJ393239 VHZ393239:VIF393239 VRV393239:VSB393239 WBR393239:WBX393239 WLN393239:WLT393239 WVJ393239:WVP393239 B458775:H458775 IX458775:JD458775 ST458775:SZ458775 ACP458775:ACV458775 AML458775:AMR458775 AWH458775:AWN458775 BGD458775:BGJ458775 BPZ458775:BQF458775 BZV458775:CAB458775 CJR458775:CJX458775 CTN458775:CTT458775 DDJ458775:DDP458775 DNF458775:DNL458775 DXB458775:DXH458775 EGX458775:EHD458775 EQT458775:EQZ458775 FAP458775:FAV458775 FKL458775:FKR458775 FUH458775:FUN458775 GED458775:GEJ458775 GNZ458775:GOF458775 GXV458775:GYB458775 HHR458775:HHX458775 HRN458775:HRT458775 IBJ458775:IBP458775 ILF458775:ILL458775 IVB458775:IVH458775 JEX458775:JFD458775 JOT458775:JOZ458775 JYP458775:JYV458775 KIL458775:KIR458775 KSH458775:KSN458775 LCD458775:LCJ458775 LLZ458775:LMF458775 LVV458775:LWB458775 MFR458775:MFX458775 MPN458775:MPT458775 MZJ458775:MZP458775 NJF458775:NJL458775 NTB458775:NTH458775 OCX458775:ODD458775 OMT458775:OMZ458775 OWP458775:OWV458775 PGL458775:PGR458775 PQH458775:PQN458775 QAD458775:QAJ458775 QJZ458775:QKF458775 QTV458775:QUB458775 RDR458775:RDX458775 RNN458775:RNT458775 RXJ458775:RXP458775 SHF458775:SHL458775 SRB458775:SRH458775 TAX458775:TBD458775 TKT458775:TKZ458775 TUP458775:TUV458775 UEL458775:UER458775 UOH458775:UON458775 UYD458775:UYJ458775 VHZ458775:VIF458775 VRV458775:VSB458775 WBR458775:WBX458775 WLN458775:WLT458775 WVJ458775:WVP458775 B524311:H524311 IX524311:JD524311 ST524311:SZ524311 ACP524311:ACV524311 AML524311:AMR524311 AWH524311:AWN524311 BGD524311:BGJ524311 BPZ524311:BQF524311 BZV524311:CAB524311 CJR524311:CJX524311 CTN524311:CTT524311 DDJ524311:DDP524311 DNF524311:DNL524311 DXB524311:DXH524311 EGX524311:EHD524311 EQT524311:EQZ524311 FAP524311:FAV524311 FKL524311:FKR524311 FUH524311:FUN524311 GED524311:GEJ524311 GNZ524311:GOF524311 GXV524311:GYB524311 HHR524311:HHX524311 HRN524311:HRT524311 IBJ524311:IBP524311 ILF524311:ILL524311 IVB524311:IVH524311 JEX524311:JFD524311 JOT524311:JOZ524311 JYP524311:JYV524311 KIL524311:KIR524311 KSH524311:KSN524311 LCD524311:LCJ524311 LLZ524311:LMF524311 LVV524311:LWB524311 MFR524311:MFX524311 MPN524311:MPT524311 MZJ524311:MZP524311 NJF524311:NJL524311 NTB524311:NTH524311 OCX524311:ODD524311 OMT524311:OMZ524311 OWP524311:OWV524311 PGL524311:PGR524311 PQH524311:PQN524311 QAD524311:QAJ524311 QJZ524311:QKF524311 QTV524311:QUB524311 RDR524311:RDX524311 RNN524311:RNT524311 RXJ524311:RXP524311 SHF524311:SHL524311 SRB524311:SRH524311 TAX524311:TBD524311 TKT524311:TKZ524311 TUP524311:TUV524311 UEL524311:UER524311 UOH524311:UON524311 UYD524311:UYJ524311 VHZ524311:VIF524311 VRV524311:VSB524311 WBR524311:WBX524311 WLN524311:WLT524311 WVJ524311:WVP524311 B589847:H589847 IX589847:JD589847 ST589847:SZ589847 ACP589847:ACV589847 AML589847:AMR589847 AWH589847:AWN589847 BGD589847:BGJ589847 BPZ589847:BQF589847 BZV589847:CAB589847 CJR589847:CJX589847 CTN589847:CTT589847 DDJ589847:DDP589847 DNF589847:DNL589847 DXB589847:DXH589847 EGX589847:EHD589847 EQT589847:EQZ589847 FAP589847:FAV589847 FKL589847:FKR589847 FUH589847:FUN589847 GED589847:GEJ589847 GNZ589847:GOF589847 GXV589847:GYB589847 HHR589847:HHX589847 HRN589847:HRT589847 IBJ589847:IBP589847 ILF589847:ILL589847 IVB589847:IVH589847 JEX589847:JFD589847 JOT589847:JOZ589847 JYP589847:JYV589847 KIL589847:KIR589847 KSH589847:KSN589847 LCD589847:LCJ589847 LLZ589847:LMF589847 LVV589847:LWB589847 MFR589847:MFX589847 MPN589847:MPT589847 MZJ589847:MZP589847 NJF589847:NJL589847 NTB589847:NTH589847 OCX589847:ODD589847 OMT589847:OMZ589847 OWP589847:OWV589847 PGL589847:PGR589847 PQH589847:PQN589847 QAD589847:QAJ589847 QJZ589847:QKF589847 QTV589847:QUB589847 RDR589847:RDX589847 RNN589847:RNT589847 RXJ589847:RXP589847 SHF589847:SHL589847 SRB589847:SRH589847 TAX589847:TBD589847 TKT589847:TKZ589847 TUP589847:TUV589847 UEL589847:UER589847 UOH589847:UON589847 UYD589847:UYJ589847 VHZ589847:VIF589847 VRV589847:VSB589847 WBR589847:WBX589847 WLN589847:WLT589847 WVJ589847:WVP589847 B655383:H655383 IX655383:JD655383 ST655383:SZ655383 ACP655383:ACV655383 AML655383:AMR655383 AWH655383:AWN655383 BGD655383:BGJ655383 BPZ655383:BQF655383 BZV655383:CAB655383 CJR655383:CJX655383 CTN655383:CTT655383 DDJ655383:DDP655383 DNF655383:DNL655383 DXB655383:DXH655383 EGX655383:EHD655383 EQT655383:EQZ655383 FAP655383:FAV655383 FKL655383:FKR655383 FUH655383:FUN655383 GED655383:GEJ655383 GNZ655383:GOF655383 GXV655383:GYB655383 HHR655383:HHX655383 HRN655383:HRT655383 IBJ655383:IBP655383 ILF655383:ILL655383 IVB655383:IVH655383 JEX655383:JFD655383 JOT655383:JOZ655383 JYP655383:JYV655383 KIL655383:KIR655383 KSH655383:KSN655383 LCD655383:LCJ655383 LLZ655383:LMF655383 LVV655383:LWB655383 MFR655383:MFX655383 MPN655383:MPT655383 MZJ655383:MZP655383 NJF655383:NJL655383 NTB655383:NTH655383 OCX655383:ODD655383 OMT655383:OMZ655383 OWP655383:OWV655383 PGL655383:PGR655383 PQH655383:PQN655383 QAD655383:QAJ655383 QJZ655383:QKF655383 QTV655383:QUB655383 RDR655383:RDX655383 RNN655383:RNT655383 RXJ655383:RXP655383 SHF655383:SHL655383 SRB655383:SRH655383 TAX655383:TBD655383 TKT655383:TKZ655383 TUP655383:TUV655383 UEL655383:UER655383 UOH655383:UON655383 UYD655383:UYJ655383 VHZ655383:VIF655383 VRV655383:VSB655383 WBR655383:WBX655383 WLN655383:WLT655383 WVJ655383:WVP655383 B720919:H720919 IX720919:JD720919 ST720919:SZ720919 ACP720919:ACV720919 AML720919:AMR720919 AWH720919:AWN720919 BGD720919:BGJ720919 BPZ720919:BQF720919 BZV720919:CAB720919 CJR720919:CJX720919 CTN720919:CTT720919 DDJ720919:DDP720919 DNF720919:DNL720919 DXB720919:DXH720919 EGX720919:EHD720919 EQT720919:EQZ720919 FAP720919:FAV720919 FKL720919:FKR720919 FUH720919:FUN720919 GED720919:GEJ720919 GNZ720919:GOF720919 GXV720919:GYB720919 HHR720919:HHX720919 HRN720919:HRT720919 IBJ720919:IBP720919 ILF720919:ILL720919 IVB720919:IVH720919 JEX720919:JFD720919 JOT720919:JOZ720919 JYP720919:JYV720919 KIL720919:KIR720919 KSH720919:KSN720919 LCD720919:LCJ720919 LLZ720919:LMF720919 LVV720919:LWB720919 MFR720919:MFX720919 MPN720919:MPT720919 MZJ720919:MZP720919 NJF720919:NJL720919 NTB720919:NTH720919 OCX720919:ODD720919 OMT720919:OMZ720919 OWP720919:OWV720919 PGL720919:PGR720919 PQH720919:PQN720919 QAD720919:QAJ720919 QJZ720919:QKF720919 QTV720919:QUB720919 RDR720919:RDX720919 RNN720919:RNT720919 RXJ720919:RXP720919 SHF720919:SHL720919 SRB720919:SRH720919 TAX720919:TBD720919 TKT720919:TKZ720919 TUP720919:TUV720919 UEL720919:UER720919 UOH720919:UON720919 UYD720919:UYJ720919 VHZ720919:VIF720919 VRV720919:VSB720919 WBR720919:WBX720919 WLN720919:WLT720919 WVJ720919:WVP720919 B786455:H786455 IX786455:JD786455 ST786455:SZ786455 ACP786455:ACV786455 AML786455:AMR786455 AWH786455:AWN786455 BGD786455:BGJ786455 BPZ786455:BQF786455 BZV786455:CAB786455 CJR786455:CJX786455 CTN786455:CTT786455 DDJ786455:DDP786455 DNF786455:DNL786455 DXB786455:DXH786455 EGX786455:EHD786455 EQT786455:EQZ786455 FAP786455:FAV786455 FKL786455:FKR786455 FUH786455:FUN786455 GED786455:GEJ786455 GNZ786455:GOF786455 GXV786455:GYB786455 HHR786455:HHX786455 HRN786455:HRT786455 IBJ786455:IBP786455 ILF786455:ILL786455 IVB786455:IVH786455 JEX786455:JFD786455 JOT786455:JOZ786455 JYP786455:JYV786455 KIL786455:KIR786455 KSH786455:KSN786455 LCD786455:LCJ786455 LLZ786455:LMF786455 LVV786455:LWB786455 MFR786455:MFX786455 MPN786455:MPT786455 MZJ786455:MZP786455 NJF786455:NJL786455 NTB786455:NTH786455 OCX786455:ODD786455 OMT786455:OMZ786455 OWP786455:OWV786455 PGL786455:PGR786455 PQH786455:PQN786455 QAD786455:QAJ786455 QJZ786455:QKF786455 QTV786455:QUB786455 RDR786455:RDX786455 RNN786455:RNT786455 RXJ786455:RXP786455 SHF786455:SHL786455 SRB786455:SRH786455 TAX786455:TBD786455 TKT786455:TKZ786455 TUP786455:TUV786455 UEL786455:UER786455 UOH786455:UON786455 UYD786455:UYJ786455 VHZ786455:VIF786455 VRV786455:VSB786455 WBR786455:WBX786455 WLN786455:WLT786455 WVJ786455:WVP786455 B851991:H851991 IX851991:JD851991 ST851991:SZ851991 ACP851991:ACV851991 AML851991:AMR851991 AWH851991:AWN851991 BGD851991:BGJ851991 BPZ851991:BQF851991 BZV851991:CAB851991 CJR851991:CJX851991 CTN851991:CTT851991 DDJ851991:DDP851991 DNF851991:DNL851991 DXB851991:DXH851991 EGX851991:EHD851991 EQT851991:EQZ851991 FAP851991:FAV851991 FKL851991:FKR851991 FUH851991:FUN851991 GED851991:GEJ851991 GNZ851991:GOF851991 GXV851991:GYB851991 HHR851991:HHX851991 HRN851991:HRT851991 IBJ851991:IBP851991 ILF851991:ILL851991 IVB851991:IVH851991 JEX851991:JFD851991 JOT851991:JOZ851991 JYP851991:JYV851991 KIL851991:KIR851991 KSH851991:KSN851991 LCD851991:LCJ851991 LLZ851991:LMF851991 LVV851991:LWB851991 MFR851991:MFX851991 MPN851991:MPT851991 MZJ851991:MZP851991 NJF851991:NJL851991 NTB851991:NTH851991 OCX851991:ODD851991 OMT851991:OMZ851991 OWP851991:OWV851991 PGL851991:PGR851991 PQH851991:PQN851991 QAD851991:QAJ851991 QJZ851991:QKF851991 QTV851991:QUB851991 RDR851991:RDX851991 RNN851991:RNT851991 RXJ851991:RXP851991 SHF851991:SHL851991 SRB851991:SRH851991 TAX851991:TBD851991 TKT851991:TKZ851991 TUP851991:TUV851991 UEL851991:UER851991 UOH851991:UON851991 UYD851991:UYJ851991 VHZ851991:VIF851991 VRV851991:VSB851991 WBR851991:WBX851991 WLN851991:WLT851991 WVJ851991:WVP851991 B917527:H917527 IX917527:JD917527 ST917527:SZ917527 ACP917527:ACV917527 AML917527:AMR917527 AWH917527:AWN917527 BGD917527:BGJ917527 BPZ917527:BQF917527 BZV917527:CAB917527 CJR917527:CJX917527 CTN917527:CTT917527 DDJ917527:DDP917527 DNF917527:DNL917527 DXB917527:DXH917527 EGX917527:EHD917527 EQT917527:EQZ917527 FAP917527:FAV917527 FKL917527:FKR917527 FUH917527:FUN917527 GED917527:GEJ917527 GNZ917527:GOF917527 GXV917527:GYB917527 HHR917527:HHX917527 HRN917527:HRT917527 IBJ917527:IBP917527 ILF917527:ILL917527 IVB917527:IVH917527 JEX917527:JFD917527 JOT917527:JOZ917527 JYP917527:JYV917527 KIL917527:KIR917527 KSH917527:KSN917527 LCD917527:LCJ917527 LLZ917527:LMF917527 LVV917527:LWB917527 MFR917527:MFX917527 MPN917527:MPT917527 MZJ917527:MZP917527 NJF917527:NJL917527 NTB917527:NTH917527 OCX917527:ODD917527 OMT917527:OMZ917527 OWP917527:OWV917527 PGL917527:PGR917527 PQH917527:PQN917527 QAD917527:QAJ917527 QJZ917527:QKF917527 QTV917527:QUB917527 RDR917527:RDX917527 RNN917527:RNT917527 RXJ917527:RXP917527 SHF917527:SHL917527 SRB917527:SRH917527 TAX917527:TBD917527 TKT917527:TKZ917527 TUP917527:TUV917527 UEL917527:UER917527 UOH917527:UON917527 UYD917527:UYJ917527 VHZ917527:VIF917527 VRV917527:VSB917527 WBR917527:WBX917527 WLN917527:WLT917527 WVJ917527:WVP917527 B983063:H983063 IX983063:JD983063 ST983063:SZ983063 ACP983063:ACV983063 AML983063:AMR983063 AWH983063:AWN983063 BGD983063:BGJ983063 BPZ983063:BQF983063 BZV983063:CAB983063 CJR983063:CJX983063 CTN983063:CTT983063 DDJ983063:DDP983063 DNF983063:DNL983063 DXB983063:DXH983063 EGX983063:EHD983063 EQT983063:EQZ983063 FAP983063:FAV983063 FKL983063:FKR983063 FUH983063:FUN983063 GED983063:GEJ983063 GNZ983063:GOF983063 GXV983063:GYB983063 HHR983063:HHX983063 HRN983063:HRT983063 IBJ983063:IBP983063 ILF983063:ILL983063 IVB983063:IVH983063 JEX983063:JFD983063 JOT983063:JOZ983063 JYP983063:JYV983063 KIL983063:KIR983063 KSH983063:KSN983063 LCD983063:LCJ983063 LLZ983063:LMF983063 LVV983063:LWB983063 MFR983063:MFX983063 MPN983063:MPT983063 MZJ983063:MZP983063 NJF983063:NJL983063 NTB983063:NTH983063 OCX983063:ODD983063 OMT983063:OMZ983063 OWP983063:OWV983063 PGL983063:PGR983063 PQH983063:PQN983063 QAD983063:QAJ983063 QJZ983063:QKF983063 QTV983063:QUB983063 RDR983063:RDX983063 RNN983063:RNT983063 RXJ983063:RXP983063 SHF983063:SHL983063 SRB983063:SRH983063 TAX983063:TBD983063 TKT983063:TKZ983063 TUP983063:TUV983063 UEL983063:UER983063 UOH983063:UON983063 UYD983063:UYJ983063 VHZ983063:VIF983063 VRV983063:VSB983063 WBR983063:WBX983063 WLN983063:WLT983063 WVJ983063:WVP983063 B20:H20 IX20:JD20 ST20:SZ20 ACP20:ACV20 AML20:AMR20 AWH20:AWN20 BGD20:BGJ20 BPZ20:BQF20 BZV20:CAB20 CJR20:CJX20 CTN20:CTT20 DDJ20:DDP20 DNF20:DNL20 DXB20:DXH20 EGX20:EHD20 EQT20:EQZ20 FAP20:FAV20 FKL20:FKR20 FUH20:FUN20 GED20:GEJ20 GNZ20:GOF20 GXV20:GYB20 HHR20:HHX20 HRN20:HRT20 IBJ20:IBP20 ILF20:ILL20 IVB20:IVH20 JEX20:JFD20 JOT20:JOZ20 JYP20:JYV20 KIL20:KIR20 KSH20:KSN20 LCD20:LCJ20 LLZ20:LMF20 LVV20:LWB20 MFR20:MFX20 MPN20:MPT20 MZJ20:MZP20 NJF20:NJL20 NTB20:NTH20 OCX20:ODD20 OMT20:OMZ20 OWP20:OWV20 PGL20:PGR20 PQH20:PQN20 QAD20:QAJ20 QJZ20:QKF20 QTV20:QUB20 RDR20:RDX20 RNN20:RNT20 RXJ20:RXP20 SHF20:SHL20 SRB20:SRH20 TAX20:TBD20 TKT20:TKZ20 TUP20:TUV20 UEL20:UER20 UOH20:UON20 UYD20:UYJ20 VHZ20:VIF20 VRV20:VSB20 WBR20:WBX20 WLN20:WLT20 WVJ20:WVP20 B65556:H65556 IX65556:JD65556 ST65556:SZ65556 ACP65556:ACV65556 AML65556:AMR65556 AWH65556:AWN65556 BGD65556:BGJ65556 BPZ65556:BQF65556 BZV65556:CAB65556 CJR65556:CJX65556 CTN65556:CTT65556 DDJ65556:DDP65556 DNF65556:DNL65556 DXB65556:DXH65556 EGX65556:EHD65556 EQT65556:EQZ65556 FAP65556:FAV65556 FKL65556:FKR65556 FUH65556:FUN65556 GED65556:GEJ65556 GNZ65556:GOF65556 GXV65556:GYB65556 HHR65556:HHX65556 HRN65556:HRT65556 IBJ65556:IBP65556 ILF65556:ILL65556 IVB65556:IVH65556 JEX65556:JFD65556 JOT65556:JOZ65556 JYP65556:JYV65556 KIL65556:KIR65556 KSH65556:KSN65556 LCD65556:LCJ65556 LLZ65556:LMF65556 LVV65556:LWB65556 MFR65556:MFX65556 MPN65556:MPT65556 MZJ65556:MZP65556 NJF65556:NJL65556 NTB65556:NTH65556 OCX65556:ODD65556 OMT65556:OMZ65556 OWP65556:OWV65556 PGL65556:PGR65556 PQH65556:PQN65556 QAD65556:QAJ65556 QJZ65556:QKF65556 QTV65556:QUB65556 RDR65556:RDX65556 RNN65556:RNT65556 RXJ65556:RXP65556 SHF65556:SHL65556 SRB65556:SRH65556 TAX65556:TBD65556 TKT65556:TKZ65556 TUP65556:TUV65556 UEL65556:UER65556 UOH65556:UON65556 UYD65556:UYJ65556 VHZ65556:VIF65556 VRV65556:VSB65556 WBR65556:WBX65556 WLN65556:WLT65556 WVJ65556:WVP65556 B131092:H131092 IX131092:JD131092 ST131092:SZ131092 ACP131092:ACV131092 AML131092:AMR131092 AWH131092:AWN131092 BGD131092:BGJ131092 BPZ131092:BQF131092 BZV131092:CAB131092 CJR131092:CJX131092 CTN131092:CTT131092 DDJ131092:DDP131092 DNF131092:DNL131092 DXB131092:DXH131092 EGX131092:EHD131092 EQT131092:EQZ131092 FAP131092:FAV131092 FKL131092:FKR131092 FUH131092:FUN131092 GED131092:GEJ131092 GNZ131092:GOF131092 GXV131092:GYB131092 HHR131092:HHX131092 HRN131092:HRT131092 IBJ131092:IBP131092 ILF131092:ILL131092 IVB131092:IVH131092 JEX131092:JFD131092 JOT131092:JOZ131092 JYP131092:JYV131092 KIL131092:KIR131092 KSH131092:KSN131092 LCD131092:LCJ131092 LLZ131092:LMF131092 LVV131092:LWB131092 MFR131092:MFX131092 MPN131092:MPT131092 MZJ131092:MZP131092 NJF131092:NJL131092 NTB131092:NTH131092 OCX131092:ODD131092 OMT131092:OMZ131092 OWP131092:OWV131092 PGL131092:PGR131092 PQH131092:PQN131092 QAD131092:QAJ131092 QJZ131092:QKF131092 QTV131092:QUB131092 RDR131092:RDX131092 RNN131092:RNT131092 RXJ131092:RXP131092 SHF131092:SHL131092 SRB131092:SRH131092 TAX131092:TBD131092 TKT131092:TKZ131092 TUP131092:TUV131092 UEL131092:UER131092 UOH131092:UON131092 UYD131092:UYJ131092 VHZ131092:VIF131092 VRV131092:VSB131092 WBR131092:WBX131092 WLN131092:WLT131092 WVJ131092:WVP131092 B196628:H196628 IX196628:JD196628 ST196628:SZ196628 ACP196628:ACV196628 AML196628:AMR196628 AWH196628:AWN196628 BGD196628:BGJ196628 BPZ196628:BQF196628 BZV196628:CAB196628 CJR196628:CJX196628 CTN196628:CTT196628 DDJ196628:DDP196628 DNF196628:DNL196628 DXB196628:DXH196628 EGX196628:EHD196628 EQT196628:EQZ196628 FAP196628:FAV196628 FKL196628:FKR196628 FUH196628:FUN196628 GED196628:GEJ196628 GNZ196628:GOF196628 GXV196628:GYB196628 HHR196628:HHX196628 HRN196628:HRT196628 IBJ196628:IBP196628 ILF196628:ILL196628 IVB196628:IVH196628 JEX196628:JFD196628 JOT196628:JOZ196628 JYP196628:JYV196628 KIL196628:KIR196628 KSH196628:KSN196628 LCD196628:LCJ196628 LLZ196628:LMF196628 LVV196628:LWB196628 MFR196628:MFX196628 MPN196628:MPT196628 MZJ196628:MZP196628 NJF196628:NJL196628 NTB196628:NTH196628 OCX196628:ODD196628 OMT196628:OMZ196628 OWP196628:OWV196628 PGL196628:PGR196628 PQH196628:PQN196628 QAD196628:QAJ196628 QJZ196628:QKF196628 QTV196628:QUB196628 RDR196628:RDX196628 RNN196628:RNT196628 RXJ196628:RXP196628 SHF196628:SHL196628 SRB196628:SRH196628 TAX196628:TBD196628 TKT196628:TKZ196628 TUP196628:TUV196628 UEL196628:UER196628 UOH196628:UON196628 UYD196628:UYJ196628 VHZ196628:VIF196628 VRV196628:VSB196628 WBR196628:WBX196628 WLN196628:WLT196628 WVJ196628:WVP196628 B262164:H262164 IX262164:JD262164 ST262164:SZ262164 ACP262164:ACV262164 AML262164:AMR262164 AWH262164:AWN262164 BGD262164:BGJ262164 BPZ262164:BQF262164 BZV262164:CAB262164 CJR262164:CJX262164 CTN262164:CTT262164 DDJ262164:DDP262164 DNF262164:DNL262164 DXB262164:DXH262164 EGX262164:EHD262164 EQT262164:EQZ262164 FAP262164:FAV262164 FKL262164:FKR262164 FUH262164:FUN262164 GED262164:GEJ262164 GNZ262164:GOF262164 GXV262164:GYB262164 HHR262164:HHX262164 HRN262164:HRT262164 IBJ262164:IBP262164 ILF262164:ILL262164 IVB262164:IVH262164 JEX262164:JFD262164 JOT262164:JOZ262164 JYP262164:JYV262164 KIL262164:KIR262164 KSH262164:KSN262164 LCD262164:LCJ262164 LLZ262164:LMF262164 LVV262164:LWB262164 MFR262164:MFX262164 MPN262164:MPT262164 MZJ262164:MZP262164 NJF262164:NJL262164 NTB262164:NTH262164 OCX262164:ODD262164 OMT262164:OMZ262164 OWP262164:OWV262164 PGL262164:PGR262164 PQH262164:PQN262164 QAD262164:QAJ262164 QJZ262164:QKF262164 QTV262164:QUB262164 RDR262164:RDX262164 RNN262164:RNT262164 RXJ262164:RXP262164 SHF262164:SHL262164 SRB262164:SRH262164 TAX262164:TBD262164 TKT262164:TKZ262164 TUP262164:TUV262164 UEL262164:UER262164 UOH262164:UON262164 UYD262164:UYJ262164 VHZ262164:VIF262164 VRV262164:VSB262164 WBR262164:WBX262164 WLN262164:WLT262164 WVJ262164:WVP262164 B327700:H327700 IX327700:JD327700 ST327700:SZ327700 ACP327700:ACV327700 AML327700:AMR327700 AWH327700:AWN327700 BGD327700:BGJ327700 BPZ327700:BQF327700 BZV327700:CAB327700 CJR327700:CJX327700 CTN327700:CTT327700 DDJ327700:DDP327700 DNF327700:DNL327700 DXB327700:DXH327700 EGX327700:EHD327700 EQT327700:EQZ327700 FAP327700:FAV327700 FKL327700:FKR327700 FUH327700:FUN327700 GED327700:GEJ327700 GNZ327700:GOF327700 GXV327700:GYB327700 HHR327700:HHX327700 HRN327700:HRT327700 IBJ327700:IBP327700 ILF327700:ILL327700 IVB327700:IVH327700 JEX327700:JFD327700 JOT327700:JOZ327700 JYP327700:JYV327700 KIL327700:KIR327700 KSH327700:KSN327700 LCD327700:LCJ327700 LLZ327700:LMF327700 LVV327700:LWB327700 MFR327700:MFX327700 MPN327700:MPT327700 MZJ327700:MZP327700 NJF327700:NJL327700 NTB327700:NTH327700 OCX327700:ODD327700 OMT327700:OMZ327700 OWP327700:OWV327700 PGL327700:PGR327700 PQH327700:PQN327700 QAD327700:QAJ327700 QJZ327700:QKF327700 QTV327700:QUB327700 RDR327700:RDX327700 RNN327700:RNT327700 RXJ327700:RXP327700 SHF327700:SHL327700 SRB327700:SRH327700 TAX327700:TBD327700 TKT327700:TKZ327700 TUP327700:TUV327700 UEL327700:UER327700 UOH327700:UON327700 UYD327700:UYJ327700 VHZ327700:VIF327700 VRV327700:VSB327700 WBR327700:WBX327700 WLN327700:WLT327700 WVJ327700:WVP327700 B393236:H393236 IX393236:JD393236 ST393236:SZ393236 ACP393236:ACV393236 AML393236:AMR393236 AWH393236:AWN393236 BGD393236:BGJ393236 BPZ393236:BQF393236 BZV393236:CAB393236 CJR393236:CJX393236 CTN393236:CTT393236 DDJ393236:DDP393236 DNF393236:DNL393236 DXB393236:DXH393236 EGX393236:EHD393236 EQT393236:EQZ393236 FAP393236:FAV393236 FKL393236:FKR393236 FUH393236:FUN393236 GED393236:GEJ393236 GNZ393236:GOF393236 GXV393236:GYB393236 HHR393236:HHX393236 HRN393236:HRT393236 IBJ393236:IBP393236 ILF393236:ILL393236 IVB393236:IVH393236 JEX393236:JFD393236 JOT393236:JOZ393236 JYP393236:JYV393236 KIL393236:KIR393236 KSH393236:KSN393236 LCD393236:LCJ393236 LLZ393236:LMF393236 LVV393236:LWB393236 MFR393236:MFX393236 MPN393236:MPT393236 MZJ393236:MZP393236 NJF393236:NJL393236 NTB393236:NTH393236 OCX393236:ODD393236 OMT393236:OMZ393236 OWP393236:OWV393236 PGL393236:PGR393236 PQH393236:PQN393236 QAD393236:QAJ393236 QJZ393236:QKF393236 QTV393236:QUB393236 RDR393236:RDX393236 RNN393236:RNT393236 RXJ393236:RXP393236 SHF393236:SHL393236 SRB393236:SRH393236 TAX393236:TBD393236 TKT393236:TKZ393236 TUP393236:TUV393236 UEL393236:UER393236 UOH393236:UON393236 UYD393236:UYJ393236 VHZ393236:VIF393236 VRV393236:VSB393236 WBR393236:WBX393236 WLN393236:WLT393236 WVJ393236:WVP393236 B458772:H458772 IX458772:JD458772 ST458772:SZ458772 ACP458772:ACV458772 AML458772:AMR458772 AWH458772:AWN458772 BGD458772:BGJ458772 BPZ458772:BQF458772 BZV458772:CAB458772 CJR458772:CJX458772 CTN458772:CTT458772 DDJ458772:DDP458772 DNF458772:DNL458772 DXB458772:DXH458772 EGX458772:EHD458772 EQT458772:EQZ458772 FAP458772:FAV458772 FKL458772:FKR458772 FUH458772:FUN458772 GED458772:GEJ458772 GNZ458772:GOF458772 GXV458772:GYB458772 HHR458772:HHX458772 HRN458772:HRT458772 IBJ458772:IBP458772 ILF458772:ILL458772 IVB458772:IVH458772 JEX458772:JFD458772 JOT458772:JOZ458772 JYP458772:JYV458772 KIL458772:KIR458772 KSH458772:KSN458772 LCD458772:LCJ458772 LLZ458772:LMF458772 LVV458772:LWB458772 MFR458772:MFX458772 MPN458772:MPT458772 MZJ458772:MZP458772 NJF458772:NJL458772 NTB458772:NTH458772 OCX458772:ODD458772 OMT458772:OMZ458772 OWP458772:OWV458772 PGL458772:PGR458772 PQH458772:PQN458772 QAD458772:QAJ458772 QJZ458772:QKF458772 QTV458772:QUB458772 RDR458772:RDX458772 RNN458772:RNT458772 RXJ458772:RXP458772 SHF458772:SHL458772 SRB458772:SRH458772 TAX458772:TBD458772 TKT458772:TKZ458772 TUP458772:TUV458772 UEL458772:UER458772 UOH458772:UON458772 UYD458772:UYJ458772 VHZ458772:VIF458772 VRV458772:VSB458772 WBR458772:WBX458772 WLN458772:WLT458772 WVJ458772:WVP458772 B524308:H524308 IX524308:JD524308 ST524308:SZ524308 ACP524308:ACV524308 AML524308:AMR524308 AWH524308:AWN524308 BGD524308:BGJ524308 BPZ524308:BQF524308 BZV524308:CAB524308 CJR524308:CJX524308 CTN524308:CTT524308 DDJ524308:DDP524308 DNF524308:DNL524308 DXB524308:DXH524308 EGX524308:EHD524308 EQT524308:EQZ524308 FAP524308:FAV524308 FKL524308:FKR524308 FUH524308:FUN524308 GED524308:GEJ524308 GNZ524308:GOF524308 GXV524308:GYB524308 HHR524308:HHX524308 HRN524308:HRT524308 IBJ524308:IBP524308 ILF524308:ILL524308 IVB524308:IVH524308 JEX524308:JFD524308 JOT524308:JOZ524308 JYP524308:JYV524308 KIL524308:KIR524308 KSH524308:KSN524308 LCD524308:LCJ524308 LLZ524308:LMF524308 LVV524308:LWB524308 MFR524308:MFX524308 MPN524308:MPT524308 MZJ524308:MZP524308 NJF524308:NJL524308 NTB524308:NTH524308 OCX524308:ODD524308 OMT524308:OMZ524308 OWP524308:OWV524308 PGL524308:PGR524308 PQH524308:PQN524308 QAD524308:QAJ524308 QJZ524308:QKF524308 QTV524308:QUB524308 RDR524308:RDX524308 RNN524308:RNT524308 RXJ524308:RXP524308 SHF524308:SHL524308 SRB524308:SRH524308 TAX524308:TBD524308 TKT524308:TKZ524308 TUP524308:TUV524308 UEL524308:UER524308 UOH524308:UON524308 UYD524308:UYJ524308 VHZ524308:VIF524308 VRV524308:VSB524308 WBR524308:WBX524308 WLN524308:WLT524308 WVJ524308:WVP524308 B589844:H589844 IX589844:JD589844 ST589844:SZ589844 ACP589844:ACV589844 AML589844:AMR589844 AWH589844:AWN589844 BGD589844:BGJ589844 BPZ589844:BQF589844 BZV589844:CAB589844 CJR589844:CJX589844 CTN589844:CTT589844 DDJ589844:DDP589844 DNF589844:DNL589844 DXB589844:DXH589844 EGX589844:EHD589844 EQT589844:EQZ589844 FAP589844:FAV589844 FKL589844:FKR589844 FUH589844:FUN589844 GED589844:GEJ589844 GNZ589844:GOF589844 GXV589844:GYB589844 HHR589844:HHX589844 HRN589844:HRT589844 IBJ589844:IBP589844 ILF589844:ILL589844 IVB589844:IVH589844 JEX589844:JFD589844 JOT589844:JOZ589844 JYP589844:JYV589844 KIL589844:KIR589844 KSH589844:KSN589844 LCD589844:LCJ589844 LLZ589844:LMF589844 LVV589844:LWB589844 MFR589844:MFX589844 MPN589844:MPT589844 MZJ589844:MZP589844 NJF589844:NJL589844 NTB589844:NTH589844 OCX589844:ODD589844 OMT589844:OMZ589844 OWP589844:OWV589844 PGL589844:PGR589844 PQH589844:PQN589844 QAD589844:QAJ589844 QJZ589844:QKF589844 QTV589844:QUB589844 RDR589844:RDX589844 RNN589844:RNT589844 RXJ589844:RXP589844 SHF589844:SHL589844 SRB589844:SRH589844 TAX589844:TBD589844 TKT589844:TKZ589844 TUP589844:TUV589844 UEL589844:UER589844 UOH589844:UON589844 UYD589844:UYJ589844 VHZ589844:VIF589844 VRV589844:VSB589844 WBR589844:WBX589844 WLN589844:WLT589844 WVJ589844:WVP589844 B655380:H655380 IX655380:JD655380 ST655380:SZ655380 ACP655380:ACV655380 AML655380:AMR655380 AWH655380:AWN655380 BGD655380:BGJ655380 BPZ655380:BQF655380 BZV655380:CAB655380 CJR655380:CJX655380 CTN655380:CTT655380 DDJ655380:DDP655380 DNF655380:DNL655380 DXB655380:DXH655380 EGX655380:EHD655380 EQT655380:EQZ655380 FAP655380:FAV655380 FKL655380:FKR655380 FUH655380:FUN655380 GED655380:GEJ655380 GNZ655380:GOF655380 GXV655380:GYB655380 HHR655380:HHX655380 HRN655380:HRT655380 IBJ655380:IBP655380 ILF655380:ILL655380 IVB655380:IVH655380 JEX655380:JFD655380 JOT655380:JOZ655380 JYP655380:JYV655380 KIL655380:KIR655380 KSH655380:KSN655380 LCD655380:LCJ655380 LLZ655380:LMF655380 LVV655380:LWB655380 MFR655380:MFX655380 MPN655380:MPT655380 MZJ655380:MZP655380 NJF655380:NJL655380 NTB655380:NTH655380 OCX655380:ODD655380 OMT655380:OMZ655380 OWP655380:OWV655380 PGL655380:PGR655380 PQH655380:PQN655380 QAD655380:QAJ655380 QJZ655380:QKF655380 QTV655380:QUB655380 RDR655380:RDX655380 RNN655380:RNT655380 RXJ655380:RXP655380 SHF655380:SHL655380 SRB655380:SRH655380 TAX655380:TBD655380 TKT655380:TKZ655380 TUP655380:TUV655380 UEL655380:UER655380 UOH655380:UON655380 UYD655380:UYJ655380 VHZ655380:VIF655380 VRV655380:VSB655380 WBR655380:WBX655380 WLN655380:WLT655380 WVJ655380:WVP655380 B720916:H720916 IX720916:JD720916 ST720916:SZ720916 ACP720916:ACV720916 AML720916:AMR720916 AWH720916:AWN720916 BGD720916:BGJ720916 BPZ720916:BQF720916 BZV720916:CAB720916 CJR720916:CJX720916 CTN720916:CTT720916 DDJ720916:DDP720916 DNF720916:DNL720916 DXB720916:DXH720916 EGX720916:EHD720916 EQT720916:EQZ720916 FAP720916:FAV720916 FKL720916:FKR720916 FUH720916:FUN720916 GED720916:GEJ720916 GNZ720916:GOF720916 GXV720916:GYB720916 HHR720916:HHX720916 HRN720916:HRT720916 IBJ720916:IBP720916 ILF720916:ILL720916 IVB720916:IVH720916 JEX720916:JFD720916 JOT720916:JOZ720916 JYP720916:JYV720916 KIL720916:KIR720916 KSH720916:KSN720916 LCD720916:LCJ720916 LLZ720916:LMF720916 LVV720916:LWB720916 MFR720916:MFX720916 MPN720916:MPT720916 MZJ720916:MZP720916 NJF720916:NJL720916 NTB720916:NTH720916 OCX720916:ODD720916 OMT720916:OMZ720916 OWP720916:OWV720916 PGL720916:PGR720916 PQH720916:PQN720916 QAD720916:QAJ720916 QJZ720916:QKF720916 QTV720916:QUB720916 RDR720916:RDX720916 RNN720916:RNT720916 RXJ720916:RXP720916 SHF720916:SHL720916 SRB720916:SRH720916 TAX720916:TBD720916 TKT720916:TKZ720916 TUP720916:TUV720916 UEL720916:UER720916 UOH720916:UON720916 UYD720916:UYJ720916 VHZ720916:VIF720916 VRV720916:VSB720916 WBR720916:WBX720916 WLN720916:WLT720916 WVJ720916:WVP720916 B786452:H786452 IX786452:JD786452 ST786452:SZ786452 ACP786452:ACV786452 AML786452:AMR786452 AWH786452:AWN786452 BGD786452:BGJ786452 BPZ786452:BQF786452 BZV786452:CAB786452 CJR786452:CJX786452 CTN786452:CTT786452 DDJ786452:DDP786452 DNF786452:DNL786452 DXB786452:DXH786452 EGX786452:EHD786452 EQT786452:EQZ786452 FAP786452:FAV786452 FKL786452:FKR786452 FUH786452:FUN786452 GED786452:GEJ786452 GNZ786452:GOF786452 GXV786452:GYB786452 HHR786452:HHX786452 HRN786452:HRT786452 IBJ786452:IBP786452 ILF786452:ILL786452 IVB786452:IVH786452 JEX786452:JFD786452 JOT786452:JOZ786452 JYP786452:JYV786452 KIL786452:KIR786452 KSH786452:KSN786452 LCD786452:LCJ786452 LLZ786452:LMF786452 LVV786452:LWB786452 MFR786452:MFX786452 MPN786452:MPT786452 MZJ786452:MZP786452 NJF786452:NJL786452 NTB786452:NTH786452 OCX786452:ODD786452 OMT786452:OMZ786452 OWP786452:OWV786452 PGL786452:PGR786452 PQH786452:PQN786452 QAD786452:QAJ786452 QJZ786452:QKF786452 QTV786452:QUB786452 RDR786452:RDX786452 RNN786452:RNT786452 RXJ786452:RXP786452 SHF786452:SHL786452 SRB786452:SRH786452 TAX786452:TBD786452 TKT786452:TKZ786452 TUP786452:TUV786452 UEL786452:UER786452 UOH786452:UON786452 UYD786452:UYJ786452 VHZ786452:VIF786452 VRV786452:VSB786452 WBR786452:WBX786452 WLN786452:WLT786452 WVJ786452:WVP786452 B851988:H851988 IX851988:JD851988 ST851988:SZ851988 ACP851988:ACV851988 AML851988:AMR851988 AWH851988:AWN851988 BGD851988:BGJ851988 BPZ851988:BQF851988 BZV851988:CAB851988 CJR851988:CJX851988 CTN851988:CTT851988 DDJ851988:DDP851988 DNF851988:DNL851988 DXB851988:DXH851988 EGX851988:EHD851988 EQT851988:EQZ851988 FAP851988:FAV851988 FKL851988:FKR851988 FUH851988:FUN851988 GED851988:GEJ851988 GNZ851988:GOF851988 GXV851988:GYB851988 HHR851988:HHX851988 HRN851988:HRT851988 IBJ851988:IBP851988 ILF851988:ILL851988 IVB851988:IVH851988 JEX851988:JFD851988 JOT851988:JOZ851988 JYP851988:JYV851988 KIL851988:KIR851988 KSH851988:KSN851988 LCD851988:LCJ851988 LLZ851988:LMF851988 LVV851988:LWB851988 MFR851988:MFX851988 MPN851988:MPT851988 MZJ851988:MZP851988 NJF851988:NJL851988 NTB851988:NTH851988 OCX851988:ODD851988 OMT851988:OMZ851988 OWP851988:OWV851988 PGL851988:PGR851988 PQH851988:PQN851988 QAD851988:QAJ851988 QJZ851988:QKF851988 QTV851988:QUB851988 RDR851988:RDX851988 RNN851988:RNT851988 RXJ851988:RXP851988 SHF851988:SHL851988 SRB851988:SRH851988 TAX851988:TBD851988 TKT851988:TKZ851988 TUP851988:TUV851988 UEL851988:UER851988 UOH851988:UON851988 UYD851988:UYJ851988 VHZ851988:VIF851988 VRV851988:VSB851988 WBR851988:WBX851988 WLN851988:WLT851988 WVJ851988:WVP851988 B917524:H917524 IX917524:JD917524 ST917524:SZ917524 ACP917524:ACV917524 AML917524:AMR917524 AWH917524:AWN917524 BGD917524:BGJ917524 BPZ917524:BQF917524 BZV917524:CAB917524 CJR917524:CJX917524 CTN917524:CTT917524 DDJ917524:DDP917524 DNF917524:DNL917524 DXB917524:DXH917524 EGX917524:EHD917524 EQT917524:EQZ917524 FAP917524:FAV917524 FKL917524:FKR917524 FUH917524:FUN917524 GED917524:GEJ917524 GNZ917524:GOF917524 GXV917524:GYB917524 HHR917524:HHX917524 HRN917524:HRT917524 IBJ917524:IBP917524 ILF917524:ILL917524 IVB917524:IVH917524 JEX917524:JFD917524 JOT917524:JOZ917524 JYP917524:JYV917524 KIL917524:KIR917524 KSH917524:KSN917524 LCD917524:LCJ917524 LLZ917524:LMF917524 LVV917524:LWB917524 MFR917524:MFX917524 MPN917524:MPT917524 MZJ917524:MZP917524 NJF917524:NJL917524 NTB917524:NTH917524 OCX917524:ODD917524 OMT917524:OMZ917524 OWP917524:OWV917524 PGL917524:PGR917524 PQH917524:PQN917524 QAD917524:QAJ917524 QJZ917524:QKF917524 QTV917524:QUB917524 RDR917524:RDX917524 RNN917524:RNT917524 RXJ917524:RXP917524 SHF917524:SHL917524 SRB917524:SRH917524 TAX917524:TBD917524 TKT917524:TKZ917524 TUP917524:TUV917524 UEL917524:UER917524 UOH917524:UON917524 UYD917524:UYJ917524 VHZ917524:VIF917524 VRV917524:VSB917524 WBR917524:WBX917524 WLN917524:WLT917524 WVJ917524:WVP917524 B983060:H983060 IX983060:JD983060 ST983060:SZ983060 ACP983060:ACV983060 AML983060:AMR983060 AWH983060:AWN983060 BGD983060:BGJ983060 BPZ983060:BQF983060 BZV983060:CAB983060 CJR983060:CJX983060 CTN983060:CTT983060 DDJ983060:DDP983060 DNF983060:DNL983060 DXB983060:DXH983060 EGX983060:EHD983060 EQT983060:EQZ983060 FAP983060:FAV983060 FKL983060:FKR983060 FUH983060:FUN983060 GED983060:GEJ983060 GNZ983060:GOF983060 GXV983060:GYB983060 HHR983060:HHX983060 HRN983060:HRT983060 IBJ983060:IBP983060 ILF983060:ILL983060 IVB983060:IVH983060 JEX983060:JFD983060 JOT983060:JOZ983060 JYP983060:JYV983060 KIL983060:KIR983060 KSH983060:KSN983060 LCD983060:LCJ983060 LLZ983060:LMF983060 LVV983060:LWB983060 MFR983060:MFX983060 MPN983060:MPT983060 MZJ983060:MZP983060 NJF983060:NJL983060 NTB983060:NTH983060 OCX983060:ODD983060 OMT983060:OMZ983060 OWP983060:OWV983060 PGL983060:PGR983060 PQH983060:PQN983060 QAD983060:QAJ983060 QJZ983060:QKF983060 QTV983060:QUB983060 RDR983060:RDX983060 RNN983060:RNT983060 RXJ983060:RXP983060 SHF983060:SHL983060 SRB983060:SRH983060 TAX983060:TBD983060 TKT983060:TKZ983060 TUP983060:TUV983060 UEL983060:UER983060 UOH983060:UON983060 UYD983060:UYJ983060 VHZ983060:VIF983060 VRV983060:VSB983060 WBR983060:WBX983060 WLN983060:WLT983060 WVJ983060:WVP983060 B17:H17 IX17:JD17 ST17:SZ17 ACP17:ACV17 AML17:AMR17 AWH17:AWN17 BGD17:BGJ17 BPZ17:BQF17 BZV17:CAB17 CJR17:CJX17 CTN17:CTT17 DDJ17:DDP17 DNF17:DNL17 DXB17:DXH17 EGX17:EHD17 EQT17:EQZ17 FAP17:FAV17 FKL17:FKR17 FUH17:FUN17 GED17:GEJ17 GNZ17:GOF17 GXV17:GYB17 HHR17:HHX17 HRN17:HRT17 IBJ17:IBP17 ILF17:ILL17 IVB17:IVH17 JEX17:JFD17 JOT17:JOZ17 JYP17:JYV17 KIL17:KIR17 KSH17:KSN17 LCD17:LCJ17 LLZ17:LMF17 LVV17:LWB17 MFR17:MFX17 MPN17:MPT17 MZJ17:MZP17 NJF17:NJL17 NTB17:NTH17 OCX17:ODD17 OMT17:OMZ17 OWP17:OWV17 PGL17:PGR17 PQH17:PQN17 QAD17:QAJ17 QJZ17:QKF17 QTV17:QUB17 RDR17:RDX17 RNN17:RNT17 RXJ17:RXP17 SHF17:SHL17 SRB17:SRH17 TAX17:TBD17 TKT17:TKZ17 TUP17:TUV17 UEL17:UER17 UOH17:UON17 UYD17:UYJ17 VHZ17:VIF17 VRV17:VSB17 WBR17:WBX17 WLN17:WLT17 WVJ17:WVP17 B65553:H65553 IX65553:JD65553 ST65553:SZ65553 ACP65553:ACV65553 AML65553:AMR65553 AWH65553:AWN65553 BGD65553:BGJ65553 BPZ65553:BQF65553 BZV65553:CAB65553 CJR65553:CJX65553 CTN65553:CTT65553 DDJ65553:DDP65553 DNF65553:DNL65553 DXB65553:DXH65553 EGX65553:EHD65553 EQT65553:EQZ65553 FAP65553:FAV65553 FKL65553:FKR65553 FUH65553:FUN65553 GED65553:GEJ65553 GNZ65553:GOF65553 GXV65553:GYB65553 HHR65553:HHX65553 HRN65553:HRT65553 IBJ65553:IBP65553 ILF65553:ILL65553 IVB65553:IVH65553 JEX65553:JFD65553 JOT65553:JOZ65553 JYP65553:JYV65553 KIL65553:KIR65553 KSH65553:KSN65553 LCD65553:LCJ65553 LLZ65553:LMF65553 LVV65553:LWB65553 MFR65553:MFX65553 MPN65553:MPT65553 MZJ65553:MZP65553 NJF65553:NJL65553 NTB65553:NTH65553 OCX65553:ODD65553 OMT65553:OMZ65553 OWP65553:OWV65553 PGL65553:PGR65553 PQH65553:PQN65553 QAD65553:QAJ65553 QJZ65553:QKF65553 QTV65553:QUB65553 RDR65553:RDX65553 RNN65553:RNT65553 RXJ65553:RXP65553 SHF65553:SHL65553 SRB65553:SRH65553 TAX65553:TBD65553 TKT65553:TKZ65553 TUP65553:TUV65553 UEL65553:UER65553 UOH65553:UON65553 UYD65553:UYJ65553 VHZ65553:VIF65553 VRV65553:VSB65553 WBR65553:WBX65553 WLN65553:WLT65553 WVJ65553:WVP65553 B131089:H131089 IX131089:JD131089 ST131089:SZ131089 ACP131089:ACV131089 AML131089:AMR131089 AWH131089:AWN131089 BGD131089:BGJ131089 BPZ131089:BQF131089 BZV131089:CAB131089 CJR131089:CJX131089 CTN131089:CTT131089 DDJ131089:DDP131089 DNF131089:DNL131089 DXB131089:DXH131089 EGX131089:EHD131089 EQT131089:EQZ131089 FAP131089:FAV131089 FKL131089:FKR131089 FUH131089:FUN131089 GED131089:GEJ131089 GNZ131089:GOF131089 GXV131089:GYB131089 HHR131089:HHX131089 HRN131089:HRT131089 IBJ131089:IBP131089 ILF131089:ILL131089 IVB131089:IVH131089 JEX131089:JFD131089 JOT131089:JOZ131089 JYP131089:JYV131089 KIL131089:KIR131089 KSH131089:KSN131089 LCD131089:LCJ131089 LLZ131089:LMF131089 LVV131089:LWB131089 MFR131089:MFX131089 MPN131089:MPT131089 MZJ131089:MZP131089 NJF131089:NJL131089 NTB131089:NTH131089 OCX131089:ODD131089 OMT131089:OMZ131089 OWP131089:OWV131089 PGL131089:PGR131089 PQH131089:PQN131089 QAD131089:QAJ131089 QJZ131089:QKF131089 QTV131089:QUB131089 RDR131089:RDX131089 RNN131089:RNT131089 RXJ131089:RXP131089 SHF131089:SHL131089 SRB131089:SRH131089 TAX131089:TBD131089 TKT131089:TKZ131089 TUP131089:TUV131089 UEL131089:UER131089 UOH131089:UON131089 UYD131089:UYJ131089 VHZ131089:VIF131089 VRV131089:VSB131089 WBR131089:WBX131089 WLN131089:WLT131089 WVJ131089:WVP131089 B196625:H196625 IX196625:JD196625 ST196625:SZ196625 ACP196625:ACV196625 AML196625:AMR196625 AWH196625:AWN196625 BGD196625:BGJ196625 BPZ196625:BQF196625 BZV196625:CAB196625 CJR196625:CJX196625 CTN196625:CTT196625 DDJ196625:DDP196625 DNF196625:DNL196625 DXB196625:DXH196625 EGX196625:EHD196625 EQT196625:EQZ196625 FAP196625:FAV196625 FKL196625:FKR196625 FUH196625:FUN196625 GED196625:GEJ196625 GNZ196625:GOF196625 GXV196625:GYB196625 HHR196625:HHX196625 HRN196625:HRT196625 IBJ196625:IBP196625 ILF196625:ILL196625 IVB196625:IVH196625 JEX196625:JFD196625 JOT196625:JOZ196625 JYP196625:JYV196625 KIL196625:KIR196625 KSH196625:KSN196625 LCD196625:LCJ196625 LLZ196625:LMF196625 LVV196625:LWB196625 MFR196625:MFX196625 MPN196625:MPT196625 MZJ196625:MZP196625 NJF196625:NJL196625 NTB196625:NTH196625 OCX196625:ODD196625 OMT196625:OMZ196625 OWP196625:OWV196625 PGL196625:PGR196625 PQH196625:PQN196625 QAD196625:QAJ196625 QJZ196625:QKF196625 QTV196625:QUB196625 RDR196625:RDX196625 RNN196625:RNT196625 RXJ196625:RXP196625 SHF196625:SHL196625 SRB196625:SRH196625 TAX196625:TBD196625 TKT196625:TKZ196625 TUP196625:TUV196625 UEL196625:UER196625 UOH196625:UON196625 UYD196625:UYJ196625 VHZ196625:VIF196625 VRV196625:VSB196625 WBR196625:WBX196625 WLN196625:WLT196625 WVJ196625:WVP196625 B262161:H262161 IX262161:JD262161 ST262161:SZ262161 ACP262161:ACV262161 AML262161:AMR262161 AWH262161:AWN262161 BGD262161:BGJ262161 BPZ262161:BQF262161 BZV262161:CAB262161 CJR262161:CJX262161 CTN262161:CTT262161 DDJ262161:DDP262161 DNF262161:DNL262161 DXB262161:DXH262161 EGX262161:EHD262161 EQT262161:EQZ262161 FAP262161:FAV262161 FKL262161:FKR262161 FUH262161:FUN262161 GED262161:GEJ262161 GNZ262161:GOF262161 GXV262161:GYB262161 HHR262161:HHX262161 HRN262161:HRT262161 IBJ262161:IBP262161 ILF262161:ILL262161 IVB262161:IVH262161 JEX262161:JFD262161 JOT262161:JOZ262161 JYP262161:JYV262161 KIL262161:KIR262161 KSH262161:KSN262161 LCD262161:LCJ262161 LLZ262161:LMF262161 LVV262161:LWB262161 MFR262161:MFX262161 MPN262161:MPT262161 MZJ262161:MZP262161 NJF262161:NJL262161 NTB262161:NTH262161 OCX262161:ODD262161 OMT262161:OMZ262161 OWP262161:OWV262161 PGL262161:PGR262161 PQH262161:PQN262161 QAD262161:QAJ262161 QJZ262161:QKF262161 QTV262161:QUB262161 RDR262161:RDX262161 RNN262161:RNT262161 RXJ262161:RXP262161 SHF262161:SHL262161 SRB262161:SRH262161 TAX262161:TBD262161 TKT262161:TKZ262161 TUP262161:TUV262161 UEL262161:UER262161 UOH262161:UON262161 UYD262161:UYJ262161 VHZ262161:VIF262161 VRV262161:VSB262161 WBR262161:WBX262161 WLN262161:WLT262161 WVJ262161:WVP262161 B327697:H327697 IX327697:JD327697 ST327697:SZ327697 ACP327697:ACV327697 AML327697:AMR327697 AWH327697:AWN327697 BGD327697:BGJ327697 BPZ327697:BQF327697 BZV327697:CAB327697 CJR327697:CJX327697 CTN327697:CTT327697 DDJ327697:DDP327697 DNF327697:DNL327697 DXB327697:DXH327697 EGX327697:EHD327697 EQT327697:EQZ327697 FAP327697:FAV327697 FKL327697:FKR327697 FUH327697:FUN327697 GED327697:GEJ327697 GNZ327697:GOF327697 GXV327697:GYB327697 HHR327697:HHX327697 HRN327697:HRT327697 IBJ327697:IBP327697 ILF327697:ILL327697 IVB327697:IVH327697 JEX327697:JFD327697 JOT327697:JOZ327697 JYP327697:JYV327697 KIL327697:KIR327697 KSH327697:KSN327697 LCD327697:LCJ327697 LLZ327697:LMF327697 LVV327697:LWB327697 MFR327697:MFX327697 MPN327697:MPT327697 MZJ327697:MZP327697 NJF327697:NJL327697 NTB327697:NTH327697 OCX327697:ODD327697 OMT327697:OMZ327697 OWP327697:OWV327697 PGL327697:PGR327697 PQH327697:PQN327697 QAD327697:QAJ327697 QJZ327697:QKF327697 QTV327697:QUB327697 RDR327697:RDX327697 RNN327697:RNT327697 RXJ327697:RXP327697 SHF327697:SHL327697 SRB327697:SRH327697 TAX327697:TBD327697 TKT327697:TKZ327697 TUP327697:TUV327697 UEL327697:UER327697 UOH327697:UON327697 UYD327697:UYJ327697 VHZ327697:VIF327697 VRV327697:VSB327697 WBR327697:WBX327697 WLN327697:WLT327697 WVJ327697:WVP327697 B393233:H393233 IX393233:JD393233 ST393233:SZ393233 ACP393233:ACV393233 AML393233:AMR393233 AWH393233:AWN393233 BGD393233:BGJ393233 BPZ393233:BQF393233 BZV393233:CAB393233 CJR393233:CJX393233 CTN393233:CTT393233 DDJ393233:DDP393233 DNF393233:DNL393233 DXB393233:DXH393233 EGX393233:EHD393233 EQT393233:EQZ393233 FAP393233:FAV393233 FKL393233:FKR393233 FUH393233:FUN393233 GED393233:GEJ393233 GNZ393233:GOF393233 GXV393233:GYB393233 HHR393233:HHX393233 HRN393233:HRT393233 IBJ393233:IBP393233 ILF393233:ILL393233 IVB393233:IVH393233 JEX393233:JFD393233 JOT393233:JOZ393233 JYP393233:JYV393233 KIL393233:KIR393233 KSH393233:KSN393233 LCD393233:LCJ393233 LLZ393233:LMF393233 LVV393233:LWB393233 MFR393233:MFX393233 MPN393233:MPT393233 MZJ393233:MZP393233 NJF393233:NJL393233 NTB393233:NTH393233 OCX393233:ODD393233 OMT393233:OMZ393233 OWP393233:OWV393233 PGL393233:PGR393233 PQH393233:PQN393233 QAD393233:QAJ393233 QJZ393233:QKF393233 QTV393233:QUB393233 RDR393233:RDX393233 RNN393233:RNT393233 RXJ393233:RXP393233 SHF393233:SHL393233 SRB393233:SRH393233 TAX393233:TBD393233 TKT393233:TKZ393233 TUP393233:TUV393233 UEL393233:UER393233 UOH393233:UON393233 UYD393233:UYJ393233 VHZ393233:VIF393233 VRV393233:VSB393233 WBR393233:WBX393233 WLN393233:WLT393233 WVJ393233:WVP393233 B458769:H458769 IX458769:JD458769 ST458769:SZ458769 ACP458769:ACV458769 AML458769:AMR458769 AWH458769:AWN458769 BGD458769:BGJ458769 BPZ458769:BQF458769 BZV458769:CAB458769 CJR458769:CJX458769 CTN458769:CTT458769 DDJ458769:DDP458769 DNF458769:DNL458769 DXB458769:DXH458769 EGX458769:EHD458769 EQT458769:EQZ458769 FAP458769:FAV458769 FKL458769:FKR458769 FUH458769:FUN458769 GED458769:GEJ458769 GNZ458769:GOF458769 GXV458769:GYB458769 HHR458769:HHX458769 HRN458769:HRT458769 IBJ458769:IBP458769 ILF458769:ILL458769 IVB458769:IVH458769 JEX458769:JFD458769 JOT458769:JOZ458769 JYP458769:JYV458769 KIL458769:KIR458769 KSH458769:KSN458769 LCD458769:LCJ458769 LLZ458769:LMF458769 LVV458769:LWB458769 MFR458769:MFX458769 MPN458769:MPT458769 MZJ458769:MZP458769 NJF458769:NJL458769 NTB458769:NTH458769 OCX458769:ODD458769 OMT458769:OMZ458769 OWP458769:OWV458769 PGL458769:PGR458769 PQH458769:PQN458769 QAD458769:QAJ458769 QJZ458769:QKF458769 QTV458769:QUB458769 RDR458769:RDX458769 RNN458769:RNT458769 RXJ458769:RXP458769 SHF458769:SHL458769 SRB458769:SRH458769 TAX458769:TBD458769 TKT458769:TKZ458769 TUP458769:TUV458769 UEL458769:UER458769 UOH458769:UON458769 UYD458769:UYJ458769 VHZ458769:VIF458769 VRV458769:VSB458769 WBR458769:WBX458769 WLN458769:WLT458769 WVJ458769:WVP458769 B524305:H524305 IX524305:JD524305 ST524305:SZ524305 ACP524305:ACV524305 AML524305:AMR524305 AWH524305:AWN524305 BGD524305:BGJ524305 BPZ524305:BQF524305 BZV524305:CAB524305 CJR524305:CJX524305 CTN524305:CTT524305 DDJ524305:DDP524305 DNF524305:DNL524305 DXB524305:DXH524305 EGX524305:EHD524305 EQT524305:EQZ524305 FAP524305:FAV524305 FKL524305:FKR524305 FUH524305:FUN524305 GED524305:GEJ524305 GNZ524305:GOF524305 GXV524305:GYB524305 HHR524305:HHX524305 HRN524305:HRT524305 IBJ524305:IBP524305 ILF524305:ILL524305 IVB524305:IVH524305 JEX524305:JFD524305 JOT524305:JOZ524305 JYP524305:JYV524305 KIL524305:KIR524305 KSH524305:KSN524305 LCD524305:LCJ524305 LLZ524305:LMF524305 LVV524305:LWB524305 MFR524305:MFX524305 MPN524305:MPT524305 MZJ524305:MZP524305 NJF524305:NJL524305 NTB524305:NTH524305 OCX524305:ODD524305 OMT524305:OMZ524305 OWP524305:OWV524305 PGL524305:PGR524305 PQH524305:PQN524305 QAD524305:QAJ524305 QJZ524305:QKF524305 QTV524305:QUB524305 RDR524305:RDX524305 RNN524305:RNT524305 RXJ524305:RXP524305 SHF524305:SHL524305 SRB524305:SRH524305 TAX524305:TBD524305 TKT524305:TKZ524305 TUP524305:TUV524305 UEL524305:UER524305 UOH524305:UON524305 UYD524305:UYJ524305 VHZ524305:VIF524305 VRV524305:VSB524305 WBR524305:WBX524305 WLN524305:WLT524305 WVJ524305:WVP524305 B589841:H589841 IX589841:JD589841 ST589841:SZ589841 ACP589841:ACV589841 AML589841:AMR589841 AWH589841:AWN589841 BGD589841:BGJ589841 BPZ589841:BQF589841 BZV589841:CAB589841 CJR589841:CJX589841 CTN589841:CTT589841 DDJ589841:DDP589841 DNF589841:DNL589841 DXB589841:DXH589841 EGX589841:EHD589841 EQT589841:EQZ589841 FAP589841:FAV589841 FKL589841:FKR589841 FUH589841:FUN589841 GED589841:GEJ589841 GNZ589841:GOF589841 GXV589841:GYB589841 HHR589841:HHX589841 HRN589841:HRT589841 IBJ589841:IBP589841 ILF589841:ILL589841 IVB589841:IVH589841 JEX589841:JFD589841 JOT589841:JOZ589841 JYP589841:JYV589841 KIL589841:KIR589841 KSH589841:KSN589841 LCD589841:LCJ589841 LLZ589841:LMF589841 LVV589841:LWB589841 MFR589841:MFX589841 MPN589841:MPT589841 MZJ589841:MZP589841 NJF589841:NJL589841 NTB589841:NTH589841 OCX589841:ODD589841 OMT589841:OMZ589841 OWP589841:OWV589841 PGL589841:PGR589841 PQH589841:PQN589841 QAD589841:QAJ589841 QJZ589841:QKF589841 QTV589841:QUB589841 RDR589841:RDX589841 RNN589841:RNT589841 RXJ589841:RXP589841 SHF589841:SHL589841 SRB589841:SRH589841 TAX589841:TBD589841 TKT589841:TKZ589841 TUP589841:TUV589841 UEL589841:UER589841 UOH589841:UON589841 UYD589841:UYJ589841 VHZ589841:VIF589841 VRV589841:VSB589841 WBR589841:WBX589841 WLN589841:WLT589841 WVJ589841:WVP589841 B655377:H655377 IX655377:JD655377 ST655377:SZ655377 ACP655377:ACV655377 AML655377:AMR655377 AWH655377:AWN655377 BGD655377:BGJ655377 BPZ655377:BQF655377 BZV655377:CAB655377 CJR655377:CJX655377 CTN655377:CTT655377 DDJ655377:DDP655377 DNF655377:DNL655377 DXB655377:DXH655377 EGX655377:EHD655377 EQT655377:EQZ655377 FAP655377:FAV655377 FKL655377:FKR655377 FUH655377:FUN655377 GED655377:GEJ655377 GNZ655377:GOF655377 GXV655377:GYB655377 HHR655377:HHX655377 HRN655377:HRT655377 IBJ655377:IBP655377 ILF655377:ILL655377 IVB655377:IVH655377 JEX655377:JFD655377 JOT655377:JOZ655377 JYP655377:JYV655377 KIL655377:KIR655377 KSH655377:KSN655377 LCD655377:LCJ655377 LLZ655377:LMF655377 LVV655377:LWB655377 MFR655377:MFX655377 MPN655377:MPT655377 MZJ655377:MZP655377 NJF655377:NJL655377 NTB655377:NTH655377 OCX655377:ODD655377 OMT655377:OMZ655377 OWP655377:OWV655377 PGL655377:PGR655377 PQH655377:PQN655377 QAD655377:QAJ655377 QJZ655377:QKF655377 QTV655377:QUB655377 RDR655377:RDX655377 RNN655377:RNT655377 RXJ655377:RXP655377 SHF655377:SHL655377 SRB655377:SRH655377 TAX655377:TBD655377 TKT655377:TKZ655377 TUP655377:TUV655377 UEL655377:UER655377 UOH655377:UON655377 UYD655377:UYJ655377 VHZ655377:VIF655377 VRV655377:VSB655377 WBR655377:WBX655377 WLN655377:WLT655377 WVJ655377:WVP655377 B720913:H720913 IX720913:JD720913 ST720913:SZ720913 ACP720913:ACV720913 AML720913:AMR720913 AWH720913:AWN720913 BGD720913:BGJ720913 BPZ720913:BQF720913 BZV720913:CAB720913 CJR720913:CJX720913 CTN720913:CTT720913 DDJ720913:DDP720913 DNF720913:DNL720913 DXB720913:DXH720913 EGX720913:EHD720913 EQT720913:EQZ720913 FAP720913:FAV720913 FKL720913:FKR720913 FUH720913:FUN720913 GED720913:GEJ720913 GNZ720913:GOF720913 GXV720913:GYB720913 HHR720913:HHX720913 HRN720913:HRT720913 IBJ720913:IBP720913 ILF720913:ILL720913 IVB720913:IVH720913 JEX720913:JFD720913 JOT720913:JOZ720913 JYP720913:JYV720913 KIL720913:KIR720913 KSH720913:KSN720913 LCD720913:LCJ720913 LLZ720913:LMF720913 LVV720913:LWB720913 MFR720913:MFX720913 MPN720913:MPT720913 MZJ720913:MZP720913 NJF720913:NJL720913 NTB720913:NTH720913 OCX720913:ODD720913 OMT720913:OMZ720913 OWP720913:OWV720913 PGL720913:PGR720913 PQH720913:PQN720913 QAD720913:QAJ720913 QJZ720913:QKF720913 QTV720913:QUB720913 RDR720913:RDX720913 RNN720913:RNT720913 RXJ720913:RXP720913 SHF720913:SHL720913 SRB720913:SRH720913 TAX720913:TBD720913 TKT720913:TKZ720913 TUP720913:TUV720913 UEL720913:UER720913 UOH720913:UON720913 UYD720913:UYJ720913 VHZ720913:VIF720913 VRV720913:VSB720913 WBR720913:WBX720913 WLN720913:WLT720913 WVJ720913:WVP720913 B786449:H786449 IX786449:JD786449 ST786449:SZ786449 ACP786449:ACV786449 AML786449:AMR786449 AWH786449:AWN786449 BGD786449:BGJ786449 BPZ786449:BQF786449 BZV786449:CAB786449 CJR786449:CJX786449 CTN786449:CTT786449 DDJ786449:DDP786449 DNF786449:DNL786449 DXB786449:DXH786449 EGX786449:EHD786449 EQT786449:EQZ786449 FAP786449:FAV786449 FKL786449:FKR786449 FUH786449:FUN786449 GED786449:GEJ786449 GNZ786449:GOF786449 GXV786449:GYB786449 HHR786449:HHX786449 HRN786449:HRT786449 IBJ786449:IBP786449 ILF786449:ILL786449 IVB786449:IVH786449 JEX786449:JFD786449 JOT786449:JOZ786449 JYP786449:JYV786449 KIL786449:KIR786449 KSH786449:KSN786449 LCD786449:LCJ786449 LLZ786449:LMF786449 LVV786449:LWB786449 MFR786449:MFX786449 MPN786449:MPT786449 MZJ786449:MZP786449 NJF786449:NJL786449 NTB786449:NTH786449 OCX786449:ODD786449 OMT786449:OMZ786449 OWP786449:OWV786449 PGL786449:PGR786449 PQH786449:PQN786449 QAD786449:QAJ786449 QJZ786449:QKF786449 QTV786449:QUB786449 RDR786449:RDX786449 RNN786449:RNT786449 RXJ786449:RXP786449 SHF786449:SHL786449 SRB786449:SRH786449 TAX786449:TBD786449 TKT786449:TKZ786449 TUP786449:TUV786449 UEL786449:UER786449 UOH786449:UON786449 UYD786449:UYJ786449 VHZ786449:VIF786449 VRV786449:VSB786449 WBR786449:WBX786449 WLN786449:WLT786449 WVJ786449:WVP786449 B851985:H851985 IX851985:JD851985 ST851985:SZ851985 ACP851985:ACV851985 AML851985:AMR851985 AWH851985:AWN851985 BGD851985:BGJ851985 BPZ851985:BQF851985 BZV851985:CAB851985 CJR851985:CJX851985 CTN851985:CTT851985 DDJ851985:DDP851985 DNF851985:DNL851985 DXB851985:DXH851985 EGX851985:EHD851985 EQT851985:EQZ851985 FAP851985:FAV851985 FKL851985:FKR851985 FUH851985:FUN851985 GED851985:GEJ851985 GNZ851985:GOF851985 GXV851985:GYB851985 HHR851985:HHX851985 HRN851985:HRT851985 IBJ851985:IBP851985 ILF851985:ILL851985 IVB851985:IVH851985 JEX851985:JFD851985 JOT851985:JOZ851985 JYP851985:JYV851985 KIL851985:KIR851985 KSH851985:KSN851985 LCD851985:LCJ851985 LLZ851985:LMF851985 LVV851985:LWB851985 MFR851985:MFX851985 MPN851985:MPT851985 MZJ851985:MZP851985 NJF851985:NJL851985 NTB851985:NTH851985 OCX851985:ODD851985 OMT851985:OMZ851985 OWP851985:OWV851985 PGL851985:PGR851985 PQH851985:PQN851985 QAD851985:QAJ851985 QJZ851985:QKF851985 QTV851985:QUB851985 RDR851985:RDX851985 RNN851985:RNT851985 RXJ851985:RXP851985 SHF851985:SHL851985 SRB851985:SRH851985 TAX851985:TBD851985 TKT851985:TKZ851985 TUP851985:TUV851985 UEL851985:UER851985 UOH851985:UON851985 UYD851985:UYJ851985 VHZ851985:VIF851985 VRV851985:VSB851985 WBR851985:WBX851985 WLN851985:WLT851985 WVJ851985:WVP851985 B917521:H917521 IX917521:JD917521 ST917521:SZ917521 ACP917521:ACV917521 AML917521:AMR917521 AWH917521:AWN917521 BGD917521:BGJ917521 BPZ917521:BQF917521 BZV917521:CAB917521 CJR917521:CJX917521 CTN917521:CTT917521 DDJ917521:DDP917521 DNF917521:DNL917521 DXB917521:DXH917521 EGX917521:EHD917521 EQT917521:EQZ917521 FAP917521:FAV917521 FKL917521:FKR917521 FUH917521:FUN917521 GED917521:GEJ917521 GNZ917521:GOF917521 GXV917521:GYB917521 HHR917521:HHX917521 HRN917521:HRT917521 IBJ917521:IBP917521 ILF917521:ILL917521 IVB917521:IVH917521 JEX917521:JFD917521 JOT917521:JOZ917521 JYP917521:JYV917521 KIL917521:KIR917521 KSH917521:KSN917521 LCD917521:LCJ917521 LLZ917521:LMF917521 LVV917521:LWB917521 MFR917521:MFX917521 MPN917521:MPT917521 MZJ917521:MZP917521 NJF917521:NJL917521 NTB917521:NTH917521 OCX917521:ODD917521 OMT917521:OMZ917521 OWP917521:OWV917521 PGL917521:PGR917521 PQH917521:PQN917521 QAD917521:QAJ917521 QJZ917521:QKF917521 QTV917521:QUB917521 RDR917521:RDX917521 RNN917521:RNT917521 RXJ917521:RXP917521 SHF917521:SHL917521 SRB917521:SRH917521 TAX917521:TBD917521 TKT917521:TKZ917521 TUP917521:TUV917521 UEL917521:UER917521 UOH917521:UON917521 UYD917521:UYJ917521 VHZ917521:VIF917521 VRV917521:VSB917521 WBR917521:WBX917521 WLN917521:WLT917521 WVJ917521:WVP917521 B983057:H983057 IX983057:JD983057 ST983057:SZ983057 ACP983057:ACV983057 AML983057:AMR983057 AWH983057:AWN983057 BGD983057:BGJ983057 BPZ983057:BQF983057 BZV983057:CAB983057 CJR983057:CJX983057 CTN983057:CTT983057 DDJ983057:DDP983057 DNF983057:DNL983057 DXB983057:DXH983057 EGX983057:EHD983057 EQT983057:EQZ983057 FAP983057:FAV983057 FKL983057:FKR983057 FUH983057:FUN983057 GED983057:GEJ983057 GNZ983057:GOF983057 GXV983057:GYB983057 HHR983057:HHX983057 HRN983057:HRT983057 IBJ983057:IBP983057 ILF983057:ILL983057 IVB983057:IVH983057 JEX983057:JFD983057 JOT983057:JOZ983057 JYP983057:JYV983057 KIL983057:KIR983057 KSH983057:KSN983057 LCD983057:LCJ983057 LLZ983057:LMF983057 LVV983057:LWB983057 MFR983057:MFX983057 MPN983057:MPT983057 MZJ983057:MZP983057 NJF983057:NJL983057 NTB983057:NTH983057 OCX983057:ODD983057 OMT983057:OMZ983057 OWP983057:OWV983057 PGL983057:PGR983057 PQH983057:PQN983057 QAD983057:QAJ983057 QJZ983057:QKF983057 QTV983057:QUB983057 RDR983057:RDX983057 RNN983057:RNT983057 RXJ983057:RXP983057 SHF983057:SHL983057 SRB983057:SRH983057 TAX983057:TBD983057 TKT983057:TKZ983057 TUP983057:TUV983057 UEL983057:UER983057 UOH983057:UON983057 UYD983057:UYJ983057 VHZ983057:VIF983057 VRV983057:VSB983057 WBR983057:WBX983057 WLN983057:WLT983057 WVJ983057:WVP983057 B14:H14 IX14:JD14 ST14:SZ14 ACP14:ACV14 AML14:AMR14 AWH14:AWN14 BGD14:BGJ14 BPZ14:BQF14 BZV14:CAB14 CJR14:CJX14 CTN14:CTT14 DDJ14:DDP14 DNF14:DNL14 DXB14:DXH14 EGX14:EHD14 EQT14:EQZ14 FAP14:FAV14 FKL14:FKR14 FUH14:FUN14 GED14:GEJ14 GNZ14:GOF14 GXV14:GYB14 HHR14:HHX14 HRN14:HRT14 IBJ14:IBP14 ILF14:ILL14 IVB14:IVH14 JEX14:JFD14 JOT14:JOZ14 JYP14:JYV14 KIL14:KIR14 KSH14:KSN14 LCD14:LCJ14 LLZ14:LMF14 LVV14:LWB14 MFR14:MFX14 MPN14:MPT14 MZJ14:MZP14 NJF14:NJL14 NTB14:NTH14 OCX14:ODD14 OMT14:OMZ14 OWP14:OWV14 PGL14:PGR14 PQH14:PQN14 QAD14:QAJ14 QJZ14:QKF14 QTV14:QUB14 RDR14:RDX14 RNN14:RNT14 RXJ14:RXP14 SHF14:SHL14 SRB14:SRH14 TAX14:TBD14 TKT14:TKZ14 TUP14:TUV14 UEL14:UER14 UOH14:UON14 UYD14:UYJ14 VHZ14:VIF14 VRV14:VSB14 WBR14:WBX14 WLN14:WLT14 WVJ14:WVP14 B65550:H65550 IX65550:JD65550 ST65550:SZ65550 ACP65550:ACV65550 AML65550:AMR65550 AWH65550:AWN65550 BGD65550:BGJ65550 BPZ65550:BQF65550 BZV65550:CAB65550 CJR65550:CJX65550 CTN65550:CTT65550 DDJ65550:DDP65550 DNF65550:DNL65550 DXB65550:DXH65550 EGX65550:EHD65550 EQT65550:EQZ65550 FAP65550:FAV65550 FKL65550:FKR65550 FUH65550:FUN65550 GED65550:GEJ65550 GNZ65550:GOF65550 GXV65550:GYB65550 HHR65550:HHX65550 HRN65550:HRT65550 IBJ65550:IBP65550 ILF65550:ILL65550 IVB65550:IVH65550 JEX65550:JFD65550 JOT65550:JOZ65550 JYP65550:JYV65550 KIL65550:KIR65550 KSH65550:KSN65550 LCD65550:LCJ65550 LLZ65550:LMF65550 LVV65550:LWB65550 MFR65550:MFX65550 MPN65550:MPT65550 MZJ65550:MZP65550 NJF65550:NJL65550 NTB65550:NTH65550 OCX65550:ODD65550 OMT65550:OMZ65550 OWP65550:OWV65550 PGL65550:PGR65550 PQH65550:PQN65550 QAD65550:QAJ65550 QJZ65550:QKF65550 QTV65550:QUB65550 RDR65550:RDX65550 RNN65550:RNT65550 RXJ65550:RXP65550 SHF65550:SHL65550 SRB65550:SRH65550 TAX65550:TBD65550 TKT65550:TKZ65550 TUP65550:TUV65550 UEL65550:UER65550 UOH65550:UON65550 UYD65550:UYJ65550 VHZ65550:VIF65550 VRV65550:VSB65550 WBR65550:WBX65550 WLN65550:WLT65550 WVJ65550:WVP65550 B131086:H131086 IX131086:JD131086 ST131086:SZ131086 ACP131086:ACV131086 AML131086:AMR131086 AWH131086:AWN131086 BGD131086:BGJ131086 BPZ131086:BQF131086 BZV131086:CAB131086 CJR131086:CJX131086 CTN131086:CTT131086 DDJ131086:DDP131086 DNF131086:DNL131086 DXB131086:DXH131086 EGX131086:EHD131086 EQT131086:EQZ131086 FAP131086:FAV131086 FKL131086:FKR131086 FUH131086:FUN131086 GED131086:GEJ131086 GNZ131086:GOF131086 GXV131086:GYB131086 HHR131086:HHX131086 HRN131086:HRT131086 IBJ131086:IBP131086 ILF131086:ILL131086 IVB131086:IVH131086 JEX131086:JFD131086 JOT131086:JOZ131086 JYP131086:JYV131086 KIL131086:KIR131086 KSH131086:KSN131086 LCD131086:LCJ131086 LLZ131086:LMF131086 LVV131086:LWB131086 MFR131086:MFX131086 MPN131086:MPT131086 MZJ131086:MZP131086 NJF131086:NJL131086 NTB131086:NTH131086 OCX131086:ODD131086 OMT131086:OMZ131086 OWP131086:OWV131086 PGL131086:PGR131086 PQH131086:PQN131086 QAD131086:QAJ131086 QJZ131086:QKF131086 QTV131086:QUB131086 RDR131086:RDX131086 RNN131086:RNT131086 RXJ131086:RXP131086 SHF131086:SHL131086 SRB131086:SRH131086 TAX131086:TBD131086 TKT131086:TKZ131086 TUP131086:TUV131086 UEL131086:UER131086 UOH131086:UON131086 UYD131086:UYJ131086 VHZ131086:VIF131086 VRV131086:VSB131086 WBR131086:WBX131086 WLN131086:WLT131086 WVJ131086:WVP131086 B196622:H196622 IX196622:JD196622 ST196622:SZ196622 ACP196622:ACV196622 AML196622:AMR196622 AWH196622:AWN196622 BGD196622:BGJ196622 BPZ196622:BQF196622 BZV196622:CAB196622 CJR196622:CJX196622 CTN196622:CTT196622 DDJ196622:DDP196622 DNF196622:DNL196622 DXB196622:DXH196622 EGX196622:EHD196622 EQT196622:EQZ196622 FAP196622:FAV196622 FKL196622:FKR196622 FUH196622:FUN196622 GED196622:GEJ196622 GNZ196622:GOF196622 GXV196622:GYB196622 HHR196622:HHX196622 HRN196622:HRT196622 IBJ196622:IBP196622 ILF196622:ILL196622 IVB196622:IVH196622 JEX196622:JFD196622 JOT196622:JOZ196622 JYP196622:JYV196622 KIL196622:KIR196622 KSH196622:KSN196622 LCD196622:LCJ196622 LLZ196622:LMF196622 LVV196622:LWB196622 MFR196622:MFX196622 MPN196622:MPT196622 MZJ196622:MZP196622 NJF196622:NJL196622 NTB196622:NTH196622 OCX196622:ODD196622 OMT196622:OMZ196622 OWP196622:OWV196622 PGL196622:PGR196622 PQH196622:PQN196622 QAD196622:QAJ196622 QJZ196622:QKF196622 QTV196622:QUB196622 RDR196622:RDX196622 RNN196622:RNT196622 RXJ196622:RXP196622 SHF196622:SHL196622 SRB196622:SRH196622 TAX196622:TBD196622 TKT196622:TKZ196622 TUP196622:TUV196622 UEL196622:UER196622 UOH196622:UON196622 UYD196622:UYJ196622 VHZ196622:VIF196622 VRV196622:VSB196622 WBR196622:WBX196622 WLN196622:WLT196622 WVJ196622:WVP196622 B262158:H262158 IX262158:JD262158 ST262158:SZ262158 ACP262158:ACV262158 AML262158:AMR262158 AWH262158:AWN262158 BGD262158:BGJ262158 BPZ262158:BQF262158 BZV262158:CAB262158 CJR262158:CJX262158 CTN262158:CTT262158 DDJ262158:DDP262158 DNF262158:DNL262158 DXB262158:DXH262158 EGX262158:EHD262158 EQT262158:EQZ262158 FAP262158:FAV262158 FKL262158:FKR262158 FUH262158:FUN262158 GED262158:GEJ262158 GNZ262158:GOF262158 GXV262158:GYB262158 HHR262158:HHX262158 HRN262158:HRT262158 IBJ262158:IBP262158 ILF262158:ILL262158 IVB262158:IVH262158 JEX262158:JFD262158 JOT262158:JOZ262158 JYP262158:JYV262158 KIL262158:KIR262158 KSH262158:KSN262158 LCD262158:LCJ262158 LLZ262158:LMF262158 LVV262158:LWB262158 MFR262158:MFX262158 MPN262158:MPT262158 MZJ262158:MZP262158 NJF262158:NJL262158 NTB262158:NTH262158 OCX262158:ODD262158 OMT262158:OMZ262158 OWP262158:OWV262158 PGL262158:PGR262158 PQH262158:PQN262158 QAD262158:QAJ262158 QJZ262158:QKF262158 QTV262158:QUB262158 RDR262158:RDX262158 RNN262158:RNT262158 RXJ262158:RXP262158 SHF262158:SHL262158 SRB262158:SRH262158 TAX262158:TBD262158 TKT262158:TKZ262158 TUP262158:TUV262158 UEL262158:UER262158 UOH262158:UON262158 UYD262158:UYJ262158 VHZ262158:VIF262158 VRV262158:VSB262158 WBR262158:WBX262158 WLN262158:WLT262158 WVJ262158:WVP262158 B327694:H327694 IX327694:JD327694 ST327694:SZ327694 ACP327694:ACV327694 AML327694:AMR327694 AWH327694:AWN327694 BGD327694:BGJ327694 BPZ327694:BQF327694 BZV327694:CAB327694 CJR327694:CJX327694 CTN327694:CTT327694 DDJ327694:DDP327694 DNF327694:DNL327694 DXB327694:DXH327694 EGX327694:EHD327694 EQT327694:EQZ327694 FAP327694:FAV327694 FKL327694:FKR327694 FUH327694:FUN327694 GED327694:GEJ327694 GNZ327694:GOF327694 GXV327694:GYB327694 HHR327694:HHX327694 HRN327694:HRT327694 IBJ327694:IBP327694 ILF327694:ILL327694 IVB327694:IVH327694 JEX327694:JFD327694 JOT327694:JOZ327694 JYP327694:JYV327694 KIL327694:KIR327694 KSH327694:KSN327694 LCD327694:LCJ327694 LLZ327694:LMF327694 LVV327694:LWB327694 MFR327694:MFX327694 MPN327694:MPT327694 MZJ327694:MZP327694 NJF327694:NJL327694 NTB327694:NTH327694 OCX327694:ODD327694 OMT327694:OMZ327694 OWP327694:OWV327694 PGL327694:PGR327694 PQH327694:PQN327694 QAD327694:QAJ327694 QJZ327694:QKF327694 QTV327694:QUB327694 RDR327694:RDX327694 RNN327694:RNT327694 RXJ327694:RXP327694 SHF327694:SHL327694 SRB327694:SRH327694 TAX327694:TBD327694 TKT327694:TKZ327694 TUP327694:TUV327694 UEL327694:UER327694 UOH327694:UON327694 UYD327694:UYJ327694 VHZ327694:VIF327694 VRV327694:VSB327694 WBR327694:WBX327694 WLN327694:WLT327694 WVJ327694:WVP327694 B393230:H393230 IX393230:JD393230 ST393230:SZ393230 ACP393230:ACV393230 AML393230:AMR393230 AWH393230:AWN393230 BGD393230:BGJ393230 BPZ393230:BQF393230 BZV393230:CAB393230 CJR393230:CJX393230 CTN393230:CTT393230 DDJ393230:DDP393230 DNF393230:DNL393230 DXB393230:DXH393230 EGX393230:EHD393230 EQT393230:EQZ393230 FAP393230:FAV393230 FKL393230:FKR393230 FUH393230:FUN393230 GED393230:GEJ393230 GNZ393230:GOF393230 GXV393230:GYB393230 HHR393230:HHX393230 HRN393230:HRT393230 IBJ393230:IBP393230 ILF393230:ILL393230 IVB393230:IVH393230 JEX393230:JFD393230 JOT393230:JOZ393230 JYP393230:JYV393230 KIL393230:KIR393230 KSH393230:KSN393230 LCD393230:LCJ393230 LLZ393230:LMF393230 LVV393230:LWB393230 MFR393230:MFX393230 MPN393230:MPT393230 MZJ393230:MZP393230 NJF393230:NJL393230 NTB393230:NTH393230 OCX393230:ODD393230 OMT393230:OMZ393230 OWP393230:OWV393230 PGL393230:PGR393230 PQH393230:PQN393230 QAD393230:QAJ393230 QJZ393230:QKF393230 QTV393230:QUB393230 RDR393230:RDX393230 RNN393230:RNT393230 RXJ393230:RXP393230 SHF393230:SHL393230 SRB393230:SRH393230 TAX393230:TBD393230 TKT393230:TKZ393230 TUP393230:TUV393230 UEL393230:UER393230 UOH393230:UON393230 UYD393230:UYJ393230 VHZ393230:VIF393230 VRV393230:VSB393230 WBR393230:WBX393230 WLN393230:WLT393230 WVJ393230:WVP393230 B458766:H458766 IX458766:JD458766 ST458766:SZ458766 ACP458766:ACV458766 AML458766:AMR458766 AWH458766:AWN458766 BGD458766:BGJ458766 BPZ458766:BQF458766 BZV458766:CAB458766 CJR458766:CJX458766 CTN458766:CTT458766 DDJ458766:DDP458766 DNF458766:DNL458766 DXB458766:DXH458766 EGX458766:EHD458766 EQT458766:EQZ458766 FAP458766:FAV458766 FKL458766:FKR458766 FUH458766:FUN458766 GED458766:GEJ458766 GNZ458766:GOF458766 GXV458766:GYB458766 HHR458766:HHX458766 HRN458766:HRT458766 IBJ458766:IBP458766 ILF458766:ILL458766 IVB458766:IVH458766 JEX458766:JFD458766 JOT458766:JOZ458766 JYP458766:JYV458766 KIL458766:KIR458766 KSH458766:KSN458766 LCD458766:LCJ458766 LLZ458766:LMF458766 LVV458766:LWB458766 MFR458766:MFX458766 MPN458766:MPT458766 MZJ458766:MZP458766 NJF458766:NJL458766 NTB458766:NTH458766 OCX458766:ODD458766 OMT458766:OMZ458766 OWP458766:OWV458766 PGL458766:PGR458766 PQH458766:PQN458766 QAD458766:QAJ458766 QJZ458766:QKF458766 QTV458766:QUB458766 RDR458766:RDX458766 RNN458766:RNT458766 RXJ458766:RXP458766 SHF458766:SHL458766 SRB458766:SRH458766 TAX458766:TBD458766 TKT458766:TKZ458766 TUP458766:TUV458766 UEL458766:UER458766 UOH458766:UON458766 UYD458766:UYJ458766 VHZ458766:VIF458766 VRV458766:VSB458766 WBR458766:WBX458766 WLN458766:WLT458766 WVJ458766:WVP458766 B524302:H524302 IX524302:JD524302 ST524302:SZ524302 ACP524302:ACV524302 AML524302:AMR524302 AWH524302:AWN524302 BGD524302:BGJ524302 BPZ524302:BQF524302 BZV524302:CAB524302 CJR524302:CJX524302 CTN524302:CTT524302 DDJ524302:DDP524302 DNF524302:DNL524302 DXB524302:DXH524302 EGX524302:EHD524302 EQT524302:EQZ524302 FAP524302:FAV524302 FKL524302:FKR524302 FUH524302:FUN524302 GED524302:GEJ524302 GNZ524302:GOF524302 GXV524302:GYB524302 HHR524302:HHX524302 HRN524302:HRT524302 IBJ524302:IBP524302 ILF524302:ILL524302 IVB524302:IVH524302 JEX524302:JFD524302 JOT524302:JOZ524302 JYP524302:JYV524302 KIL524302:KIR524302 KSH524302:KSN524302 LCD524302:LCJ524302 LLZ524302:LMF524302 LVV524302:LWB524302 MFR524302:MFX524302 MPN524302:MPT524302 MZJ524302:MZP524302 NJF524302:NJL524302 NTB524302:NTH524302 OCX524302:ODD524302 OMT524302:OMZ524302 OWP524302:OWV524302 PGL524302:PGR524302 PQH524302:PQN524302 QAD524302:QAJ524302 QJZ524302:QKF524302 QTV524302:QUB524302 RDR524302:RDX524302 RNN524302:RNT524302 RXJ524302:RXP524302 SHF524302:SHL524302 SRB524302:SRH524302 TAX524302:TBD524302 TKT524302:TKZ524302 TUP524302:TUV524302 UEL524302:UER524302 UOH524302:UON524302 UYD524302:UYJ524302 VHZ524302:VIF524302 VRV524302:VSB524302 WBR524302:WBX524302 WLN524302:WLT524302 WVJ524302:WVP524302 B589838:H589838 IX589838:JD589838 ST589838:SZ589838 ACP589838:ACV589838 AML589838:AMR589838 AWH589838:AWN589838 BGD589838:BGJ589838 BPZ589838:BQF589838 BZV589838:CAB589838 CJR589838:CJX589838 CTN589838:CTT589838 DDJ589838:DDP589838 DNF589838:DNL589838 DXB589838:DXH589838 EGX589838:EHD589838 EQT589838:EQZ589838 FAP589838:FAV589838 FKL589838:FKR589838 FUH589838:FUN589838 GED589838:GEJ589838 GNZ589838:GOF589838 GXV589838:GYB589838 HHR589838:HHX589838 HRN589838:HRT589838 IBJ589838:IBP589838 ILF589838:ILL589838 IVB589838:IVH589838 JEX589838:JFD589838 JOT589838:JOZ589838 JYP589838:JYV589838 KIL589838:KIR589838 KSH589838:KSN589838 LCD589838:LCJ589838 LLZ589838:LMF589838 LVV589838:LWB589838 MFR589838:MFX589838 MPN589838:MPT589838 MZJ589838:MZP589838 NJF589838:NJL589838 NTB589838:NTH589838 OCX589838:ODD589838 OMT589838:OMZ589838 OWP589838:OWV589838 PGL589838:PGR589838 PQH589838:PQN589838 QAD589838:QAJ589838 QJZ589838:QKF589838 QTV589838:QUB589838 RDR589838:RDX589838 RNN589838:RNT589838 RXJ589838:RXP589838 SHF589838:SHL589838 SRB589838:SRH589838 TAX589838:TBD589838 TKT589838:TKZ589838 TUP589838:TUV589838 UEL589838:UER589838 UOH589838:UON589838 UYD589838:UYJ589838 VHZ589838:VIF589838 VRV589838:VSB589838 WBR589838:WBX589838 WLN589838:WLT589838 WVJ589838:WVP589838 B655374:H655374 IX655374:JD655374 ST655374:SZ655374 ACP655374:ACV655374 AML655374:AMR655374 AWH655374:AWN655374 BGD655374:BGJ655374 BPZ655374:BQF655374 BZV655374:CAB655374 CJR655374:CJX655374 CTN655374:CTT655374 DDJ655374:DDP655374 DNF655374:DNL655374 DXB655374:DXH655374 EGX655374:EHD655374 EQT655374:EQZ655374 FAP655374:FAV655374 FKL655374:FKR655374 FUH655374:FUN655374 GED655374:GEJ655374 GNZ655374:GOF655374 GXV655374:GYB655374 HHR655374:HHX655374 HRN655374:HRT655374 IBJ655374:IBP655374 ILF655374:ILL655374 IVB655374:IVH655374 JEX655374:JFD655374 JOT655374:JOZ655374 JYP655374:JYV655374 KIL655374:KIR655374 KSH655374:KSN655374 LCD655374:LCJ655374 LLZ655374:LMF655374 LVV655374:LWB655374 MFR655374:MFX655374 MPN655374:MPT655374 MZJ655374:MZP655374 NJF655374:NJL655374 NTB655374:NTH655374 OCX655374:ODD655374 OMT655374:OMZ655374 OWP655374:OWV655374 PGL655374:PGR655374 PQH655374:PQN655374 QAD655374:QAJ655374 QJZ655374:QKF655374 QTV655374:QUB655374 RDR655374:RDX655374 RNN655374:RNT655374 RXJ655374:RXP655374 SHF655374:SHL655374 SRB655374:SRH655374 TAX655374:TBD655374 TKT655374:TKZ655374 TUP655374:TUV655374 UEL655374:UER655374 UOH655374:UON655374 UYD655374:UYJ655374 VHZ655374:VIF655374 VRV655374:VSB655374 WBR655374:WBX655374 WLN655374:WLT655374 WVJ655374:WVP655374 B720910:H720910 IX720910:JD720910 ST720910:SZ720910 ACP720910:ACV720910 AML720910:AMR720910 AWH720910:AWN720910 BGD720910:BGJ720910 BPZ720910:BQF720910 BZV720910:CAB720910 CJR720910:CJX720910 CTN720910:CTT720910 DDJ720910:DDP720910 DNF720910:DNL720910 DXB720910:DXH720910 EGX720910:EHD720910 EQT720910:EQZ720910 FAP720910:FAV720910 FKL720910:FKR720910 FUH720910:FUN720910 GED720910:GEJ720910 GNZ720910:GOF720910 GXV720910:GYB720910 HHR720910:HHX720910 HRN720910:HRT720910 IBJ720910:IBP720910 ILF720910:ILL720910 IVB720910:IVH720910 JEX720910:JFD720910 JOT720910:JOZ720910 JYP720910:JYV720910 KIL720910:KIR720910 KSH720910:KSN720910 LCD720910:LCJ720910 LLZ720910:LMF720910 LVV720910:LWB720910 MFR720910:MFX720910 MPN720910:MPT720910 MZJ720910:MZP720910 NJF720910:NJL720910 NTB720910:NTH720910 OCX720910:ODD720910 OMT720910:OMZ720910 OWP720910:OWV720910 PGL720910:PGR720910 PQH720910:PQN720910 QAD720910:QAJ720910 QJZ720910:QKF720910 QTV720910:QUB720910 RDR720910:RDX720910 RNN720910:RNT720910 RXJ720910:RXP720910 SHF720910:SHL720910 SRB720910:SRH720910 TAX720910:TBD720910 TKT720910:TKZ720910 TUP720910:TUV720910 UEL720910:UER720910 UOH720910:UON720910 UYD720910:UYJ720910 VHZ720910:VIF720910 VRV720910:VSB720910 WBR720910:WBX720910 WLN720910:WLT720910 WVJ720910:WVP720910 B786446:H786446 IX786446:JD786446 ST786446:SZ786446 ACP786446:ACV786446 AML786446:AMR786446 AWH786446:AWN786446 BGD786446:BGJ786446 BPZ786446:BQF786446 BZV786446:CAB786446 CJR786446:CJX786446 CTN786446:CTT786446 DDJ786446:DDP786446 DNF786446:DNL786446 DXB786446:DXH786446 EGX786446:EHD786446 EQT786446:EQZ786446 FAP786446:FAV786446 FKL786446:FKR786446 FUH786446:FUN786446 GED786446:GEJ786446 GNZ786446:GOF786446 GXV786446:GYB786446 HHR786446:HHX786446 HRN786446:HRT786446 IBJ786446:IBP786446 ILF786446:ILL786446 IVB786446:IVH786446 JEX786446:JFD786446 JOT786446:JOZ786446 JYP786446:JYV786446 KIL786446:KIR786446 KSH786446:KSN786446 LCD786446:LCJ786446 LLZ786446:LMF786446 LVV786446:LWB786446 MFR786446:MFX786446 MPN786446:MPT786446 MZJ786446:MZP786446 NJF786446:NJL786446 NTB786446:NTH786446 OCX786446:ODD786446 OMT786446:OMZ786446 OWP786446:OWV786446 PGL786446:PGR786446 PQH786446:PQN786446 QAD786446:QAJ786446 QJZ786446:QKF786446 QTV786446:QUB786446 RDR786446:RDX786446 RNN786446:RNT786446 RXJ786446:RXP786446 SHF786446:SHL786446 SRB786446:SRH786446 TAX786446:TBD786446 TKT786446:TKZ786446 TUP786446:TUV786446 UEL786446:UER786446 UOH786446:UON786446 UYD786446:UYJ786446 VHZ786446:VIF786446 VRV786446:VSB786446 WBR786446:WBX786446 WLN786446:WLT786446 WVJ786446:WVP786446 B851982:H851982 IX851982:JD851982 ST851982:SZ851982 ACP851982:ACV851982 AML851982:AMR851982 AWH851982:AWN851982 BGD851982:BGJ851982 BPZ851982:BQF851982 BZV851982:CAB851982 CJR851982:CJX851982 CTN851982:CTT851982 DDJ851982:DDP851982 DNF851982:DNL851982 DXB851982:DXH851982 EGX851982:EHD851982 EQT851982:EQZ851982 FAP851982:FAV851982 FKL851982:FKR851982 FUH851982:FUN851982 GED851982:GEJ851982 GNZ851982:GOF851982 GXV851982:GYB851982 HHR851982:HHX851982 HRN851982:HRT851982 IBJ851982:IBP851982 ILF851982:ILL851982 IVB851982:IVH851982 JEX851982:JFD851982 JOT851982:JOZ851982 JYP851982:JYV851982 KIL851982:KIR851982 KSH851982:KSN851982 LCD851982:LCJ851982 LLZ851982:LMF851982 LVV851982:LWB851982 MFR851982:MFX851982 MPN851982:MPT851982 MZJ851982:MZP851982 NJF851982:NJL851982 NTB851982:NTH851982 OCX851982:ODD851982 OMT851982:OMZ851982 OWP851982:OWV851982 PGL851982:PGR851982 PQH851982:PQN851982 QAD851982:QAJ851982 QJZ851982:QKF851982 QTV851982:QUB851982 RDR851982:RDX851982 RNN851982:RNT851982 RXJ851982:RXP851982 SHF851982:SHL851982 SRB851982:SRH851982 TAX851982:TBD851982 TKT851982:TKZ851982 TUP851982:TUV851982 UEL851982:UER851982 UOH851982:UON851982 UYD851982:UYJ851982 VHZ851982:VIF851982 VRV851982:VSB851982 WBR851982:WBX851982 WLN851982:WLT851982 WVJ851982:WVP851982 B917518:H917518 IX917518:JD917518 ST917518:SZ917518 ACP917518:ACV917518 AML917518:AMR917518 AWH917518:AWN917518 BGD917518:BGJ917518 BPZ917518:BQF917518 BZV917518:CAB917518 CJR917518:CJX917518 CTN917518:CTT917518 DDJ917518:DDP917518 DNF917518:DNL917518 DXB917518:DXH917518 EGX917518:EHD917518 EQT917518:EQZ917518 FAP917518:FAV917518 FKL917518:FKR917518 FUH917518:FUN917518 GED917518:GEJ917518 GNZ917518:GOF917518 GXV917518:GYB917518 HHR917518:HHX917518 HRN917518:HRT917518 IBJ917518:IBP917518 ILF917518:ILL917518 IVB917518:IVH917518 JEX917518:JFD917518 JOT917518:JOZ917518 JYP917518:JYV917518 KIL917518:KIR917518 KSH917518:KSN917518 LCD917518:LCJ917518 LLZ917518:LMF917518 LVV917518:LWB917518 MFR917518:MFX917518 MPN917518:MPT917518 MZJ917518:MZP917518 NJF917518:NJL917518 NTB917518:NTH917518 OCX917518:ODD917518 OMT917518:OMZ917518 OWP917518:OWV917518 PGL917518:PGR917518 PQH917518:PQN917518 QAD917518:QAJ917518 QJZ917518:QKF917518 QTV917518:QUB917518 RDR917518:RDX917518 RNN917518:RNT917518 RXJ917518:RXP917518 SHF917518:SHL917518 SRB917518:SRH917518 TAX917518:TBD917518 TKT917518:TKZ917518 TUP917518:TUV917518 UEL917518:UER917518 UOH917518:UON917518 UYD917518:UYJ917518 VHZ917518:VIF917518 VRV917518:VSB917518 WBR917518:WBX917518 WLN917518:WLT917518 WVJ917518:WVP917518 B983054:H983054 IX983054:JD983054 ST983054:SZ983054 ACP983054:ACV983054 AML983054:AMR983054 AWH983054:AWN983054 BGD983054:BGJ983054 BPZ983054:BQF983054 BZV983054:CAB983054 CJR983054:CJX983054 CTN983054:CTT983054 DDJ983054:DDP983054 DNF983054:DNL983054 DXB983054:DXH983054 EGX983054:EHD983054 EQT983054:EQZ983054 FAP983054:FAV983054 FKL983054:FKR983054 FUH983054:FUN983054 GED983054:GEJ983054 GNZ983054:GOF983054 GXV983054:GYB983054 HHR983054:HHX983054 HRN983054:HRT983054 IBJ983054:IBP983054 ILF983054:ILL983054 IVB983054:IVH983054 JEX983054:JFD983054 JOT983054:JOZ983054 JYP983054:JYV983054 KIL983054:KIR983054 KSH983054:KSN983054 LCD983054:LCJ983054 LLZ983054:LMF983054 LVV983054:LWB983054 MFR983054:MFX983054 MPN983054:MPT983054 MZJ983054:MZP983054 NJF983054:NJL983054 NTB983054:NTH983054 OCX983054:ODD983054 OMT983054:OMZ983054 OWP983054:OWV983054 PGL983054:PGR983054 PQH983054:PQN983054 QAD983054:QAJ983054 QJZ983054:QKF983054 QTV983054:QUB983054 RDR983054:RDX983054 RNN983054:RNT983054 RXJ983054:RXP983054 SHF983054:SHL983054 SRB983054:SRH983054 TAX983054:TBD983054 TKT983054:TKZ983054 TUP983054:TUV983054 UEL983054:UER983054 UOH983054:UON983054 UYD983054:UYJ983054 VHZ983054:VIF983054 VRV983054:VSB983054 WBR983054:WBX983054 WLN983054:WLT983054 WVJ983054:WVP983054 K38:L38 JG38:JH38 TC38:TD38 ACY38:ACZ38 AMU38:AMV38 AWQ38:AWR38 BGM38:BGN38 BQI38:BQJ38 CAE38:CAF38 CKA38:CKB38 CTW38:CTX38 DDS38:DDT38 DNO38:DNP38 DXK38:DXL38 EHG38:EHH38 ERC38:ERD38 FAY38:FAZ38 FKU38:FKV38 FUQ38:FUR38 GEM38:GEN38 GOI38:GOJ38 GYE38:GYF38 HIA38:HIB38 HRW38:HRX38 IBS38:IBT38 ILO38:ILP38 IVK38:IVL38 JFG38:JFH38 JPC38:JPD38 JYY38:JYZ38 KIU38:KIV38 KSQ38:KSR38 LCM38:LCN38 LMI38:LMJ38 LWE38:LWF38 MGA38:MGB38 MPW38:MPX38 MZS38:MZT38 NJO38:NJP38 NTK38:NTL38 ODG38:ODH38 ONC38:OND38 OWY38:OWZ38 PGU38:PGV38 PQQ38:PQR38 QAM38:QAN38 QKI38:QKJ38 QUE38:QUF38 REA38:REB38 RNW38:RNX38 RXS38:RXT38 SHO38:SHP38 SRK38:SRL38 TBG38:TBH38 TLC38:TLD38 TUY38:TUZ38 UEU38:UEV38 UOQ38:UOR38 UYM38:UYN38 VII38:VIJ38 VSE38:VSF38 WCA38:WCB38 WLW38:WLX38 WVS38:WVT38 K65574:L65574 JG65574:JH65574 TC65574:TD65574 ACY65574:ACZ65574 AMU65574:AMV65574 AWQ65574:AWR65574 BGM65574:BGN65574 BQI65574:BQJ65574 CAE65574:CAF65574 CKA65574:CKB65574 CTW65574:CTX65574 DDS65574:DDT65574 DNO65574:DNP65574 DXK65574:DXL65574 EHG65574:EHH65574 ERC65574:ERD65574 FAY65574:FAZ65574 FKU65574:FKV65574 FUQ65574:FUR65574 GEM65574:GEN65574 GOI65574:GOJ65574 GYE65574:GYF65574 HIA65574:HIB65574 HRW65574:HRX65574 IBS65574:IBT65574 ILO65574:ILP65574 IVK65574:IVL65574 JFG65574:JFH65574 JPC65574:JPD65574 JYY65574:JYZ65574 KIU65574:KIV65574 KSQ65574:KSR65574 LCM65574:LCN65574 LMI65574:LMJ65574 LWE65574:LWF65574 MGA65574:MGB65574 MPW65574:MPX65574 MZS65574:MZT65574 NJO65574:NJP65574 NTK65574:NTL65574 ODG65574:ODH65574 ONC65574:OND65574 OWY65574:OWZ65574 PGU65574:PGV65574 PQQ65574:PQR65574 QAM65574:QAN65574 QKI65574:QKJ65574 QUE65574:QUF65574 REA65574:REB65574 RNW65574:RNX65574 RXS65574:RXT65574 SHO65574:SHP65574 SRK65574:SRL65574 TBG65574:TBH65574 TLC65574:TLD65574 TUY65574:TUZ65574 UEU65574:UEV65574 UOQ65574:UOR65574 UYM65574:UYN65574 VII65574:VIJ65574 VSE65574:VSF65574 WCA65574:WCB65574 WLW65574:WLX65574 WVS65574:WVT65574 K131110:L131110 JG131110:JH131110 TC131110:TD131110 ACY131110:ACZ131110 AMU131110:AMV131110 AWQ131110:AWR131110 BGM131110:BGN131110 BQI131110:BQJ131110 CAE131110:CAF131110 CKA131110:CKB131110 CTW131110:CTX131110 DDS131110:DDT131110 DNO131110:DNP131110 DXK131110:DXL131110 EHG131110:EHH131110 ERC131110:ERD131110 FAY131110:FAZ131110 FKU131110:FKV131110 FUQ131110:FUR131110 GEM131110:GEN131110 GOI131110:GOJ131110 GYE131110:GYF131110 HIA131110:HIB131110 HRW131110:HRX131110 IBS131110:IBT131110 ILO131110:ILP131110 IVK131110:IVL131110 JFG131110:JFH131110 JPC131110:JPD131110 JYY131110:JYZ131110 KIU131110:KIV131110 KSQ131110:KSR131110 LCM131110:LCN131110 LMI131110:LMJ131110 LWE131110:LWF131110 MGA131110:MGB131110 MPW131110:MPX131110 MZS131110:MZT131110 NJO131110:NJP131110 NTK131110:NTL131110 ODG131110:ODH131110 ONC131110:OND131110 OWY131110:OWZ131110 PGU131110:PGV131110 PQQ131110:PQR131110 QAM131110:QAN131110 QKI131110:QKJ131110 QUE131110:QUF131110 REA131110:REB131110 RNW131110:RNX131110 RXS131110:RXT131110 SHO131110:SHP131110 SRK131110:SRL131110 TBG131110:TBH131110 TLC131110:TLD131110 TUY131110:TUZ131110 UEU131110:UEV131110 UOQ131110:UOR131110 UYM131110:UYN131110 VII131110:VIJ131110 VSE131110:VSF131110 WCA131110:WCB131110 WLW131110:WLX131110 WVS131110:WVT131110 K196646:L196646 JG196646:JH196646 TC196646:TD196646 ACY196646:ACZ196646 AMU196646:AMV196646 AWQ196646:AWR196646 BGM196646:BGN196646 BQI196646:BQJ196646 CAE196646:CAF196646 CKA196646:CKB196646 CTW196646:CTX196646 DDS196646:DDT196646 DNO196646:DNP196646 DXK196646:DXL196646 EHG196646:EHH196646 ERC196646:ERD196646 FAY196646:FAZ196646 FKU196646:FKV196646 FUQ196646:FUR196646 GEM196646:GEN196646 GOI196646:GOJ196646 GYE196646:GYF196646 HIA196646:HIB196646 HRW196646:HRX196646 IBS196646:IBT196646 ILO196646:ILP196646 IVK196646:IVL196646 JFG196646:JFH196646 JPC196646:JPD196646 JYY196646:JYZ196646 KIU196646:KIV196646 KSQ196646:KSR196646 LCM196646:LCN196646 LMI196646:LMJ196646 LWE196646:LWF196646 MGA196646:MGB196646 MPW196646:MPX196646 MZS196646:MZT196646 NJO196646:NJP196646 NTK196646:NTL196646 ODG196646:ODH196646 ONC196646:OND196646 OWY196646:OWZ196646 PGU196646:PGV196646 PQQ196646:PQR196646 QAM196646:QAN196646 QKI196646:QKJ196646 QUE196646:QUF196646 REA196646:REB196646 RNW196646:RNX196646 RXS196646:RXT196646 SHO196646:SHP196646 SRK196646:SRL196646 TBG196646:TBH196646 TLC196646:TLD196646 TUY196646:TUZ196646 UEU196646:UEV196646 UOQ196646:UOR196646 UYM196646:UYN196646 VII196646:VIJ196646 VSE196646:VSF196646 WCA196646:WCB196646 WLW196646:WLX196646 WVS196646:WVT196646 K262182:L262182 JG262182:JH262182 TC262182:TD262182 ACY262182:ACZ262182 AMU262182:AMV262182 AWQ262182:AWR262182 BGM262182:BGN262182 BQI262182:BQJ262182 CAE262182:CAF262182 CKA262182:CKB262182 CTW262182:CTX262182 DDS262182:DDT262182 DNO262182:DNP262182 DXK262182:DXL262182 EHG262182:EHH262182 ERC262182:ERD262182 FAY262182:FAZ262182 FKU262182:FKV262182 FUQ262182:FUR262182 GEM262182:GEN262182 GOI262182:GOJ262182 GYE262182:GYF262182 HIA262182:HIB262182 HRW262182:HRX262182 IBS262182:IBT262182 ILO262182:ILP262182 IVK262182:IVL262182 JFG262182:JFH262182 JPC262182:JPD262182 JYY262182:JYZ262182 KIU262182:KIV262182 KSQ262182:KSR262182 LCM262182:LCN262182 LMI262182:LMJ262182 LWE262182:LWF262182 MGA262182:MGB262182 MPW262182:MPX262182 MZS262182:MZT262182 NJO262182:NJP262182 NTK262182:NTL262182 ODG262182:ODH262182 ONC262182:OND262182 OWY262182:OWZ262182 PGU262182:PGV262182 PQQ262182:PQR262182 QAM262182:QAN262182 QKI262182:QKJ262182 QUE262182:QUF262182 REA262182:REB262182 RNW262182:RNX262182 RXS262182:RXT262182 SHO262182:SHP262182 SRK262182:SRL262182 TBG262182:TBH262182 TLC262182:TLD262182 TUY262182:TUZ262182 UEU262182:UEV262182 UOQ262182:UOR262182 UYM262182:UYN262182 VII262182:VIJ262182 VSE262182:VSF262182 WCA262182:WCB262182 WLW262182:WLX262182 WVS262182:WVT262182 K327718:L327718 JG327718:JH327718 TC327718:TD327718 ACY327718:ACZ327718 AMU327718:AMV327718 AWQ327718:AWR327718 BGM327718:BGN327718 BQI327718:BQJ327718 CAE327718:CAF327718 CKA327718:CKB327718 CTW327718:CTX327718 DDS327718:DDT327718 DNO327718:DNP327718 DXK327718:DXL327718 EHG327718:EHH327718 ERC327718:ERD327718 FAY327718:FAZ327718 FKU327718:FKV327718 FUQ327718:FUR327718 GEM327718:GEN327718 GOI327718:GOJ327718 GYE327718:GYF327718 HIA327718:HIB327718 HRW327718:HRX327718 IBS327718:IBT327718 ILO327718:ILP327718 IVK327718:IVL327718 JFG327718:JFH327718 JPC327718:JPD327718 JYY327718:JYZ327718 KIU327718:KIV327718 KSQ327718:KSR327718 LCM327718:LCN327718 LMI327718:LMJ327718 LWE327718:LWF327718 MGA327718:MGB327718 MPW327718:MPX327718 MZS327718:MZT327718 NJO327718:NJP327718 NTK327718:NTL327718 ODG327718:ODH327718 ONC327718:OND327718 OWY327718:OWZ327718 PGU327718:PGV327718 PQQ327718:PQR327718 QAM327718:QAN327718 QKI327718:QKJ327718 QUE327718:QUF327718 REA327718:REB327718 RNW327718:RNX327718 RXS327718:RXT327718 SHO327718:SHP327718 SRK327718:SRL327718 TBG327718:TBH327718 TLC327718:TLD327718 TUY327718:TUZ327718 UEU327718:UEV327718 UOQ327718:UOR327718 UYM327718:UYN327718 VII327718:VIJ327718 VSE327718:VSF327718 WCA327718:WCB327718 WLW327718:WLX327718 WVS327718:WVT327718 K393254:L393254 JG393254:JH393254 TC393254:TD393254 ACY393254:ACZ393254 AMU393254:AMV393254 AWQ393254:AWR393254 BGM393254:BGN393254 BQI393254:BQJ393254 CAE393254:CAF393254 CKA393254:CKB393254 CTW393254:CTX393254 DDS393254:DDT393254 DNO393254:DNP393254 DXK393254:DXL393254 EHG393254:EHH393254 ERC393254:ERD393254 FAY393254:FAZ393254 FKU393254:FKV393254 FUQ393254:FUR393254 GEM393254:GEN393254 GOI393254:GOJ393254 GYE393254:GYF393254 HIA393254:HIB393254 HRW393254:HRX393254 IBS393254:IBT393254 ILO393254:ILP393254 IVK393254:IVL393254 JFG393254:JFH393254 JPC393254:JPD393254 JYY393254:JYZ393254 KIU393254:KIV393254 KSQ393254:KSR393254 LCM393254:LCN393254 LMI393254:LMJ393254 LWE393254:LWF393254 MGA393254:MGB393254 MPW393254:MPX393254 MZS393254:MZT393254 NJO393254:NJP393254 NTK393254:NTL393254 ODG393254:ODH393254 ONC393254:OND393254 OWY393254:OWZ393254 PGU393254:PGV393254 PQQ393254:PQR393254 QAM393254:QAN393254 QKI393254:QKJ393254 QUE393254:QUF393254 REA393254:REB393254 RNW393254:RNX393254 RXS393254:RXT393254 SHO393254:SHP393254 SRK393254:SRL393254 TBG393254:TBH393254 TLC393254:TLD393254 TUY393254:TUZ393254 UEU393254:UEV393254 UOQ393254:UOR393254 UYM393254:UYN393254 VII393254:VIJ393254 VSE393254:VSF393254 WCA393254:WCB393254 WLW393254:WLX393254 WVS393254:WVT393254 K458790:L458790 JG458790:JH458790 TC458790:TD458790 ACY458790:ACZ458790 AMU458790:AMV458790 AWQ458790:AWR458790 BGM458790:BGN458790 BQI458790:BQJ458790 CAE458790:CAF458790 CKA458790:CKB458790 CTW458790:CTX458790 DDS458790:DDT458790 DNO458790:DNP458790 DXK458790:DXL458790 EHG458790:EHH458790 ERC458790:ERD458790 FAY458790:FAZ458790 FKU458790:FKV458790 FUQ458790:FUR458790 GEM458790:GEN458790 GOI458790:GOJ458790 GYE458790:GYF458790 HIA458790:HIB458790 HRW458790:HRX458790 IBS458790:IBT458790 ILO458790:ILP458790 IVK458790:IVL458790 JFG458790:JFH458790 JPC458790:JPD458790 JYY458790:JYZ458790 KIU458790:KIV458790 KSQ458790:KSR458790 LCM458790:LCN458790 LMI458790:LMJ458790 LWE458790:LWF458790 MGA458790:MGB458790 MPW458790:MPX458790 MZS458790:MZT458790 NJO458790:NJP458790 NTK458790:NTL458790 ODG458790:ODH458790 ONC458790:OND458790 OWY458790:OWZ458790 PGU458790:PGV458790 PQQ458790:PQR458790 QAM458790:QAN458790 QKI458790:QKJ458790 QUE458790:QUF458790 REA458790:REB458790 RNW458790:RNX458790 RXS458790:RXT458790 SHO458790:SHP458790 SRK458790:SRL458790 TBG458790:TBH458790 TLC458790:TLD458790 TUY458790:TUZ458790 UEU458790:UEV458790 UOQ458790:UOR458790 UYM458790:UYN458790 VII458790:VIJ458790 VSE458790:VSF458790 WCA458790:WCB458790 WLW458790:WLX458790 WVS458790:WVT458790 K524326:L524326 JG524326:JH524326 TC524326:TD524326 ACY524326:ACZ524326 AMU524326:AMV524326 AWQ524326:AWR524326 BGM524326:BGN524326 BQI524326:BQJ524326 CAE524326:CAF524326 CKA524326:CKB524326 CTW524326:CTX524326 DDS524326:DDT524326 DNO524326:DNP524326 DXK524326:DXL524326 EHG524326:EHH524326 ERC524326:ERD524326 FAY524326:FAZ524326 FKU524326:FKV524326 FUQ524326:FUR524326 GEM524326:GEN524326 GOI524326:GOJ524326 GYE524326:GYF524326 HIA524326:HIB524326 HRW524326:HRX524326 IBS524326:IBT524326 ILO524326:ILP524326 IVK524326:IVL524326 JFG524326:JFH524326 JPC524326:JPD524326 JYY524326:JYZ524326 KIU524326:KIV524326 KSQ524326:KSR524326 LCM524326:LCN524326 LMI524326:LMJ524326 LWE524326:LWF524326 MGA524326:MGB524326 MPW524326:MPX524326 MZS524326:MZT524326 NJO524326:NJP524326 NTK524326:NTL524326 ODG524326:ODH524326 ONC524326:OND524326 OWY524326:OWZ524326 PGU524326:PGV524326 PQQ524326:PQR524326 QAM524326:QAN524326 QKI524326:QKJ524326 QUE524326:QUF524326 REA524326:REB524326 RNW524326:RNX524326 RXS524326:RXT524326 SHO524326:SHP524326 SRK524326:SRL524326 TBG524326:TBH524326 TLC524326:TLD524326 TUY524326:TUZ524326 UEU524326:UEV524326 UOQ524326:UOR524326 UYM524326:UYN524326 VII524326:VIJ524326 VSE524326:VSF524326 WCA524326:WCB524326 WLW524326:WLX524326 WVS524326:WVT524326 K589862:L589862 JG589862:JH589862 TC589862:TD589862 ACY589862:ACZ589862 AMU589862:AMV589862 AWQ589862:AWR589862 BGM589862:BGN589862 BQI589862:BQJ589862 CAE589862:CAF589862 CKA589862:CKB589862 CTW589862:CTX589862 DDS589862:DDT589862 DNO589862:DNP589862 DXK589862:DXL589862 EHG589862:EHH589862 ERC589862:ERD589862 FAY589862:FAZ589862 FKU589862:FKV589862 FUQ589862:FUR589862 GEM589862:GEN589862 GOI589862:GOJ589862 GYE589862:GYF589862 HIA589862:HIB589862 HRW589862:HRX589862 IBS589862:IBT589862 ILO589862:ILP589862 IVK589862:IVL589862 JFG589862:JFH589862 JPC589862:JPD589862 JYY589862:JYZ589862 KIU589862:KIV589862 KSQ589862:KSR589862 LCM589862:LCN589862 LMI589862:LMJ589862 LWE589862:LWF589862 MGA589862:MGB589862 MPW589862:MPX589862 MZS589862:MZT589862 NJO589862:NJP589862 NTK589862:NTL589862 ODG589862:ODH589862 ONC589862:OND589862 OWY589862:OWZ589862 PGU589862:PGV589862 PQQ589862:PQR589862 QAM589862:QAN589862 QKI589862:QKJ589862 QUE589862:QUF589862 REA589862:REB589862 RNW589862:RNX589862 RXS589862:RXT589862 SHO589862:SHP589862 SRK589862:SRL589862 TBG589862:TBH589862 TLC589862:TLD589862 TUY589862:TUZ589862 UEU589862:UEV589862 UOQ589862:UOR589862 UYM589862:UYN589862 VII589862:VIJ589862 VSE589862:VSF589862 WCA589862:WCB589862 WLW589862:WLX589862 WVS589862:WVT589862 K655398:L655398 JG655398:JH655398 TC655398:TD655398 ACY655398:ACZ655398 AMU655398:AMV655398 AWQ655398:AWR655398 BGM655398:BGN655398 BQI655398:BQJ655398 CAE655398:CAF655398 CKA655398:CKB655398 CTW655398:CTX655398 DDS655398:DDT655398 DNO655398:DNP655398 DXK655398:DXL655398 EHG655398:EHH655398 ERC655398:ERD655398 FAY655398:FAZ655398 FKU655398:FKV655398 FUQ655398:FUR655398 GEM655398:GEN655398 GOI655398:GOJ655398 GYE655398:GYF655398 HIA655398:HIB655398 HRW655398:HRX655398 IBS655398:IBT655398 ILO655398:ILP655398 IVK655398:IVL655398 JFG655398:JFH655398 JPC655398:JPD655398 JYY655398:JYZ655398 KIU655398:KIV655398 KSQ655398:KSR655398 LCM655398:LCN655398 LMI655398:LMJ655398 LWE655398:LWF655398 MGA655398:MGB655398 MPW655398:MPX655398 MZS655398:MZT655398 NJO655398:NJP655398 NTK655398:NTL655398 ODG655398:ODH655398 ONC655398:OND655398 OWY655398:OWZ655398 PGU655398:PGV655398 PQQ655398:PQR655398 QAM655398:QAN655398 QKI655398:QKJ655398 QUE655398:QUF655398 REA655398:REB655398 RNW655398:RNX655398 RXS655398:RXT655398 SHO655398:SHP655398 SRK655398:SRL655398 TBG655398:TBH655398 TLC655398:TLD655398 TUY655398:TUZ655398 UEU655398:UEV655398 UOQ655398:UOR655398 UYM655398:UYN655398 VII655398:VIJ655398 VSE655398:VSF655398 WCA655398:WCB655398 WLW655398:WLX655398 WVS655398:WVT655398 K720934:L720934 JG720934:JH720934 TC720934:TD720934 ACY720934:ACZ720934 AMU720934:AMV720934 AWQ720934:AWR720934 BGM720934:BGN720934 BQI720934:BQJ720934 CAE720934:CAF720934 CKA720934:CKB720934 CTW720934:CTX720934 DDS720934:DDT720934 DNO720934:DNP720934 DXK720934:DXL720934 EHG720934:EHH720934 ERC720934:ERD720934 FAY720934:FAZ720934 FKU720934:FKV720934 FUQ720934:FUR720934 GEM720934:GEN720934 GOI720934:GOJ720934 GYE720934:GYF720934 HIA720934:HIB720934 HRW720934:HRX720934 IBS720934:IBT720934 ILO720934:ILP720934 IVK720934:IVL720934 JFG720934:JFH720934 JPC720934:JPD720934 JYY720934:JYZ720934 KIU720934:KIV720934 KSQ720934:KSR720934 LCM720934:LCN720934 LMI720934:LMJ720934 LWE720934:LWF720934 MGA720934:MGB720934 MPW720934:MPX720934 MZS720934:MZT720934 NJO720934:NJP720934 NTK720934:NTL720934 ODG720934:ODH720934 ONC720934:OND720934 OWY720934:OWZ720934 PGU720934:PGV720934 PQQ720934:PQR720934 QAM720934:QAN720934 QKI720934:QKJ720934 QUE720934:QUF720934 REA720934:REB720934 RNW720934:RNX720934 RXS720934:RXT720934 SHO720934:SHP720934 SRK720934:SRL720934 TBG720934:TBH720934 TLC720934:TLD720934 TUY720934:TUZ720934 UEU720934:UEV720934 UOQ720934:UOR720934 UYM720934:UYN720934 VII720934:VIJ720934 VSE720934:VSF720934 WCA720934:WCB720934 WLW720934:WLX720934 WVS720934:WVT720934 K786470:L786470 JG786470:JH786470 TC786470:TD786470 ACY786470:ACZ786470 AMU786470:AMV786470 AWQ786470:AWR786470 BGM786470:BGN786470 BQI786470:BQJ786470 CAE786470:CAF786470 CKA786470:CKB786470 CTW786470:CTX786470 DDS786470:DDT786470 DNO786470:DNP786470 DXK786470:DXL786470 EHG786470:EHH786470 ERC786470:ERD786470 FAY786470:FAZ786470 FKU786470:FKV786470 FUQ786470:FUR786470 GEM786470:GEN786470 GOI786470:GOJ786470 GYE786470:GYF786470 HIA786470:HIB786470 HRW786470:HRX786470 IBS786470:IBT786470 ILO786470:ILP786470 IVK786470:IVL786470 JFG786470:JFH786470 JPC786470:JPD786470 JYY786470:JYZ786470 KIU786470:KIV786470 KSQ786470:KSR786470 LCM786470:LCN786470 LMI786470:LMJ786470 LWE786470:LWF786470 MGA786470:MGB786470 MPW786470:MPX786470 MZS786470:MZT786470 NJO786470:NJP786470 NTK786470:NTL786470 ODG786470:ODH786470 ONC786470:OND786470 OWY786470:OWZ786470 PGU786470:PGV786470 PQQ786470:PQR786470 QAM786470:QAN786470 QKI786470:QKJ786470 QUE786470:QUF786470 REA786470:REB786470 RNW786470:RNX786470 RXS786470:RXT786470 SHO786470:SHP786470 SRK786470:SRL786470 TBG786470:TBH786470 TLC786470:TLD786470 TUY786470:TUZ786470 UEU786470:UEV786470 UOQ786470:UOR786470 UYM786470:UYN786470 VII786470:VIJ786470 VSE786470:VSF786470 WCA786470:WCB786470 WLW786470:WLX786470 WVS786470:WVT786470 K852006:L852006 JG852006:JH852006 TC852006:TD852006 ACY852006:ACZ852006 AMU852006:AMV852006 AWQ852006:AWR852006 BGM852006:BGN852006 BQI852006:BQJ852006 CAE852006:CAF852006 CKA852006:CKB852006 CTW852006:CTX852006 DDS852006:DDT852006 DNO852006:DNP852006 DXK852006:DXL852006 EHG852006:EHH852006 ERC852006:ERD852006 FAY852006:FAZ852006 FKU852006:FKV852006 FUQ852006:FUR852006 GEM852006:GEN852006 GOI852006:GOJ852006 GYE852006:GYF852006 HIA852006:HIB852006 HRW852006:HRX852006 IBS852006:IBT852006 ILO852006:ILP852006 IVK852006:IVL852006 JFG852006:JFH852006 JPC852006:JPD852006 JYY852006:JYZ852006 KIU852006:KIV852006 KSQ852006:KSR852006 LCM852006:LCN852006 LMI852006:LMJ852006 LWE852006:LWF852006 MGA852006:MGB852006 MPW852006:MPX852006 MZS852006:MZT852006 NJO852006:NJP852006 NTK852006:NTL852006 ODG852006:ODH852006 ONC852006:OND852006 OWY852006:OWZ852006 PGU852006:PGV852006 PQQ852006:PQR852006 QAM852006:QAN852006 QKI852006:QKJ852006 QUE852006:QUF852006 REA852006:REB852006 RNW852006:RNX852006 RXS852006:RXT852006 SHO852006:SHP852006 SRK852006:SRL852006 TBG852006:TBH852006 TLC852006:TLD852006 TUY852006:TUZ852006 UEU852006:UEV852006 UOQ852006:UOR852006 UYM852006:UYN852006 VII852006:VIJ852006 VSE852006:VSF852006 WCA852006:WCB852006 WLW852006:WLX852006 WVS852006:WVT852006 K917542:L917542 JG917542:JH917542 TC917542:TD917542 ACY917542:ACZ917542 AMU917542:AMV917542 AWQ917542:AWR917542 BGM917542:BGN917542 BQI917542:BQJ917542 CAE917542:CAF917542 CKA917542:CKB917542 CTW917542:CTX917542 DDS917542:DDT917542 DNO917542:DNP917542 DXK917542:DXL917542 EHG917542:EHH917542 ERC917542:ERD917542 FAY917542:FAZ917542 FKU917542:FKV917542 FUQ917542:FUR917542 GEM917542:GEN917542 GOI917542:GOJ917542 GYE917542:GYF917542 HIA917542:HIB917542 HRW917542:HRX917542 IBS917542:IBT917542 ILO917542:ILP917542 IVK917542:IVL917542 JFG917542:JFH917542 JPC917542:JPD917542 JYY917542:JYZ917542 KIU917542:KIV917542 KSQ917542:KSR917542 LCM917542:LCN917542 LMI917542:LMJ917542 LWE917542:LWF917542 MGA917542:MGB917542 MPW917542:MPX917542 MZS917542:MZT917542 NJO917542:NJP917542 NTK917542:NTL917542 ODG917542:ODH917542 ONC917542:OND917542 OWY917542:OWZ917542 PGU917542:PGV917542 PQQ917542:PQR917542 QAM917542:QAN917542 QKI917542:QKJ917542 QUE917542:QUF917542 REA917542:REB917542 RNW917542:RNX917542 RXS917542:RXT917542 SHO917542:SHP917542 SRK917542:SRL917542 TBG917542:TBH917542 TLC917542:TLD917542 TUY917542:TUZ917542 UEU917542:UEV917542 UOQ917542:UOR917542 UYM917542:UYN917542 VII917542:VIJ917542 VSE917542:VSF917542 WCA917542:WCB917542 WLW917542:WLX917542 WVS917542:WVT917542 K983078:L983078 JG983078:JH983078 TC983078:TD983078 ACY983078:ACZ983078 AMU983078:AMV983078 AWQ983078:AWR983078 BGM983078:BGN983078 BQI983078:BQJ983078 CAE983078:CAF983078 CKA983078:CKB983078 CTW983078:CTX983078 DDS983078:DDT983078 DNO983078:DNP983078 DXK983078:DXL983078 EHG983078:EHH983078 ERC983078:ERD983078 FAY983078:FAZ983078 FKU983078:FKV983078 FUQ983078:FUR983078 GEM983078:GEN983078 GOI983078:GOJ983078 GYE983078:GYF983078 HIA983078:HIB983078 HRW983078:HRX983078 IBS983078:IBT983078 ILO983078:ILP983078 IVK983078:IVL983078 JFG983078:JFH983078 JPC983078:JPD983078 JYY983078:JYZ983078 KIU983078:KIV983078 KSQ983078:KSR983078 LCM983078:LCN983078 LMI983078:LMJ983078 LWE983078:LWF983078 MGA983078:MGB983078 MPW983078:MPX983078 MZS983078:MZT983078 NJO983078:NJP983078 NTK983078:NTL983078 ODG983078:ODH983078 ONC983078:OND983078 OWY983078:OWZ983078 PGU983078:PGV983078 PQQ983078:PQR983078 QAM983078:QAN983078 QKI983078:QKJ983078 QUE983078:QUF983078 REA983078:REB983078 RNW983078:RNX983078 RXS983078:RXT983078 SHO983078:SHP983078 SRK983078:SRL983078 TBG983078:TBH983078 TLC983078:TLD983078 TUY983078:TUZ983078 UEU983078:UEV983078 UOQ983078:UOR983078 UYM983078:UYN983078 VII983078:VIJ983078 VSE983078:VSF983078 WCA983078:WCB983078 WLW983078:WLX983078 WVS983078:WVT983078 K35:L35 JG35:JH35 TC35:TD35 ACY35:ACZ35 AMU35:AMV35 AWQ35:AWR35 BGM35:BGN35 BQI35:BQJ35 CAE35:CAF35 CKA35:CKB35 CTW35:CTX35 DDS35:DDT35 DNO35:DNP35 DXK35:DXL35 EHG35:EHH35 ERC35:ERD35 FAY35:FAZ35 FKU35:FKV35 FUQ35:FUR35 GEM35:GEN35 GOI35:GOJ35 GYE35:GYF35 HIA35:HIB35 HRW35:HRX35 IBS35:IBT35 ILO35:ILP35 IVK35:IVL35 JFG35:JFH35 JPC35:JPD35 JYY35:JYZ35 KIU35:KIV35 KSQ35:KSR35 LCM35:LCN35 LMI35:LMJ35 LWE35:LWF35 MGA35:MGB35 MPW35:MPX35 MZS35:MZT35 NJO35:NJP35 NTK35:NTL35 ODG35:ODH35 ONC35:OND35 OWY35:OWZ35 PGU35:PGV35 PQQ35:PQR35 QAM35:QAN35 QKI35:QKJ35 QUE35:QUF35 REA35:REB35 RNW35:RNX35 RXS35:RXT35 SHO35:SHP35 SRK35:SRL35 TBG35:TBH35 TLC35:TLD35 TUY35:TUZ35 UEU35:UEV35 UOQ35:UOR35 UYM35:UYN35 VII35:VIJ35 VSE35:VSF35 WCA35:WCB35 WLW35:WLX35 WVS35:WVT35 K65571:L65571 JG65571:JH65571 TC65571:TD65571 ACY65571:ACZ65571 AMU65571:AMV65571 AWQ65571:AWR65571 BGM65571:BGN65571 BQI65571:BQJ65571 CAE65571:CAF65571 CKA65571:CKB65571 CTW65571:CTX65571 DDS65571:DDT65571 DNO65571:DNP65571 DXK65571:DXL65571 EHG65571:EHH65571 ERC65571:ERD65571 FAY65571:FAZ65571 FKU65571:FKV65571 FUQ65571:FUR65571 GEM65571:GEN65571 GOI65571:GOJ65571 GYE65571:GYF65571 HIA65571:HIB65571 HRW65571:HRX65571 IBS65571:IBT65571 ILO65571:ILP65571 IVK65571:IVL65571 JFG65571:JFH65571 JPC65571:JPD65571 JYY65571:JYZ65571 KIU65571:KIV65571 KSQ65571:KSR65571 LCM65571:LCN65571 LMI65571:LMJ65571 LWE65571:LWF65571 MGA65571:MGB65571 MPW65571:MPX65571 MZS65571:MZT65571 NJO65571:NJP65571 NTK65571:NTL65571 ODG65571:ODH65571 ONC65571:OND65571 OWY65571:OWZ65571 PGU65571:PGV65571 PQQ65571:PQR65571 QAM65571:QAN65571 QKI65571:QKJ65571 QUE65571:QUF65571 REA65571:REB65571 RNW65571:RNX65571 RXS65571:RXT65571 SHO65571:SHP65571 SRK65571:SRL65571 TBG65571:TBH65571 TLC65571:TLD65571 TUY65571:TUZ65571 UEU65571:UEV65571 UOQ65571:UOR65571 UYM65571:UYN65571 VII65571:VIJ65571 VSE65571:VSF65571 WCA65571:WCB65571 WLW65571:WLX65571 WVS65571:WVT65571 K131107:L131107 JG131107:JH131107 TC131107:TD131107 ACY131107:ACZ131107 AMU131107:AMV131107 AWQ131107:AWR131107 BGM131107:BGN131107 BQI131107:BQJ131107 CAE131107:CAF131107 CKA131107:CKB131107 CTW131107:CTX131107 DDS131107:DDT131107 DNO131107:DNP131107 DXK131107:DXL131107 EHG131107:EHH131107 ERC131107:ERD131107 FAY131107:FAZ131107 FKU131107:FKV131107 FUQ131107:FUR131107 GEM131107:GEN131107 GOI131107:GOJ131107 GYE131107:GYF131107 HIA131107:HIB131107 HRW131107:HRX131107 IBS131107:IBT131107 ILO131107:ILP131107 IVK131107:IVL131107 JFG131107:JFH131107 JPC131107:JPD131107 JYY131107:JYZ131107 KIU131107:KIV131107 KSQ131107:KSR131107 LCM131107:LCN131107 LMI131107:LMJ131107 LWE131107:LWF131107 MGA131107:MGB131107 MPW131107:MPX131107 MZS131107:MZT131107 NJO131107:NJP131107 NTK131107:NTL131107 ODG131107:ODH131107 ONC131107:OND131107 OWY131107:OWZ131107 PGU131107:PGV131107 PQQ131107:PQR131107 QAM131107:QAN131107 QKI131107:QKJ131107 QUE131107:QUF131107 REA131107:REB131107 RNW131107:RNX131107 RXS131107:RXT131107 SHO131107:SHP131107 SRK131107:SRL131107 TBG131107:TBH131107 TLC131107:TLD131107 TUY131107:TUZ131107 UEU131107:UEV131107 UOQ131107:UOR131107 UYM131107:UYN131107 VII131107:VIJ131107 VSE131107:VSF131107 WCA131107:WCB131107 WLW131107:WLX131107 WVS131107:WVT131107 K196643:L196643 JG196643:JH196643 TC196643:TD196643 ACY196643:ACZ196643 AMU196643:AMV196643 AWQ196643:AWR196643 BGM196643:BGN196643 BQI196643:BQJ196643 CAE196643:CAF196643 CKA196643:CKB196643 CTW196643:CTX196643 DDS196643:DDT196643 DNO196643:DNP196643 DXK196643:DXL196643 EHG196643:EHH196643 ERC196643:ERD196643 FAY196643:FAZ196643 FKU196643:FKV196643 FUQ196643:FUR196643 GEM196643:GEN196643 GOI196643:GOJ196643 GYE196643:GYF196643 HIA196643:HIB196643 HRW196643:HRX196643 IBS196643:IBT196643 ILO196643:ILP196643 IVK196643:IVL196643 JFG196643:JFH196643 JPC196643:JPD196643 JYY196643:JYZ196643 KIU196643:KIV196643 KSQ196643:KSR196643 LCM196643:LCN196643 LMI196643:LMJ196643 LWE196643:LWF196643 MGA196643:MGB196643 MPW196643:MPX196643 MZS196643:MZT196643 NJO196643:NJP196643 NTK196643:NTL196643 ODG196643:ODH196643 ONC196643:OND196643 OWY196643:OWZ196643 PGU196643:PGV196643 PQQ196643:PQR196643 QAM196643:QAN196643 QKI196643:QKJ196643 QUE196643:QUF196643 REA196643:REB196643 RNW196643:RNX196643 RXS196643:RXT196643 SHO196643:SHP196643 SRK196643:SRL196643 TBG196643:TBH196643 TLC196643:TLD196643 TUY196643:TUZ196643 UEU196643:UEV196643 UOQ196643:UOR196643 UYM196643:UYN196643 VII196643:VIJ196643 VSE196643:VSF196643 WCA196643:WCB196643 WLW196643:WLX196643 WVS196643:WVT196643 K262179:L262179 JG262179:JH262179 TC262179:TD262179 ACY262179:ACZ262179 AMU262179:AMV262179 AWQ262179:AWR262179 BGM262179:BGN262179 BQI262179:BQJ262179 CAE262179:CAF262179 CKA262179:CKB262179 CTW262179:CTX262179 DDS262179:DDT262179 DNO262179:DNP262179 DXK262179:DXL262179 EHG262179:EHH262179 ERC262179:ERD262179 FAY262179:FAZ262179 FKU262179:FKV262179 FUQ262179:FUR262179 GEM262179:GEN262179 GOI262179:GOJ262179 GYE262179:GYF262179 HIA262179:HIB262179 HRW262179:HRX262179 IBS262179:IBT262179 ILO262179:ILP262179 IVK262179:IVL262179 JFG262179:JFH262179 JPC262179:JPD262179 JYY262179:JYZ262179 KIU262179:KIV262179 KSQ262179:KSR262179 LCM262179:LCN262179 LMI262179:LMJ262179 LWE262179:LWF262179 MGA262179:MGB262179 MPW262179:MPX262179 MZS262179:MZT262179 NJO262179:NJP262179 NTK262179:NTL262179 ODG262179:ODH262179 ONC262179:OND262179 OWY262179:OWZ262179 PGU262179:PGV262179 PQQ262179:PQR262179 QAM262179:QAN262179 QKI262179:QKJ262179 QUE262179:QUF262179 REA262179:REB262179 RNW262179:RNX262179 RXS262179:RXT262179 SHO262179:SHP262179 SRK262179:SRL262179 TBG262179:TBH262179 TLC262179:TLD262179 TUY262179:TUZ262179 UEU262179:UEV262179 UOQ262179:UOR262179 UYM262179:UYN262179 VII262179:VIJ262179 VSE262179:VSF262179 WCA262179:WCB262179 WLW262179:WLX262179 WVS262179:WVT262179 K327715:L327715 JG327715:JH327715 TC327715:TD327715 ACY327715:ACZ327715 AMU327715:AMV327715 AWQ327715:AWR327715 BGM327715:BGN327715 BQI327715:BQJ327715 CAE327715:CAF327715 CKA327715:CKB327715 CTW327715:CTX327715 DDS327715:DDT327715 DNO327715:DNP327715 DXK327715:DXL327715 EHG327715:EHH327715 ERC327715:ERD327715 FAY327715:FAZ327715 FKU327715:FKV327715 FUQ327715:FUR327715 GEM327715:GEN327715 GOI327715:GOJ327715 GYE327715:GYF327715 HIA327715:HIB327715 HRW327715:HRX327715 IBS327715:IBT327715 ILO327715:ILP327715 IVK327715:IVL327715 JFG327715:JFH327715 JPC327715:JPD327715 JYY327715:JYZ327715 KIU327715:KIV327715 KSQ327715:KSR327715 LCM327715:LCN327715 LMI327715:LMJ327715 LWE327715:LWF327715 MGA327715:MGB327715 MPW327715:MPX327715 MZS327715:MZT327715 NJO327715:NJP327715 NTK327715:NTL327715 ODG327715:ODH327715 ONC327715:OND327715 OWY327715:OWZ327715 PGU327715:PGV327715 PQQ327715:PQR327715 QAM327715:QAN327715 QKI327715:QKJ327715 QUE327715:QUF327715 REA327715:REB327715 RNW327715:RNX327715 RXS327715:RXT327715 SHO327715:SHP327715 SRK327715:SRL327715 TBG327715:TBH327715 TLC327715:TLD327715 TUY327715:TUZ327715 UEU327715:UEV327715 UOQ327715:UOR327715 UYM327715:UYN327715 VII327715:VIJ327715 VSE327715:VSF327715 WCA327715:WCB327715 WLW327715:WLX327715 WVS327715:WVT327715 K393251:L393251 JG393251:JH393251 TC393251:TD393251 ACY393251:ACZ393251 AMU393251:AMV393251 AWQ393251:AWR393251 BGM393251:BGN393251 BQI393251:BQJ393251 CAE393251:CAF393251 CKA393251:CKB393251 CTW393251:CTX393251 DDS393251:DDT393251 DNO393251:DNP393251 DXK393251:DXL393251 EHG393251:EHH393251 ERC393251:ERD393251 FAY393251:FAZ393251 FKU393251:FKV393251 FUQ393251:FUR393251 GEM393251:GEN393251 GOI393251:GOJ393251 GYE393251:GYF393251 HIA393251:HIB393251 HRW393251:HRX393251 IBS393251:IBT393251 ILO393251:ILP393251 IVK393251:IVL393251 JFG393251:JFH393251 JPC393251:JPD393251 JYY393251:JYZ393251 KIU393251:KIV393251 KSQ393251:KSR393251 LCM393251:LCN393251 LMI393251:LMJ393251 LWE393251:LWF393251 MGA393251:MGB393251 MPW393251:MPX393251 MZS393251:MZT393251 NJO393251:NJP393251 NTK393251:NTL393251 ODG393251:ODH393251 ONC393251:OND393251 OWY393251:OWZ393251 PGU393251:PGV393251 PQQ393251:PQR393251 QAM393251:QAN393251 QKI393251:QKJ393251 QUE393251:QUF393251 REA393251:REB393251 RNW393251:RNX393251 RXS393251:RXT393251 SHO393251:SHP393251 SRK393251:SRL393251 TBG393251:TBH393251 TLC393251:TLD393251 TUY393251:TUZ393251 UEU393251:UEV393251 UOQ393251:UOR393251 UYM393251:UYN393251 VII393251:VIJ393251 VSE393251:VSF393251 WCA393251:WCB393251 WLW393251:WLX393251 WVS393251:WVT393251 K458787:L458787 JG458787:JH458787 TC458787:TD458787 ACY458787:ACZ458787 AMU458787:AMV458787 AWQ458787:AWR458787 BGM458787:BGN458787 BQI458787:BQJ458787 CAE458787:CAF458787 CKA458787:CKB458787 CTW458787:CTX458787 DDS458787:DDT458787 DNO458787:DNP458787 DXK458787:DXL458787 EHG458787:EHH458787 ERC458787:ERD458787 FAY458787:FAZ458787 FKU458787:FKV458787 FUQ458787:FUR458787 GEM458787:GEN458787 GOI458787:GOJ458787 GYE458787:GYF458787 HIA458787:HIB458787 HRW458787:HRX458787 IBS458787:IBT458787 ILO458787:ILP458787 IVK458787:IVL458787 JFG458787:JFH458787 JPC458787:JPD458787 JYY458787:JYZ458787 KIU458787:KIV458787 KSQ458787:KSR458787 LCM458787:LCN458787 LMI458787:LMJ458787 LWE458787:LWF458787 MGA458787:MGB458787 MPW458787:MPX458787 MZS458787:MZT458787 NJO458787:NJP458787 NTK458787:NTL458787 ODG458787:ODH458787 ONC458787:OND458787 OWY458787:OWZ458787 PGU458787:PGV458787 PQQ458787:PQR458787 QAM458787:QAN458787 QKI458787:QKJ458787 QUE458787:QUF458787 REA458787:REB458787 RNW458787:RNX458787 RXS458787:RXT458787 SHO458787:SHP458787 SRK458787:SRL458787 TBG458787:TBH458787 TLC458787:TLD458787 TUY458787:TUZ458787 UEU458787:UEV458787 UOQ458787:UOR458787 UYM458787:UYN458787 VII458787:VIJ458787 VSE458787:VSF458787 WCA458787:WCB458787 WLW458787:WLX458787 WVS458787:WVT458787 K524323:L524323 JG524323:JH524323 TC524323:TD524323 ACY524323:ACZ524323 AMU524323:AMV524323 AWQ524323:AWR524323 BGM524323:BGN524323 BQI524323:BQJ524323 CAE524323:CAF524323 CKA524323:CKB524323 CTW524323:CTX524323 DDS524323:DDT524323 DNO524323:DNP524323 DXK524323:DXL524323 EHG524323:EHH524323 ERC524323:ERD524323 FAY524323:FAZ524323 FKU524323:FKV524323 FUQ524323:FUR524323 GEM524323:GEN524323 GOI524323:GOJ524323 GYE524323:GYF524323 HIA524323:HIB524323 HRW524323:HRX524323 IBS524323:IBT524323 ILO524323:ILP524323 IVK524323:IVL524323 JFG524323:JFH524323 JPC524323:JPD524323 JYY524323:JYZ524323 KIU524323:KIV524323 KSQ524323:KSR524323 LCM524323:LCN524323 LMI524323:LMJ524323 LWE524323:LWF524323 MGA524323:MGB524323 MPW524323:MPX524323 MZS524323:MZT524323 NJO524323:NJP524323 NTK524323:NTL524323 ODG524323:ODH524323 ONC524323:OND524323 OWY524323:OWZ524323 PGU524323:PGV524323 PQQ524323:PQR524323 QAM524323:QAN524323 QKI524323:QKJ524323 QUE524323:QUF524323 REA524323:REB524323 RNW524323:RNX524323 RXS524323:RXT524323 SHO524323:SHP524323 SRK524323:SRL524323 TBG524323:TBH524323 TLC524323:TLD524323 TUY524323:TUZ524323 UEU524323:UEV524323 UOQ524323:UOR524323 UYM524323:UYN524323 VII524323:VIJ524323 VSE524323:VSF524323 WCA524323:WCB524323 WLW524323:WLX524323 WVS524323:WVT524323 K589859:L589859 JG589859:JH589859 TC589859:TD589859 ACY589859:ACZ589859 AMU589859:AMV589859 AWQ589859:AWR589859 BGM589859:BGN589859 BQI589859:BQJ589859 CAE589859:CAF589859 CKA589859:CKB589859 CTW589859:CTX589859 DDS589859:DDT589859 DNO589859:DNP589859 DXK589859:DXL589859 EHG589859:EHH589859 ERC589859:ERD589859 FAY589859:FAZ589859 FKU589859:FKV589859 FUQ589859:FUR589859 GEM589859:GEN589859 GOI589859:GOJ589859 GYE589859:GYF589859 HIA589859:HIB589859 HRW589859:HRX589859 IBS589859:IBT589859 ILO589859:ILP589859 IVK589859:IVL589859 JFG589859:JFH589859 JPC589859:JPD589859 JYY589859:JYZ589859 KIU589859:KIV589859 KSQ589859:KSR589859 LCM589859:LCN589859 LMI589859:LMJ589859 LWE589859:LWF589859 MGA589859:MGB589859 MPW589859:MPX589859 MZS589859:MZT589859 NJO589859:NJP589859 NTK589859:NTL589859 ODG589859:ODH589859 ONC589859:OND589859 OWY589859:OWZ589859 PGU589859:PGV589859 PQQ589859:PQR589859 QAM589859:QAN589859 QKI589859:QKJ589859 QUE589859:QUF589859 REA589859:REB589859 RNW589859:RNX589859 RXS589859:RXT589859 SHO589859:SHP589859 SRK589859:SRL589859 TBG589859:TBH589859 TLC589859:TLD589859 TUY589859:TUZ589859 UEU589859:UEV589859 UOQ589859:UOR589859 UYM589859:UYN589859 VII589859:VIJ589859 VSE589859:VSF589859 WCA589859:WCB589859 WLW589859:WLX589859 WVS589859:WVT589859 K655395:L655395 JG655395:JH655395 TC655395:TD655395 ACY655395:ACZ655395 AMU655395:AMV655395 AWQ655395:AWR655395 BGM655395:BGN655395 BQI655395:BQJ655395 CAE655395:CAF655395 CKA655395:CKB655395 CTW655395:CTX655395 DDS655395:DDT655395 DNO655395:DNP655395 DXK655395:DXL655395 EHG655395:EHH655395 ERC655395:ERD655395 FAY655395:FAZ655395 FKU655395:FKV655395 FUQ655395:FUR655395 GEM655395:GEN655395 GOI655395:GOJ655395 GYE655395:GYF655395 HIA655395:HIB655395 HRW655395:HRX655395 IBS655395:IBT655395 ILO655395:ILP655395 IVK655395:IVL655395 JFG655395:JFH655395 JPC655395:JPD655395 JYY655395:JYZ655395 KIU655395:KIV655395 KSQ655395:KSR655395 LCM655395:LCN655395 LMI655395:LMJ655395 LWE655395:LWF655395 MGA655395:MGB655395 MPW655395:MPX655395 MZS655395:MZT655395 NJO655395:NJP655395 NTK655395:NTL655395 ODG655395:ODH655395 ONC655395:OND655395 OWY655395:OWZ655395 PGU655395:PGV655395 PQQ655395:PQR655395 QAM655395:QAN655395 QKI655395:QKJ655395 QUE655395:QUF655395 REA655395:REB655395 RNW655395:RNX655395 RXS655395:RXT655395 SHO655395:SHP655395 SRK655395:SRL655395 TBG655395:TBH655395 TLC655395:TLD655395 TUY655395:TUZ655395 UEU655395:UEV655395 UOQ655395:UOR655395 UYM655395:UYN655395 VII655395:VIJ655395 VSE655395:VSF655395 WCA655395:WCB655395 WLW655395:WLX655395 WVS655395:WVT655395 K720931:L720931 JG720931:JH720931 TC720931:TD720931 ACY720931:ACZ720931 AMU720931:AMV720931 AWQ720931:AWR720931 BGM720931:BGN720931 BQI720931:BQJ720931 CAE720931:CAF720931 CKA720931:CKB720931 CTW720931:CTX720931 DDS720931:DDT720931 DNO720931:DNP720931 DXK720931:DXL720931 EHG720931:EHH720931 ERC720931:ERD720931 FAY720931:FAZ720931 FKU720931:FKV720931 FUQ720931:FUR720931 GEM720931:GEN720931 GOI720931:GOJ720931 GYE720931:GYF720931 HIA720931:HIB720931 HRW720931:HRX720931 IBS720931:IBT720931 ILO720931:ILP720931 IVK720931:IVL720931 JFG720931:JFH720931 JPC720931:JPD720931 JYY720931:JYZ720931 KIU720931:KIV720931 KSQ720931:KSR720931 LCM720931:LCN720931 LMI720931:LMJ720931 LWE720931:LWF720931 MGA720931:MGB720931 MPW720931:MPX720931 MZS720931:MZT720931 NJO720931:NJP720931 NTK720931:NTL720931 ODG720931:ODH720931 ONC720931:OND720931 OWY720931:OWZ720931 PGU720931:PGV720931 PQQ720931:PQR720931 QAM720931:QAN720931 QKI720931:QKJ720931 QUE720931:QUF720931 REA720931:REB720931 RNW720931:RNX720931 RXS720931:RXT720931 SHO720931:SHP720931 SRK720931:SRL720931 TBG720931:TBH720931 TLC720931:TLD720931 TUY720931:TUZ720931 UEU720931:UEV720931 UOQ720931:UOR720931 UYM720931:UYN720931 VII720931:VIJ720931 VSE720931:VSF720931 WCA720931:WCB720931 WLW720931:WLX720931 WVS720931:WVT720931 K786467:L786467 JG786467:JH786467 TC786467:TD786467 ACY786467:ACZ786467 AMU786467:AMV786467 AWQ786467:AWR786467 BGM786467:BGN786467 BQI786467:BQJ786467 CAE786467:CAF786467 CKA786467:CKB786467 CTW786467:CTX786467 DDS786467:DDT786467 DNO786467:DNP786467 DXK786467:DXL786467 EHG786467:EHH786467 ERC786467:ERD786467 FAY786467:FAZ786467 FKU786467:FKV786467 FUQ786467:FUR786467 GEM786467:GEN786467 GOI786467:GOJ786467 GYE786467:GYF786467 HIA786467:HIB786467 HRW786467:HRX786467 IBS786467:IBT786467 ILO786467:ILP786467 IVK786467:IVL786467 JFG786467:JFH786467 JPC786467:JPD786467 JYY786467:JYZ786467 KIU786467:KIV786467 KSQ786467:KSR786467 LCM786467:LCN786467 LMI786467:LMJ786467 LWE786467:LWF786467 MGA786467:MGB786467 MPW786467:MPX786467 MZS786467:MZT786467 NJO786467:NJP786467 NTK786467:NTL786467 ODG786467:ODH786467 ONC786467:OND786467 OWY786467:OWZ786467 PGU786467:PGV786467 PQQ786467:PQR786467 QAM786467:QAN786467 QKI786467:QKJ786467 QUE786467:QUF786467 REA786467:REB786467 RNW786467:RNX786467 RXS786467:RXT786467 SHO786467:SHP786467 SRK786467:SRL786467 TBG786467:TBH786467 TLC786467:TLD786467 TUY786467:TUZ786467 UEU786467:UEV786467 UOQ786467:UOR786467 UYM786467:UYN786467 VII786467:VIJ786467 VSE786467:VSF786467 WCA786467:WCB786467 WLW786467:WLX786467 WVS786467:WVT786467 K852003:L852003 JG852003:JH852003 TC852003:TD852003 ACY852003:ACZ852003 AMU852003:AMV852003 AWQ852003:AWR852003 BGM852003:BGN852003 BQI852003:BQJ852003 CAE852003:CAF852003 CKA852003:CKB852003 CTW852003:CTX852003 DDS852003:DDT852003 DNO852003:DNP852003 DXK852003:DXL852003 EHG852003:EHH852003 ERC852003:ERD852003 FAY852003:FAZ852003 FKU852003:FKV852003 FUQ852003:FUR852003 GEM852003:GEN852003 GOI852003:GOJ852003 GYE852003:GYF852003 HIA852003:HIB852003 HRW852003:HRX852003 IBS852003:IBT852003 ILO852003:ILP852003 IVK852003:IVL852003 JFG852003:JFH852003 JPC852003:JPD852003 JYY852003:JYZ852003 KIU852003:KIV852003 KSQ852003:KSR852003 LCM852003:LCN852003 LMI852003:LMJ852003 LWE852003:LWF852003 MGA852003:MGB852003 MPW852003:MPX852003 MZS852003:MZT852003 NJO852003:NJP852003 NTK852003:NTL852003 ODG852003:ODH852003 ONC852003:OND852003 OWY852003:OWZ852003 PGU852003:PGV852003 PQQ852003:PQR852003 QAM852003:QAN852003 QKI852003:QKJ852003 QUE852003:QUF852003 REA852003:REB852003 RNW852003:RNX852003 RXS852003:RXT852003 SHO852003:SHP852003 SRK852003:SRL852003 TBG852003:TBH852003 TLC852003:TLD852003 TUY852003:TUZ852003 UEU852003:UEV852003 UOQ852003:UOR852003 UYM852003:UYN852003 VII852003:VIJ852003 VSE852003:VSF852003 WCA852003:WCB852003 WLW852003:WLX852003 WVS852003:WVT852003 K917539:L917539 JG917539:JH917539 TC917539:TD917539 ACY917539:ACZ917539 AMU917539:AMV917539 AWQ917539:AWR917539 BGM917539:BGN917539 BQI917539:BQJ917539 CAE917539:CAF917539 CKA917539:CKB917539 CTW917539:CTX917539 DDS917539:DDT917539 DNO917539:DNP917539 DXK917539:DXL917539 EHG917539:EHH917539 ERC917539:ERD917539 FAY917539:FAZ917539 FKU917539:FKV917539 FUQ917539:FUR917539 GEM917539:GEN917539 GOI917539:GOJ917539 GYE917539:GYF917539 HIA917539:HIB917539 HRW917539:HRX917539 IBS917539:IBT917539 ILO917539:ILP917539 IVK917539:IVL917539 JFG917539:JFH917539 JPC917539:JPD917539 JYY917539:JYZ917539 KIU917539:KIV917539 KSQ917539:KSR917539 LCM917539:LCN917539 LMI917539:LMJ917539 LWE917539:LWF917539 MGA917539:MGB917539 MPW917539:MPX917539 MZS917539:MZT917539 NJO917539:NJP917539 NTK917539:NTL917539 ODG917539:ODH917539 ONC917539:OND917539 OWY917539:OWZ917539 PGU917539:PGV917539 PQQ917539:PQR917539 QAM917539:QAN917539 QKI917539:QKJ917539 QUE917539:QUF917539 REA917539:REB917539 RNW917539:RNX917539 RXS917539:RXT917539 SHO917539:SHP917539 SRK917539:SRL917539 TBG917539:TBH917539 TLC917539:TLD917539 TUY917539:TUZ917539 UEU917539:UEV917539 UOQ917539:UOR917539 UYM917539:UYN917539 VII917539:VIJ917539 VSE917539:VSF917539 WCA917539:WCB917539 WLW917539:WLX917539 WVS917539:WVT917539 K983075:L983075 JG983075:JH983075 TC983075:TD983075 ACY983075:ACZ983075 AMU983075:AMV983075 AWQ983075:AWR983075 BGM983075:BGN983075 BQI983075:BQJ983075 CAE983075:CAF983075 CKA983075:CKB983075 CTW983075:CTX983075 DDS983075:DDT983075 DNO983075:DNP983075 DXK983075:DXL983075 EHG983075:EHH983075 ERC983075:ERD983075 FAY983075:FAZ983075 FKU983075:FKV983075 FUQ983075:FUR983075 GEM983075:GEN983075 GOI983075:GOJ983075 GYE983075:GYF983075 HIA983075:HIB983075 HRW983075:HRX983075 IBS983075:IBT983075 ILO983075:ILP983075 IVK983075:IVL983075 JFG983075:JFH983075 JPC983075:JPD983075 JYY983075:JYZ983075 KIU983075:KIV983075 KSQ983075:KSR983075 LCM983075:LCN983075 LMI983075:LMJ983075 LWE983075:LWF983075 MGA983075:MGB983075 MPW983075:MPX983075 MZS983075:MZT983075 NJO983075:NJP983075 NTK983075:NTL983075 ODG983075:ODH983075 ONC983075:OND983075 OWY983075:OWZ983075 PGU983075:PGV983075 PQQ983075:PQR983075 QAM983075:QAN983075 QKI983075:QKJ983075 QUE983075:QUF983075 REA983075:REB983075 RNW983075:RNX983075 RXS983075:RXT983075 SHO983075:SHP983075 SRK983075:SRL983075 TBG983075:TBH983075 TLC983075:TLD983075 TUY983075:TUZ983075 UEU983075:UEV983075 UOQ983075:UOR983075 UYM983075:UYN983075 VII983075:VIJ983075 VSE983075:VSF983075 WCA983075:WCB983075 WLW983075:WLX983075 WVS983075:WVT983075 K32:L32 JG32:JH32 TC32:TD32 ACY32:ACZ32 AMU32:AMV32 AWQ32:AWR32 BGM32:BGN32 BQI32:BQJ32 CAE32:CAF32 CKA32:CKB32 CTW32:CTX32 DDS32:DDT32 DNO32:DNP32 DXK32:DXL32 EHG32:EHH32 ERC32:ERD32 FAY32:FAZ32 FKU32:FKV32 FUQ32:FUR32 GEM32:GEN32 GOI32:GOJ32 GYE32:GYF32 HIA32:HIB32 HRW32:HRX32 IBS32:IBT32 ILO32:ILP32 IVK32:IVL32 JFG32:JFH32 JPC32:JPD32 JYY32:JYZ32 KIU32:KIV32 KSQ32:KSR32 LCM32:LCN32 LMI32:LMJ32 LWE32:LWF32 MGA32:MGB32 MPW32:MPX32 MZS32:MZT32 NJO32:NJP32 NTK32:NTL32 ODG32:ODH32 ONC32:OND32 OWY32:OWZ32 PGU32:PGV32 PQQ32:PQR32 QAM32:QAN32 QKI32:QKJ32 QUE32:QUF32 REA32:REB32 RNW32:RNX32 RXS32:RXT32 SHO32:SHP32 SRK32:SRL32 TBG32:TBH32 TLC32:TLD32 TUY32:TUZ32 UEU32:UEV32 UOQ32:UOR32 UYM32:UYN32 VII32:VIJ32 VSE32:VSF32 WCA32:WCB32 WLW32:WLX32 WVS32:WVT32 K65568:L65568 JG65568:JH65568 TC65568:TD65568 ACY65568:ACZ65568 AMU65568:AMV65568 AWQ65568:AWR65568 BGM65568:BGN65568 BQI65568:BQJ65568 CAE65568:CAF65568 CKA65568:CKB65568 CTW65568:CTX65568 DDS65568:DDT65568 DNO65568:DNP65568 DXK65568:DXL65568 EHG65568:EHH65568 ERC65568:ERD65568 FAY65568:FAZ65568 FKU65568:FKV65568 FUQ65568:FUR65568 GEM65568:GEN65568 GOI65568:GOJ65568 GYE65568:GYF65568 HIA65568:HIB65568 HRW65568:HRX65568 IBS65568:IBT65568 ILO65568:ILP65568 IVK65568:IVL65568 JFG65568:JFH65568 JPC65568:JPD65568 JYY65568:JYZ65568 KIU65568:KIV65568 KSQ65568:KSR65568 LCM65568:LCN65568 LMI65568:LMJ65568 LWE65568:LWF65568 MGA65568:MGB65568 MPW65568:MPX65568 MZS65568:MZT65568 NJO65568:NJP65568 NTK65568:NTL65568 ODG65568:ODH65568 ONC65568:OND65568 OWY65568:OWZ65568 PGU65568:PGV65568 PQQ65568:PQR65568 QAM65568:QAN65568 QKI65568:QKJ65568 QUE65568:QUF65568 REA65568:REB65568 RNW65568:RNX65568 RXS65568:RXT65568 SHO65568:SHP65568 SRK65568:SRL65568 TBG65568:TBH65568 TLC65568:TLD65568 TUY65568:TUZ65568 UEU65568:UEV65568 UOQ65568:UOR65568 UYM65568:UYN65568 VII65568:VIJ65568 VSE65568:VSF65568 WCA65568:WCB65568 WLW65568:WLX65568 WVS65568:WVT65568 K131104:L131104 JG131104:JH131104 TC131104:TD131104 ACY131104:ACZ131104 AMU131104:AMV131104 AWQ131104:AWR131104 BGM131104:BGN131104 BQI131104:BQJ131104 CAE131104:CAF131104 CKA131104:CKB131104 CTW131104:CTX131104 DDS131104:DDT131104 DNO131104:DNP131104 DXK131104:DXL131104 EHG131104:EHH131104 ERC131104:ERD131104 FAY131104:FAZ131104 FKU131104:FKV131104 FUQ131104:FUR131104 GEM131104:GEN131104 GOI131104:GOJ131104 GYE131104:GYF131104 HIA131104:HIB131104 HRW131104:HRX131104 IBS131104:IBT131104 ILO131104:ILP131104 IVK131104:IVL131104 JFG131104:JFH131104 JPC131104:JPD131104 JYY131104:JYZ131104 KIU131104:KIV131104 KSQ131104:KSR131104 LCM131104:LCN131104 LMI131104:LMJ131104 LWE131104:LWF131104 MGA131104:MGB131104 MPW131104:MPX131104 MZS131104:MZT131104 NJO131104:NJP131104 NTK131104:NTL131104 ODG131104:ODH131104 ONC131104:OND131104 OWY131104:OWZ131104 PGU131104:PGV131104 PQQ131104:PQR131104 QAM131104:QAN131104 QKI131104:QKJ131104 QUE131104:QUF131104 REA131104:REB131104 RNW131104:RNX131104 RXS131104:RXT131104 SHO131104:SHP131104 SRK131104:SRL131104 TBG131104:TBH131104 TLC131104:TLD131104 TUY131104:TUZ131104 UEU131104:UEV131104 UOQ131104:UOR131104 UYM131104:UYN131104 VII131104:VIJ131104 VSE131104:VSF131104 WCA131104:WCB131104 WLW131104:WLX131104 WVS131104:WVT131104 K196640:L196640 JG196640:JH196640 TC196640:TD196640 ACY196640:ACZ196640 AMU196640:AMV196640 AWQ196640:AWR196640 BGM196640:BGN196640 BQI196640:BQJ196640 CAE196640:CAF196640 CKA196640:CKB196640 CTW196640:CTX196640 DDS196640:DDT196640 DNO196640:DNP196640 DXK196640:DXL196640 EHG196640:EHH196640 ERC196640:ERD196640 FAY196640:FAZ196640 FKU196640:FKV196640 FUQ196640:FUR196640 GEM196640:GEN196640 GOI196640:GOJ196640 GYE196640:GYF196640 HIA196640:HIB196640 HRW196640:HRX196640 IBS196640:IBT196640 ILO196640:ILP196640 IVK196640:IVL196640 JFG196640:JFH196640 JPC196640:JPD196640 JYY196640:JYZ196640 KIU196640:KIV196640 KSQ196640:KSR196640 LCM196640:LCN196640 LMI196640:LMJ196640 LWE196640:LWF196640 MGA196640:MGB196640 MPW196640:MPX196640 MZS196640:MZT196640 NJO196640:NJP196640 NTK196640:NTL196640 ODG196640:ODH196640 ONC196640:OND196640 OWY196640:OWZ196640 PGU196640:PGV196640 PQQ196640:PQR196640 QAM196640:QAN196640 QKI196640:QKJ196640 QUE196640:QUF196640 REA196640:REB196640 RNW196640:RNX196640 RXS196640:RXT196640 SHO196640:SHP196640 SRK196640:SRL196640 TBG196640:TBH196640 TLC196640:TLD196640 TUY196640:TUZ196640 UEU196640:UEV196640 UOQ196640:UOR196640 UYM196640:UYN196640 VII196640:VIJ196640 VSE196640:VSF196640 WCA196640:WCB196640 WLW196640:WLX196640 WVS196640:WVT196640 K262176:L262176 JG262176:JH262176 TC262176:TD262176 ACY262176:ACZ262176 AMU262176:AMV262176 AWQ262176:AWR262176 BGM262176:BGN262176 BQI262176:BQJ262176 CAE262176:CAF262176 CKA262176:CKB262176 CTW262176:CTX262176 DDS262176:DDT262176 DNO262176:DNP262176 DXK262176:DXL262176 EHG262176:EHH262176 ERC262176:ERD262176 FAY262176:FAZ262176 FKU262176:FKV262176 FUQ262176:FUR262176 GEM262176:GEN262176 GOI262176:GOJ262176 GYE262176:GYF262176 HIA262176:HIB262176 HRW262176:HRX262176 IBS262176:IBT262176 ILO262176:ILP262176 IVK262176:IVL262176 JFG262176:JFH262176 JPC262176:JPD262176 JYY262176:JYZ262176 KIU262176:KIV262176 KSQ262176:KSR262176 LCM262176:LCN262176 LMI262176:LMJ262176 LWE262176:LWF262176 MGA262176:MGB262176 MPW262176:MPX262176 MZS262176:MZT262176 NJO262176:NJP262176 NTK262176:NTL262176 ODG262176:ODH262176 ONC262176:OND262176 OWY262176:OWZ262176 PGU262176:PGV262176 PQQ262176:PQR262176 QAM262176:QAN262176 QKI262176:QKJ262176 QUE262176:QUF262176 REA262176:REB262176 RNW262176:RNX262176 RXS262176:RXT262176 SHO262176:SHP262176 SRK262176:SRL262176 TBG262176:TBH262176 TLC262176:TLD262176 TUY262176:TUZ262176 UEU262176:UEV262176 UOQ262176:UOR262176 UYM262176:UYN262176 VII262176:VIJ262176 VSE262176:VSF262176 WCA262176:WCB262176 WLW262176:WLX262176 WVS262176:WVT262176 K327712:L327712 JG327712:JH327712 TC327712:TD327712 ACY327712:ACZ327712 AMU327712:AMV327712 AWQ327712:AWR327712 BGM327712:BGN327712 BQI327712:BQJ327712 CAE327712:CAF327712 CKA327712:CKB327712 CTW327712:CTX327712 DDS327712:DDT327712 DNO327712:DNP327712 DXK327712:DXL327712 EHG327712:EHH327712 ERC327712:ERD327712 FAY327712:FAZ327712 FKU327712:FKV327712 FUQ327712:FUR327712 GEM327712:GEN327712 GOI327712:GOJ327712 GYE327712:GYF327712 HIA327712:HIB327712 HRW327712:HRX327712 IBS327712:IBT327712 ILO327712:ILP327712 IVK327712:IVL327712 JFG327712:JFH327712 JPC327712:JPD327712 JYY327712:JYZ327712 KIU327712:KIV327712 KSQ327712:KSR327712 LCM327712:LCN327712 LMI327712:LMJ327712 LWE327712:LWF327712 MGA327712:MGB327712 MPW327712:MPX327712 MZS327712:MZT327712 NJO327712:NJP327712 NTK327712:NTL327712 ODG327712:ODH327712 ONC327712:OND327712 OWY327712:OWZ327712 PGU327712:PGV327712 PQQ327712:PQR327712 QAM327712:QAN327712 QKI327712:QKJ327712 QUE327712:QUF327712 REA327712:REB327712 RNW327712:RNX327712 RXS327712:RXT327712 SHO327712:SHP327712 SRK327712:SRL327712 TBG327712:TBH327712 TLC327712:TLD327712 TUY327712:TUZ327712 UEU327712:UEV327712 UOQ327712:UOR327712 UYM327712:UYN327712 VII327712:VIJ327712 VSE327712:VSF327712 WCA327712:WCB327712 WLW327712:WLX327712 WVS327712:WVT327712 K393248:L393248 JG393248:JH393248 TC393248:TD393248 ACY393248:ACZ393248 AMU393248:AMV393248 AWQ393248:AWR393248 BGM393248:BGN393248 BQI393248:BQJ393248 CAE393248:CAF393248 CKA393248:CKB393248 CTW393248:CTX393248 DDS393248:DDT393248 DNO393248:DNP393248 DXK393248:DXL393248 EHG393248:EHH393248 ERC393248:ERD393248 FAY393248:FAZ393248 FKU393248:FKV393248 FUQ393248:FUR393248 GEM393248:GEN393248 GOI393248:GOJ393248 GYE393248:GYF393248 HIA393248:HIB393248 HRW393248:HRX393248 IBS393248:IBT393248 ILO393248:ILP393248 IVK393248:IVL393248 JFG393248:JFH393248 JPC393248:JPD393248 JYY393248:JYZ393248 KIU393248:KIV393248 KSQ393248:KSR393248 LCM393248:LCN393248 LMI393248:LMJ393248 LWE393248:LWF393248 MGA393248:MGB393248 MPW393248:MPX393248 MZS393248:MZT393248 NJO393248:NJP393248 NTK393248:NTL393248 ODG393248:ODH393248 ONC393248:OND393248 OWY393248:OWZ393248 PGU393248:PGV393248 PQQ393248:PQR393248 QAM393248:QAN393248 QKI393248:QKJ393248 QUE393248:QUF393248 REA393248:REB393248 RNW393248:RNX393248 RXS393248:RXT393248 SHO393248:SHP393248 SRK393248:SRL393248 TBG393248:TBH393248 TLC393248:TLD393248 TUY393248:TUZ393248 UEU393248:UEV393248 UOQ393248:UOR393248 UYM393248:UYN393248 VII393248:VIJ393248 VSE393248:VSF393248 WCA393248:WCB393248 WLW393248:WLX393248 WVS393248:WVT393248 K458784:L458784 JG458784:JH458784 TC458784:TD458784 ACY458784:ACZ458784 AMU458784:AMV458784 AWQ458784:AWR458784 BGM458784:BGN458784 BQI458784:BQJ458784 CAE458784:CAF458784 CKA458784:CKB458784 CTW458784:CTX458784 DDS458784:DDT458784 DNO458784:DNP458784 DXK458784:DXL458784 EHG458784:EHH458784 ERC458784:ERD458784 FAY458784:FAZ458784 FKU458784:FKV458784 FUQ458784:FUR458784 GEM458784:GEN458784 GOI458784:GOJ458784 GYE458784:GYF458784 HIA458784:HIB458784 HRW458784:HRX458784 IBS458784:IBT458784 ILO458784:ILP458784 IVK458784:IVL458784 JFG458784:JFH458784 JPC458784:JPD458784 JYY458784:JYZ458784 KIU458784:KIV458784 KSQ458784:KSR458784 LCM458784:LCN458784 LMI458784:LMJ458784 LWE458784:LWF458784 MGA458784:MGB458784 MPW458784:MPX458784 MZS458784:MZT458784 NJO458784:NJP458784 NTK458784:NTL458784 ODG458784:ODH458784 ONC458784:OND458784 OWY458784:OWZ458784 PGU458784:PGV458784 PQQ458784:PQR458784 QAM458784:QAN458784 QKI458784:QKJ458784 QUE458784:QUF458784 REA458784:REB458784 RNW458784:RNX458784 RXS458784:RXT458784 SHO458784:SHP458784 SRK458784:SRL458784 TBG458784:TBH458784 TLC458784:TLD458784 TUY458784:TUZ458784 UEU458784:UEV458784 UOQ458784:UOR458784 UYM458784:UYN458784 VII458784:VIJ458784 VSE458784:VSF458784 WCA458784:WCB458784 WLW458784:WLX458784 WVS458784:WVT458784 K524320:L524320 JG524320:JH524320 TC524320:TD524320 ACY524320:ACZ524320 AMU524320:AMV524320 AWQ524320:AWR524320 BGM524320:BGN524320 BQI524320:BQJ524320 CAE524320:CAF524320 CKA524320:CKB524320 CTW524320:CTX524320 DDS524320:DDT524320 DNO524320:DNP524320 DXK524320:DXL524320 EHG524320:EHH524320 ERC524320:ERD524320 FAY524320:FAZ524320 FKU524320:FKV524320 FUQ524320:FUR524320 GEM524320:GEN524320 GOI524320:GOJ524320 GYE524320:GYF524320 HIA524320:HIB524320 HRW524320:HRX524320 IBS524320:IBT524320 ILO524320:ILP524320 IVK524320:IVL524320 JFG524320:JFH524320 JPC524320:JPD524320 JYY524320:JYZ524320 KIU524320:KIV524320 KSQ524320:KSR524320 LCM524320:LCN524320 LMI524320:LMJ524320 LWE524320:LWF524320 MGA524320:MGB524320 MPW524320:MPX524320 MZS524320:MZT524320 NJO524320:NJP524320 NTK524320:NTL524320 ODG524320:ODH524320 ONC524320:OND524320 OWY524320:OWZ524320 PGU524320:PGV524320 PQQ524320:PQR524320 QAM524320:QAN524320 QKI524320:QKJ524320 QUE524320:QUF524320 REA524320:REB524320 RNW524320:RNX524320 RXS524320:RXT524320 SHO524320:SHP524320 SRK524320:SRL524320 TBG524320:TBH524320 TLC524320:TLD524320 TUY524320:TUZ524320 UEU524320:UEV524320 UOQ524320:UOR524320 UYM524320:UYN524320 VII524320:VIJ524320 VSE524320:VSF524320 WCA524320:WCB524320 WLW524320:WLX524320 WVS524320:WVT524320 K589856:L589856 JG589856:JH589856 TC589856:TD589856 ACY589856:ACZ589856 AMU589856:AMV589856 AWQ589856:AWR589856 BGM589856:BGN589856 BQI589856:BQJ589856 CAE589856:CAF589856 CKA589856:CKB589856 CTW589856:CTX589856 DDS589856:DDT589856 DNO589856:DNP589856 DXK589856:DXL589856 EHG589856:EHH589856 ERC589856:ERD589856 FAY589856:FAZ589856 FKU589856:FKV589856 FUQ589856:FUR589856 GEM589856:GEN589856 GOI589856:GOJ589856 GYE589856:GYF589856 HIA589856:HIB589856 HRW589856:HRX589856 IBS589856:IBT589856 ILO589856:ILP589856 IVK589856:IVL589856 JFG589856:JFH589856 JPC589856:JPD589856 JYY589856:JYZ589856 KIU589856:KIV589856 KSQ589856:KSR589856 LCM589856:LCN589856 LMI589856:LMJ589856 LWE589856:LWF589856 MGA589856:MGB589856 MPW589856:MPX589856 MZS589856:MZT589856 NJO589856:NJP589856 NTK589856:NTL589856 ODG589856:ODH589856 ONC589856:OND589856 OWY589856:OWZ589856 PGU589856:PGV589856 PQQ589856:PQR589856 QAM589856:QAN589856 QKI589856:QKJ589856 QUE589856:QUF589856 REA589856:REB589856 RNW589856:RNX589856 RXS589856:RXT589856 SHO589856:SHP589856 SRK589856:SRL589856 TBG589856:TBH589856 TLC589856:TLD589856 TUY589856:TUZ589856 UEU589856:UEV589856 UOQ589856:UOR589856 UYM589856:UYN589856 VII589856:VIJ589856 VSE589856:VSF589856 WCA589856:WCB589856 WLW589856:WLX589856 WVS589856:WVT589856 K655392:L655392 JG655392:JH655392 TC655392:TD655392 ACY655392:ACZ655392 AMU655392:AMV655392 AWQ655392:AWR655392 BGM655392:BGN655392 BQI655392:BQJ655392 CAE655392:CAF655392 CKA655392:CKB655392 CTW655392:CTX655392 DDS655392:DDT655392 DNO655392:DNP655392 DXK655392:DXL655392 EHG655392:EHH655392 ERC655392:ERD655392 FAY655392:FAZ655392 FKU655392:FKV655392 FUQ655392:FUR655392 GEM655392:GEN655392 GOI655392:GOJ655392 GYE655392:GYF655392 HIA655392:HIB655392 HRW655392:HRX655392 IBS655392:IBT655392 ILO655392:ILP655392 IVK655392:IVL655392 JFG655392:JFH655392 JPC655392:JPD655392 JYY655392:JYZ655392 KIU655392:KIV655392 KSQ655392:KSR655392 LCM655392:LCN655392 LMI655392:LMJ655392 LWE655392:LWF655392 MGA655392:MGB655392 MPW655392:MPX655392 MZS655392:MZT655392 NJO655392:NJP655392 NTK655392:NTL655392 ODG655392:ODH655392 ONC655392:OND655392 OWY655392:OWZ655392 PGU655392:PGV655392 PQQ655392:PQR655392 QAM655392:QAN655392 QKI655392:QKJ655392 QUE655392:QUF655392 REA655392:REB655392 RNW655392:RNX655392 RXS655392:RXT655392 SHO655392:SHP655392 SRK655392:SRL655392 TBG655392:TBH655392 TLC655392:TLD655392 TUY655392:TUZ655392 UEU655392:UEV655392 UOQ655392:UOR655392 UYM655392:UYN655392 VII655392:VIJ655392 VSE655392:VSF655392 WCA655392:WCB655392 WLW655392:WLX655392 WVS655392:WVT655392 K720928:L720928 JG720928:JH720928 TC720928:TD720928 ACY720928:ACZ720928 AMU720928:AMV720928 AWQ720928:AWR720928 BGM720928:BGN720928 BQI720928:BQJ720928 CAE720928:CAF720928 CKA720928:CKB720928 CTW720928:CTX720928 DDS720928:DDT720928 DNO720928:DNP720928 DXK720928:DXL720928 EHG720928:EHH720928 ERC720928:ERD720928 FAY720928:FAZ720928 FKU720928:FKV720928 FUQ720928:FUR720928 GEM720928:GEN720928 GOI720928:GOJ720928 GYE720928:GYF720928 HIA720928:HIB720928 HRW720928:HRX720928 IBS720928:IBT720928 ILO720928:ILP720928 IVK720928:IVL720928 JFG720928:JFH720928 JPC720928:JPD720928 JYY720928:JYZ720928 KIU720928:KIV720928 KSQ720928:KSR720928 LCM720928:LCN720928 LMI720928:LMJ720928 LWE720928:LWF720928 MGA720928:MGB720928 MPW720928:MPX720928 MZS720928:MZT720928 NJO720928:NJP720928 NTK720928:NTL720928 ODG720928:ODH720928 ONC720928:OND720928 OWY720928:OWZ720928 PGU720928:PGV720928 PQQ720928:PQR720928 QAM720928:QAN720928 QKI720928:QKJ720928 QUE720928:QUF720928 REA720928:REB720928 RNW720928:RNX720928 RXS720928:RXT720928 SHO720928:SHP720928 SRK720928:SRL720928 TBG720928:TBH720928 TLC720928:TLD720928 TUY720928:TUZ720928 UEU720928:UEV720928 UOQ720928:UOR720928 UYM720928:UYN720928 VII720928:VIJ720928 VSE720928:VSF720928 WCA720928:WCB720928 WLW720928:WLX720928 WVS720928:WVT720928 K786464:L786464 JG786464:JH786464 TC786464:TD786464 ACY786464:ACZ786464 AMU786464:AMV786464 AWQ786464:AWR786464 BGM786464:BGN786464 BQI786464:BQJ786464 CAE786464:CAF786464 CKA786464:CKB786464 CTW786464:CTX786464 DDS786464:DDT786464 DNO786464:DNP786464 DXK786464:DXL786464 EHG786464:EHH786464 ERC786464:ERD786464 FAY786464:FAZ786464 FKU786464:FKV786464 FUQ786464:FUR786464 GEM786464:GEN786464 GOI786464:GOJ786464 GYE786464:GYF786464 HIA786464:HIB786464 HRW786464:HRX786464 IBS786464:IBT786464 ILO786464:ILP786464 IVK786464:IVL786464 JFG786464:JFH786464 JPC786464:JPD786464 JYY786464:JYZ786464 KIU786464:KIV786464 KSQ786464:KSR786464 LCM786464:LCN786464 LMI786464:LMJ786464 LWE786464:LWF786464 MGA786464:MGB786464 MPW786464:MPX786464 MZS786464:MZT786464 NJO786464:NJP786464 NTK786464:NTL786464 ODG786464:ODH786464 ONC786464:OND786464 OWY786464:OWZ786464 PGU786464:PGV786464 PQQ786464:PQR786464 QAM786464:QAN786464 QKI786464:QKJ786464 QUE786464:QUF786464 REA786464:REB786464 RNW786464:RNX786464 RXS786464:RXT786464 SHO786464:SHP786464 SRK786464:SRL786464 TBG786464:TBH786464 TLC786464:TLD786464 TUY786464:TUZ786464 UEU786464:UEV786464 UOQ786464:UOR786464 UYM786464:UYN786464 VII786464:VIJ786464 VSE786464:VSF786464 WCA786464:WCB786464 WLW786464:WLX786464 WVS786464:WVT786464 K852000:L852000 JG852000:JH852000 TC852000:TD852000 ACY852000:ACZ852000 AMU852000:AMV852000 AWQ852000:AWR852000 BGM852000:BGN852000 BQI852000:BQJ852000 CAE852000:CAF852000 CKA852000:CKB852000 CTW852000:CTX852000 DDS852000:DDT852000 DNO852000:DNP852000 DXK852000:DXL852000 EHG852000:EHH852000 ERC852000:ERD852000 FAY852000:FAZ852000 FKU852000:FKV852000 FUQ852000:FUR852000 GEM852000:GEN852000 GOI852000:GOJ852000 GYE852000:GYF852000 HIA852000:HIB852000 HRW852000:HRX852000 IBS852000:IBT852000 ILO852000:ILP852000 IVK852000:IVL852000 JFG852000:JFH852000 JPC852000:JPD852000 JYY852000:JYZ852000 KIU852000:KIV852000 KSQ852000:KSR852000 LCM852000:LCN852000 LMI852000:LMJ852000 LWE852000:LWF852000 MGA852000:MGB852000 MPW852000:MPX852000 MZS852000:MZT852000 NJO852000:NJP852000 NTK852000:NTL852000 ODG852000:ODH852000 ONC852000:OND852000 OWY852000:OWZ852000 PGU852000:PGV852000 PQQ852000:PQR852000 QAM852000:QAN852000 QKI852000:QKJ852000 QUE852000:QUF852000 REA852000:REB852000 RNW852000:RNX852000 RXS852000:RXT852000 SHO852000:SHP852000 SRK852000:SRL852000 TBG852000:TBH852000 TLC852000:TLD852000 TUY852000:TUZ852000 UEU852000:UEV852000 UOQ852000:UOR852000 UYM852000:UYN852000 VII852000:VIJ852000 VSE852000:VSF852000 WCA852000:WCB852000 WLW852000:WLX852000 WVS852000:WVT852000 K917536:L917536 JG917536:JH917536 TC917536:TD917536 ACY917536:ACZ917536 AMU917536:AMV917536 AWQ917536:AWR917536 BGM917536:BGN917536 BQI917536:BQJ917536 CAE917536:CAF917536 CKA917536:CKB917536 CTW917536:CTX917536 DDS917536:DDT917536 DNO917536:DNP917536 DXK917536:DXL917536 EHG917536:EHH917536 ERC917536:ERD917536 FAY917536:FAZ917536 FKU917536:FKV917536 FUQ917536:FUR917536 GEM917536:GEN917536 GOI917536:GOJ917536 GYE917536:GYF917536 HIA917536:HIB917536 HRW917536:HRX917536 IBS917536:IBT917536 ILO917536:ILP917536 IVK917536:IVL917536 JFG917536:JFH917536 JPC917536:JPD917536 JYY917536:JYZ917536 KIU917536:KIV917536 KSQ917536:KSR917536 LCM917536:LCN917536 LMI917536:LMJ917536 LWE917536:LWF917536 MGA917536:MGB917536 MPW917536:MPX917536 MZS917536:MZT917536 NJO917536:NJP917536 NTK917536:NTL917536 ODG917536:ODH917536 ONC917536:OND917536 OWY917536:OWZ917536 PGU917536:PGV917536 PQQ917536:PQR917536 QAM917536:QAN917536 QKI917536:QKJ917536 QUE917536:QUF917536 REA917536:REB917536 RNW917536:RNX917536 RXS917536:RXT917536 SHO917536:SHP917536 SRK917536:SRL917536 TBG917536:TBH917536 TLC917536:TLD917536 TUY917536:TUZ917536 UEU917536:UEV917536 UOQ917536:UOR917536 UYM917536:UYN917536 VII917536:VIJ917536 VSE917536:VSF917536 WCA917536:WCB917536 WLW917536:WLX917536 WVS917536:WVT917536 K983072:L983072 JG983072:JH983072 TC983072:TD983072 ACY983072:ACZ983072 AMU983072:AMV983072 AWQ983072:AWR983072 BGM983072:BGN983072 BQI983072:BQJ983072 CAE983072:CAF983072 CKA983072:CKB983072 CTW983072:CTX983072 DDS983072:DDT983072 DNO983072:DNP983072 DXK983072:DXL983072 EHG983072:EHH983072 ERC983072:ERD983072 FAY983072:FAZ983072 FKU983072:FKV983072 FUQ983072:FUR983072 GEM983072:GEN983072 GOI983072:GOJ983072 GYE983072:GYF983072 HIA983072:HIB983072 HRW983072:HRX983072 IBS983072:IBT983072 ILO983072:ILP983072 IVK983072:IVL983072 JFG983072:JFH983072 JPC983072:JPD983072 JYY983072:JYZ983072 KIU983072:KIV983072 KSQ983072:KSR983072 LCM983072:LCN983072 LMI983072:LMJ983072 LWE983072:LWF983072 MGA983072:MGB983072 MPW983072:MPX983072 MZS983072:MZT983072 NJO983072:NJP983072 NTK983072:NTL983072 ODG983072:ODH983072 ONC983072:OND983072 OWY983072:OWZ983072 PGU983072:PGV983072 PQQ983072:PQR983072 QAM983072:QAN983072 QKI983072:QKJ983072 QUE983072:QUF983072 REA983072:REB983072 RNW983072:RNX983072 RXS983072:RXT983072 SHO983072:SHP983072 SRK983072:SRL983072 TBG983072:TBH983072 TLC983072:TLD983072 TUY983072:TUZ983072 UEU983072:UEV983072 UOQ983072:UOR983072 UYM983072:UYN983072 VII983072:VIJ983072 VSE983072:VSF983072 WCA983072:WCB983072 WLW983072:WLX983072 WVS983072:WVT983072 K29:L29 JG29:JH29 TC29:TD29 ACY29:ACZ29 AMU29:AMV29 AWQ29:AWR29 BGM29:BGN29 BQI29:BQJ29 CAE29:CAF29 CKA29:CKB29 CTW29:CTX29 DDS29:DDT29 DNO29:DNP29 DXK29:DXL29 EHG29:EHH29 ERC29:ERD29 FAY29:FAZ29 FKU29:FKV29 FUQ29:FUR29 GEM29:GEN29 GOI29:GOJ29 GYE29:GYF29 HIA29:HIB29 HRW29:HRX29 IBS29:IBT29 ILO29:ILP29 IVK29:IVL29 JFG29:JFH29 JPC29:JPD29 JYY29:JYZ29 KIU29:KIV29 KSQ29:KSR29 LCM29:LCN29 LMI29:LMJ29 LWE29:LWF29 MGA29:MGB29 MPW29:MPX29 MZS29:MZT29 NJO29:NJP29 NTK29:NTL29 ODG29:ODH29 ONC29:OND29 OWY29:OWZ29 PGU29:PGV29 PQQ29:PQR29 QAM29:QAN29 QKI29:QKJ29 QUE29:QUF29 REA29:REB29 RNW29:RNX29 RXS29:RXT29 SHO29:SHP29 SRK29:SRL29 TBG29:TBH29 TLC29:TLD29 TUY29:TUZ29 UEU29:UEV29 UOQ29:UOR29 UYM29:UYN29 VII29:VIJ29 VSE29:VSF29 WCA29:WCB29 WLW29:WLX29 WVS29:WVT29 K65565:L65565 JG65565:JH65565 TC65565:TD65565 ACY65565:ACZ65565 AMU65565:AMV65565 AWQ65565:AWR65565 BGM65565:BGN65565 BQI65565:BQJ65565 CAE65565:CAF65565 CKA65565:CKB65565 CTW65565:CTX65565 DDS65565:DDT65565 DNO65565:DNP65565 DXK65565:DXL65565 EHG65565:EHH65565 ERC65565:ERD65565 FAY65565:FAZ65565 FKU65565:FKV65565 FUQ65565:FUR65565 GEM65565:GEN65565 GOI65565:GOJ65565 GYE65565:GYF65565 HIA65565:HIB65565 HRW65565:HRX65565 IBS65565:IBT65565 ILO65565:ILP65565 IVK65565:IVL65565 JFG65565:JFH65565 JPC65565:JPD65565 JYY65565:JYZ65565 KIU65565:KIV65565 KSQ65565:KSR65565 LCM65565:LCN65565 LMI65565:LMJ65565 LWE65565:LWF65565 MGA65565:MGB65565 MPW65565:MPX65565 MZS65565:MZT65565 NJO65565:NJP65565 NTK65565:NTL65565 ODG65565:ODH65565 ONC65565:OND65565 OWY65565:OWZ65565 PGU65565:PGV65565 PQQ65565:PQR65565 QAM65565:QAN65565 QKI65565:QKJ65565 QUE65565:QUF65565 REA65565:REB65565 RNW65565:RNX65565 RXS65565:RXT65565 SHO65565:SHP65565 SRK65565:SRL65565 TBG65565:TBH65565 TLC65565:TLD65565 TUY65565:TUZ65565 UEU65565:UEV65565 UOQ65565:UOR65565 UYM65565:UYN65565 VII65565:VIJ65565 VSE65565:VSF65565 WCA65565:WCB65565 WLW65565:WLX65565 WVS65565:WVT65565 K131101:L131101 JG131101:JH131101 TC131101:TD131101 ACY131101:ACZ131101 AMU131101:AMV131101 AWQ131101:AWR131101 BGM131101:BGN131101 BQI131101:BQJ131101 CAE131101:CAF131101 CKA131101:CKB131101 CTW131101:CTX131101 DDS131101:DDT131101 DNO131101:DNP131101 DXK131101:DXL131101 EHG131101:EHH131101 ERC131101:ERD131101 FAY131101:FAZ131101 FKU131101:FKV131101 FUQ131101:FUR131101 GEM131101:GEN131101 GOI131101:GOJ131101 GYE131101:GYF131101 HIA131101:HIB131101 HRW131101:HRX131101 IBS131101:IBT131101 ILO131101:ILP131101 IVK131101:IVL131101 JFG131101:JFH131101 JPC131101:JPD131101 JYY131101:JYZ131101 KIU131101:KIV131101 KSQ131101:KSR131101 LCM131101:LCN131101 LMI131101:LMJ131101 LWE131101:LWF131101 MGA131101:MGB131101 MPW131101:MPX131101 MZS131101:MZT131101 NJO131101:NJP131101 NTK131101:NTL131101 ODG131101:ODH131101 ONC131101:OND131101 OWY131101:OWZ131101 PGU131101:PGV131101 PQQ131101:PQR131101 QAM131101:QAN131101 QKI131101:QKJ131101 QUE131101:QUF131101 REA131101:REB131101 RNW131101:RNX131101 RXS131101:RXT131101 SHO131101:SHP131101 SRK131101:SRL131101 TBG131101:TBH131101 TLC131101:TLD131101 TUY131101:TUZ131101 UEU131101:UEV131101 UOQ131101:UOR131101 UYM131101:UYN131101 VII131101:VIJ131101 VSE131101:VSF131101 WCA131101:WCB131101 WLW131101:WLX131101 WVS131101:WVT131101 K196637:L196637 JG196637:JH196637 TC196637:TD196637 ACY196637:ACZ196637 AMU196637:AMV196637 AWQ196637:AWR196637 BGM196637:BGN196637 BQI196637:BQJ196637 CAE196637:CAF196637 CKA196637:CKB196637 CTW196637:CTX196637 DDS196637:DDT196637 DNO196637:DNP196637 DXK196637:DXL196637 EHG196637:EHH196637 ERC196637:ERD196637 FAY196637:FAZ196637 FKU196637:FKV196637 FUQ196637:FUR196637 GEM196637:GEN196637 GOI196637:GOJ196637 GYE196637:GYF196637 HIA196637:HIB196637 HRW196637:HRX196637 IBS196637:IBT196637 ILO196637:ILP196637 IVK196637:IVL196637 JFG196637:JFH196637 JPC196637:JPD196637 JYY196637:JYZ196637 KIU196637:KIV196637 KSQ196637:KSR196637 LCM196637:LCN196637 LMI196637:LMJ196637 LWE196637:LWF196637 MGA196637:MGB196637 MPW196637:MPX196637 MZS196637:MZT196637 NJO196637:NJP196637 NTK196637:NTL196637 ODG196637:ODH196637 ONC196637:OND196637 OWY196637:OWZ196637 PGU196637:PGV196637 PQQ196637:PQR196637 QAM196637:QAN196637 QKI196637:QKJ196637 QUE196637:QUF196637 REA196637:REB196637 RNW196637:RNX196637 RXS196637:RXT196637 SHO196637:SHP196637 SRK196637:SRL196637 TBG196637:TBH196637 TLC196637:TLD196637 TUY196637:TUZ196637 UEU196637:UEV196637 UOQ196637:UOR196637 UYM196637:UYN196637 VII196637:VIJ196637 VSE196637:VSF196637 WCA196637:WCB196637 WLW196637:WLX196637 WVS196637:WVT196637 K262173:L262173 JG262173:JH262173 TC262173:TD262173 ACY262173:ACZ262173 AMU262173:AMV262173 AWQ262173:AWR262173 BGM262173:BGN262173 BQI262173:BQJ262173 CAE262173:CAF262173 CKA262173:CKB262173 CTW262173:CTX262173 DDS262173:DDT262173 DNO262173:DNP262173 DXK262173:DXL262173 EHG262173:EHH262173 ERC262173:ERD262173 FAY262173:FAZ262173 FKU262173:FKV262173 FUQ262173:FUR262173 GEM262173:GEN262173 GOI262173:GOJ262173 GYE262173:GYF262173 HIA262173:HIB262173 HRW262173:HRX262173 IBS262173:IBT262173 ILO262173:ILP262173 IVK262173:IVL262173 JFG262173:JFH262173 JPC262173:JPD262173 JYY262173:JYZ262173 KIU262173:KIV262173 KSQ262173:KSR262173 LCM262173:LCN262173 LMI262173:LMJ262173 LWE262173:LWF262173 MGA262173:MGB262173 MPW262173:MPX262173 MZS262173:MZT262173 NJO262173:NJP262173 NTK262173:NTL262173 ODG262173:ODH262173 ONC262173:OND262173 OWY262173:OWZ262173 PGU262173:PGV262173 PQQ262173:PQR262173 QAM262173:QAN262173 QKI262173:QKJ262173 QUE262173:QUF262173 REA262173:REB262173 RNW262173:RNX262173 RXS262173:RXT262173 SHO262173:SHP262173 SRK262173:SRL262173 TBG262173:TBH262173 TLC262173:TLD262173 TUY262173:TUZ262173 UEU262173:UEV262173 UOQ262173:UOR262173 UYM262173:UYN262173 VII262173:VIJ262173 VSE262173:VSF262173 WCA262173:WCB262173 WLW262173:WLX262173 WVS262173:WVT262173 K327709:L327709 JG327709:JH327709 TC327709:TD327709 ACY327709:ACZ327709 AMU327709:AMV327709 AWQ327709:AWR327709 BGM327709:BGN327709 BQI327709:BQJ327709 CAE327709:CAF327709 CKA327709:CKB327709 CTW327709:CTX327709 DDS327709:DDT327709 DNO327709:DNP327709 DXK327709:DXL327709 EHG327709:EHH327709 ERC327709:ERD327709 FAY327709:FAZ327709 FKU327709:FKV327709 FUQ327709:FUR327709 GEM327709:GEN327709 GOI327709:GOJ327709 GYE327709:GYF327709 HIA327709:HIB327709 HRW327709:HRX327709 IBS327709:IBT327709 ILO327709:ILP327709 IVK327709:IVL327709 JFG327709:JFH327709 JPC327709:JPD327709 JYY327709:JYZ327709 KIU327709:KIV327709 KSQ327709:KSR327709 LCM327709:LCN327709 LMI327709:LMJ327709 LWE327709:LWF327709 MGA327709:MGB327709 MPW327709:MPX327709 MZS327709:MZT327709 NJO327709:NJP327709 NTK327709:NTL327709 ODG327709:ODH327709 ONC327709:OND327709 OWY327709:OWZ327709 PGU327709:PGV327709 PQQ327709:PQR327709 QAM327709:QAN327709 QKI327709:QKJ327709 QUE327709:QUF327709 REA327709:REB327709 RNW327709:RNX327709 RXS327709:RXT327709 SHO327709:SHP327709 SRK327709:SRL327709 TBG327709:TBH327709 TLC327709:TLD327709 TUY327709:TUZ327709 UEU327709:UEV327709 UOQ327709:UOR327709 UYM327709:UYN327709 VII327709:VIJ327709 VSE327709:VSF327709 WCA327709:WCB327709 WLW327709:WLX327709 WVS327709:WVT327709 K393245:L393245 JG393245:JH393245 TC393245:TD393245 ACY393245:ACZ393245 AMU393245:AMV393245 AWQ393245:AWR393245 BGM393245:BGN393245 BQI393245:BQJ393245 CAE393245:CAF393245 CKA393245:CKB393245 CTW393245:CTX393245 DDS393245:DDT393245 DNO393245:DNP393245 DXK393245:DXL393245 EHG393245:EHH393245 ERC393245:ERD393245 FAY393245:FAZ393245 FKU393245:FKV393245 FUQ393245:FUR393245 GEM393245:GEN393245 GOI393245:GOJ393245 GYE393245:GYF393245 HIA393245:HIB393245 HRW393245:HRX393245 IBS393245:IBT393245 ILO393245:ILP393245 IVK393245:IVL393245 JFG393245:JFH393245 JPC393245:JPD393245 JYY393245:JYZ393245 KIU393245:KIV393245 KSQ393245:KSR393245 LCM393245:LCN393245 LMI393245:LMJ393245 LWE393245:LWF393245 MGA393245:MGB393245 MPW393245:MPX393245 MZS393245:MZT393245 NJO393245:NJP393245 NTK393245:NTL393245 ODG393245:ODH393245 ONC393245:OND393245 OWY393245:OWZ393245 PGU393245:PGV393245 PQQ393245:PQR393245 QAM393245:QAN393245 QKI393245:QKJ393245 QUE393245:QUF393245 REA393245:REB393245 RNW393245:RNX393245 RXS393245:RXT393245 SHO393245:SHP393245 SRK393245:SRL393245 TBG393245:TBH393245 TLC393245:TLD393245 TUY393245:TUZ393245 UEU393245:UEV393245 UOQ393245:UOR393245 UYM393245:UYN393245 VII393245:VIJ393245 VSE393245:VSF393245 WCA393245:WCB393245 WLW393245:WLX393245 WVS393245:WVT393245 K458781:L458781 JG458781:JH458781 TC458781:TD458781 ACY458781:ACZ458781 AMU458781:AMV458781 AWQ458781:AWR458781 BGM458781:BGN458781 BQI458781:BQJ458781 CAE458781:CAF458781 CKA458781:CKB458781 CTW458781:CTX458781 DDS458781:DDT458781 DNO458781:DNP458781 DXK458781:DXL458781 EHG458781:EHH458781 ERC458781:ERD458781 FAY458781:FAZ458781 FKU458781:FKV458781 FUQ458781:FUR458781 GEM458781:GEN458781 GOI458781:GOJ458781 GYE458781:GYF458781 HIA458781:HIB458781 HRW458781:HRX458781 IBS458781:IBT458781 ILO458781:ILP458781 IVK458781:IVL458781 JFG458781:JFH458781 JPC458781:JPD458781 JYY458781:JYZ458781 KIU458781:KIV458781 KSQ458781:KSR458781 LCM458781:LCN458781 LMI458781:LMJ458781 LWE458781:LWF458781 MGA458781:MGB458781 MPW458781:MPX458781 MZS458781:MZT458781 NJO458781:NJP458781 NTK458781:NTL458781 ODG458781:ODH458781 ONC458781:OND458781 OWY458781:OWZ458781 PGU458781:PGV458781 PQQ458781:PQR458781 QAM458781:QAN458781 QKI458781:QKJ458781 QUE458781:QUF458781 REA458781:REB458781 RNW458781:RNX458781 RXS458781:RXT458781 SHO458781:SHP458781 SRK458781:SRL458781 TBG458781:TBH458781 TLC458781:TLD458781 TUY458781:TUZ458781 UEU458781:UEV458781 UOQ458781:UOR458781 UYM458781:UYN458781 VII458781:VIJ458781 VSE458781:VSF458781 WCA458781:WCB458781 WLW458781:WLX458781 WVS458781:WVT458781 K524317:L524317 JG524317:JH524317 TC524317:TD524317 ACY524317:ACZ524317 AMU524317:AMV524317 AWQ524317:AWR524317 BGM524317:BGN524317 BQI524317:BQJ524317 CAE524317:CAF524317 CKA524317:CKB524317 CTW524317:CTX524317 DDS524317:DDT524317 DNO524317:DNP524317 DXK524317:DXL524317 EHG524317:EHH524317 ERC524317:ERD524317 FAY524317:FAZ524317 FKU524317:FKV524317 FUQ524317:FUR524317 GEM524317:GEN524317 GOI524317:GOJ524317 GYE524317:GYF524317 HIA524317:HIB524317 HRW524317:HRX524317 IBS524317:IBT524317 ILO524317:ILP524317 IVK524317:IVL524317 JFG524317:JFH524317 JPC524317:JPD524317 JYY524317:JYZ524317 KIU524317:KIV524317 KSQ524317:KSR524317 LCM524317:LCN524317 LMI524317:LMJ524317 LWE524317:LWF524317 MGA524317:MGB524317 MPW524317:MPX524317 MZS524317:MZT524317 NJO524317:NJP524317 NTK524317:NTL524317 ODG524317:ODH524317 ONC524317:OND524317 OWY524317:OWZ524317 PGU524317:PGV524317 PQQ524317:PQR524317 QAM524317:QAN524317 QKI524317:QKJ524317 QUE524317:QUF524317 REA524317:REB524317 RNW524317:RNX524317 RXS524317:RXT524317 SHO524317:SHP524317 SRK524317:SRL524317 TBG524317:TBH524317 TLC524317:TLD524317 TUY524317:TUZ524317 UEU524317:UEV524317 UOQ524317:UOR524317 UYM524317:UYN524317 VII524317:VIJ524317 VSE524317:VSF524317 WCA524317:WCB524317 WLW524317:WLX524317 WVS524317:WVT524317 K589853:L589853 JG589853:JH589853 TC589853:TD589853 ACY589853:ACZ589853 AMU589853:AMV589853 AWQ589853:AWR589853 BGM589853:BGN589853 BQI589853:BQJ589853 CAE589853:CAF589853 CKA589853:CKB589853 CTW589853:CTX589853 DDS589853:DDT589853 DNO589853:DNP589853 DXK589853:DXL589853 EHG589853:EHH589853 ERC589853:ERD589853 FAY589853:FAZ589853 FKU589853:FKV589853 FUQ589853:FUR589853 GEM589853:GEN589853 GOI589853:GOJ589853 GYE589853:GYF589853 HIA589853:HIB589853 HRW589853:HRX589853 IBS589853:IBT589853 ILO589853:ILP589853 IVK589853:IVL589853 JFG589853:JFH589853 JPC589853:JPD589853 JYY589853:JYZ589853 KIU589853:KIV589853 KSQ589853:KSR589853 LCM589853:LCN589853 LMI589853:LMJ589853 LWE589853:LWF589853 MGA589853:MGB589853 MPW589853:MPX589853 MZS589853:MZT589853 NJO589853:NJP589853 NTK589853:NTL589853 ODG589853:ODH589853 ONC589853:OND589853 OWY589853:OWZ589853 PGU589853:PGV589853 PQQ589853:PQR589853 QAM589853:QAN589853 QKI589853:QKJ589853 QUE589853:QUF589853 REA589853:REB589853 RNW589853:RNX589853 RXS589853:RXT589853 SHO589853:SHP589853 SRK589853:SRL589853 TBG589853:TBH589853 TLC589853:TLD589853 TUY589853:TUZ589853 UEU589853:UEV589853 UOQ589853:UOR589853 UYM589853:UYN589853 VII589853:VIJ589853 VSE589853:VSF589853 WCA589853:WCB589853 WLW589853:WLX589853 WVS589853:WVT589853 K655389:L655389 JG655389:JH655389 TC655389:TD655389 ACY655389:ACZ655389 AMU655389:AMV655389 AWQ655389:AWR655389 BGM655389:BGN655389 BQI655389:BQJ655389 CAE655389:CAF655389 CKA655389:CKB655389 CTW655389:CTX655389 DDS655389:DDT655389 DNO655389:DNP655389 DXK655389:DXL655389 EHG655389:EHH655389 ERC655389:ERD655389 FAY655389:FAZ655389 FKU655389:FKV655389 FUQ655389:FUR655389 GEM655389:GEN655389 GOI655389:GOJ655389 GYE655389:GYF655389 HIA655389:HIB655389 HRW655389:HRX655389 IBS655389:IBT655389 ILO655389:ILP655389 IVK655389:IVL655389 JFG655389:JFH655389 JPC655389:JPD655389 JYY655389:JYZ655389 KIU655389:KIV655389 KSQ655389:KSR655389 LCM655389:LCN655389 LMI655389:LMJ655389 LWE655389:LWF655389 MGA655389:MGB655389 MPW655389:MPX655389 MZS655389:MZT655389 NJO655389:NJP655389 NTK655389:NTL655389 ODG655389:ODH655389 ONC655389:OND655389 OWY655389:OWZ655389 PGU655389:PGV655389 PQQ655389:PQR655389 QAM655389:QAN655389 QKI655389:QKJ655389 QUE655389:QUF655389 REA655389:REB655389 RNW655389:RNX655389 RXS655389:RXT655389 SHO655389:SHP655389 SRK655389:SRL655389 TBG655389:TBH655389 TLC655389:TLD655389 TUY655389:TUZ655389 UEU655389:UEV655389 UOQ655389:UOR655389 UYM655389:UYN655389 VII655389:VIJ655389 VSE655389:VSF655389 WCA655389:WCB655389 WLW655389:WLX655389 WVS655389:WVT655389 K720925:L720925 JG720925:JH720925 TC720925:TD720925 ACY720925:ACZ720925 AMU720925:AMV720925 AWQ720925:AWR720925 BGM720925:BGN720925 BQI720925:BQJ720925 CAE720925:CAF720925 CKA720925:CKB720925 CTW720925:CTX720925 DDS720925:DDT720925 DNO720925:DNP720925 DXK720925:DXL720925 EHG720925:EHH720925 ERC720925:ERD720925 FAY720925:FAZ720925 FKU720925:FKV720925 FUQ720925:FUR720925 GEM720925:GEN720925 GOI720925:GOJ720925 GYE720925:GYF720925 HIA720925:HIB720925 HRW720925:HRX720925 IBS720925:IBT720925 ILO720925:ILP720925 IVK720925:IVL720925 JFG720925:JFH720925 JPC720925:JPD720925 JYY720925:JYZ720925 KIU720925:KIV720925 KSQ720925:KSR720925 LCM720925:LCN720925 LMI720925:LMJ720925 LWE720925:LWF720925 MGA720925:MGB720925 MPW720925:MPX720925 MZS720925:MZT720925 NJO720925:NJP720925 NTK720925:NTL720925 ODG720925:ODH720925 ONC720925:OND720925 OWY720925:OWZ720925 PGU720925:PGV720925 PQQ720925:PQR720925 QAM720925:QAN720925 QKI720925:QKJ720925 QUE720925:QUF720925 REA720925:REB720925 RNW720925:RNX720925 RXS720925:RXT720925 SHO720925:SHP720925 SRK720925:SRL720925 TBG720925:TBH720925 TLC720925:TLD720925 TUY720925:TUZ720925 UEU720925:UEV720925 UOQ720925:UOR720925 UYM720925:UYN720925 VII720925:VIJ720925 VSE720925:VSF720925 WCA720925:WCB720925 WLW720925:WLX720925 WVS720925:WVT720925 K786461:L786461 JG786461:JH786461 TC786461:TD786461 ACY786461:ACZ786461 AMU786461:AMV786461 AWQ786461:AWR786461 BGM786461:BGN786461 BQI786461:BQJ786461 CAE786461:CAF786461 CKA786461:CKB786461 CTW786461:CTX786461 DDS786461:DDT786461 DNO786461:DNP786461 DXK786461:DXL786461 EHG786461:EHH786461 ERC786461:ERD786461 FAY786461:FAZ786461 FKU786461:FKV786461 FUQ786461:FUR786461 GEM786461:GEN786461 GOI786461:GOJ786461 GYE786461:GYF786461 HIA786461:HIB786461 HRW786461:HRX786461 IBS786461:IBT786461 ILO786461:ILP786461 IVK786461:IVL786461 JFG786461:JFH786461 JPC786461:JPD786461 JYY786461:JYZ786461 KIU786461:KIV786461 KSQ786461:KSR786461 LCM786461:LCN786461 LMI786461:LMJ786461 LWE786461:LWF786461 MGA786461:MGB786461 MPW786461:MPX786461 MZS786461:MZT786461 NJO786461:NJP786461 NTK786461:NTL786461 ODG786461:ODH786461 ONC786461:OND786461 OWY786461:OWZ786461 PGU786461:PGV786461 PQQ786461:PQR786461 QAM786461:QAN786461 QKI786461:QKJ786461 QUE786461:QUF786461 REA786461:REB786461 RNW786461:RNX786461 RXS786461:RXT786461 SHO786461:SHP786461 SRK786461:SRL786461 TBG786461:TBH786461 TLC786461:TLD786461 TUY786461:TUZ786461 UEU786461:UEV786461 UOQ786461:UOR786461 UYM786461:UYN786461 VII786461:VIJ786461 VSE786461:VSF786461 WCA786461:WCB786461 WLW786461:WLX786461 WVS786461:WVT786461 K851997:L851997 JG851997:JH851997 TC851997:TD851997 ACY851997:ACZ851997 AMU851997:AMV851997 AWQ851997:AWR851997 BGM851997:BGN851997 BQI851997:BQJ851997 CAE851997:CAF851997 CKA851997:CKB851997 CTW851997:CTX851997 DDS851997:DDT851997 DNO851997:DNP851997 DXK851997:DXL851997 EHG851997:EHH851997 ERC851997:ERD851997 FAY851997:FAZ851997 FKU851997:FKV851997 FUQ851997:FUR851997 GEM851997:GEN851997 GOI851997:GOJ851997 GYE851997:GYF851997 HIA851997:HIB851997 HRW851997:HRX851997 IBS851997:IBT851997 ILO851997:ILP851997 IVK851997:IVL851997 JFG851997:JFH851997 JPC851997:JPD851997 JYY851997:JYZ851997 KIU851997:KIV851997 KSQ851997:KSR851997 LCM851997:LCN851997 LMI851997:LMJ851997 LWE851997:LWF851997 MGA851997:MGB851997 MPW851997:MPX851997 MZS851997:MZT851997 NJO851997:NJP851997 NTK851997:NTL851997 ODG851997:ODH851997 ONC851997:OND851997 OWY851997:OWZ851997 PGU851997:PGV851997 PQQ851997:PQR851997 QAM851997:QAN851997 QKI851997:QKJ851997 QUE851997:QUF851997 REA851997:REB851997 RNW851997:RNX851997 RXS851997:RXT851997 SHO851997:SHP851997 SRK851997:SRL851997 TBG851997:TBH851997 TLC851997:TLD851997 TUY851997:TUZ851997 UEU851997:UEV851997 UOQ851997:UOR851997 UYM851997:UYN851997 VII851997:VIJ851997 VSE851997:VSF851997 WCA851997:WCB851997 WLW851997:WLX851997 WVS851997:WVT851997 K917533:L917533 JG917533:JH917533 TC917533:TD917533 ACY917533:ACZ917533 AMU917533:AMV917533 AWQ917533:AWR917533 BGM917533:BGN917533 BQI917533:BQJ917533 CAE917533:CAF917533 CKA917533:CKB917533 CTW917533:CTX917533 DDS917533:DDT917533 DNO917533:DNP917533 DXK917533:DXL917533 EHG917533:EHH917533 ERC917533:ERD917533 FAY917533:FAZ917533 FKU917533:FKV917533 FUQ917533:FUR917533 GEM917533:GEN917533 GOI917533:GOJ917533 GYE917533:GYF917533 HIA917533:HIB917533 HRW917533:HRX917533 IBS917533:IBT917533 ILO917533:ILP917533 IVK917533:IVL917533 JFG917533:JFH917533 JPC917533:JPD917533 JYY917533:JYZ917533 KIU917533:KIV917533 KSQ917533:KSR917533 LCM917533:LCN917533 LMI917533:LMJ917533 LWE917533:LWF917533 MGA917533:MGB917533 MPW917533:MPX917533 MZS917533:MZT917533 NJO917533:NJP917533 NTK917533:NTL917533 ODG917533:ODH917533 ONC917533:OND917533 OWY917533:OWZ917533 PGU917533:PGV917533 PQQ917533:PQR917533 QAM917533:QAN917533 QKI917533:QKJ917533 QUE917533:QUF917533 REA917533:REB917533 RNW917533:RNX917533 RXS917533:RXT917533 SHO917533:SHP917533 SRK917533:SRL917533 TBG917533:TBH917533 TLC917533:TLD917533 TUY917533:TUZ917533 UEU917533:UEV917533 UOQ917533:UOR917533 UYM917533:UYN917533 VII917533:VIJ917533 VSE917533:VSF917533 WCA917533:WCB917533 WLW917533:WLX917533 WVS917533:WVT917533 K983069:L983069 JG983069:JH983069 TC983069:TD983069 ACY983069:ACZ983069 AMU983069:AMV983069 AWQ983069:AWR983069 BGM983069:BGN983069 BQI983069:BQJ983069 CAE983069:CAF983069 CKA983069:CKB983069 CTW983069:CTX983069 DDS983069:DDT983069 DNO983069:DNP983069 DXK983069:DXL983069 EHG983069:EHH983069 ERC983069:ERD983069 FAY983069:FAZ983069 FKU983069:FKV983069 FUQ983069:FUR983069 GEM983069:GEN983069 GOI983069:GOJ983069 GYE983069:GYF983069 HIA983069:HIB983069 HRW983069:HRX983069 IBS983069:IBT983069 ILO983069:ILP983069 IVK983069:IVL983069 JFG983069:JFH983069 JPC983069:JPD983069 JYY983069:JYZ983069 KIU983069:KIV983069 KSQ983069:KSR983069 LCM983069:LCN983069 LMI983069:LMJ983069 LWE983069:LWF983069 MGA983069:MGB983069 MPW983069:MPX983069 MZS983069:MZT983069 NJO983069:NJP983069 NTK983069:NTL983069 ODG983069:ODH983069 ONC983069:OND983069 OWY983069:OWZ983069 PGU983069:PGV983069 PQQ983069:PQR983069 QAM983069:QAN983069 QKI983069:QKJ983069 QUE983069:QUF983069 REA983069:REB983069 RNW983069:RNX983069 RXS983069:RXT983069 SHO983069:SHP983069 SRK983069:SRL983069 TBG983069:TBH983069 TLC983069:TLD983069 TUY983069:TUZ983069 UEU983069:UEV983069 UOQ983069:UOR983069 UYM983069:UYN983069 VII983069:VIJ983069 VSE983069:VSF983069 WCA983069:WCB983069 WLW983069:WLX983069 WVS983069:WVT983069 K26:L26 JG26:JH26 TC26:TD26 ACY26:ACZ26 AMU26:AMV26 AWQ26:AWR26 BGM26:BGN26 BQI26:BQJ26 CAE26:CAF26 CKA26:CKB26 CTW26:CTX26 DDS26:DDT26 DNO26:DNP26 DXK26:DXL26 EHG26:EHH26 ERC26:ERD26 FAY26:FAZ26 FKU26:FKV26 FUQ26:FUR26 GEM26:GEN26 GOI26:GOJ26 GYE26:GYF26 HIA26:HIB26 HRW26:HRX26 IBS26:IBT26 ILO26:ILP26 IVK26:IVL26 JFG26:JFH26 JPC26:JPD26 JYY26:JYZ26 KIU26:KIV26 KSQ26:KSR26 LCM26:LCN26 LMI26:LMJ26 LWE26:LWF26 MGA26:MGB26 MPW26:MPX26 MZS26:MZT26 NJO26:NJP26 NTK26:NTL26 ODG26:ODH26 ONC26:OND26 OWY26:OWZ26 PGU26:PGV26 PQQ26:PQR26 QAM26:QAN26 QKI26:QKJ26 QUE26:QUF26 REA26:REB26 RNW26:RNX26 RXS26:RXT26 SHO26:SHP26 SRK26:SRL26 TBG26:TBH26 TLC26:TLD26 TUY26:TUZ26 UEU26:UEV26 UOQ26:UOR26 UYM26:UYN26 VII26:VIJ26 VSE26:VSF26 WCA26:WCB26 WLW26:WLX26 WVS26:WVT26 K65562:L65562 JG65562:JH65562 TC65562:TD65562 ACY65562:ACZ65562 AMU65562:AMV65562 AWQ65562:AWR65562 BGM65562:BGN65562 BQI65562:BQJ65562 CAE65562:CAF65562 CKA65562:CKB65562 CTW65562:CTX65562 DDS65562:DDT65562 DNO65562:DNP65562 DXK65562:DXL65562 EHG65562:EHH65562 ERC65562:ERD65562 FAY65562:FAZ65562 FKU65562:FKV65562 FUQ65562:FUR65562 GEM65562:GEN65562 GOI65562:GOJ65562 GYE65562:GYF65562 HIA65562:HIB65562 HRW65562:HRX65562 IBS65562:IBT65562 ILO65562:ILP65562 IVK65562:IVL65562 JFG65562:JFH65562 JPC65562:JPD65562 JYY65562:JYZ65562 KIU65562:KIV65562 KSQ65562:KSR65562 LCM65562:LCN65562 LMI65562:LMJ65562 LWE65562:LWF65562 MGA65562:MGB65562 MPW65562:MPX65562 MZS65562:MZT65562 NJO65562:NJP65562 NTK65562:NTL65562 ODG65562:ODH65562 ONC65562:OND65562 OWY65562:OWZ65562 PGU65562:PGV65562 PQQ65562:PQR65562 QAM65562:QAN65562 QKI65562:QKJ65562 QUE65562:QUF65562 REA65562:REB65562 RNW65562:RNX65562 RXS65562:RXT65562 SHO65562:SHP65562 SRK65562:SRL65562 TBG65562:TBH65562 TLC65562:TLD65562 TUY65562:TUZ65562 UEU65562:UEV65562 UOQ65562:UOR65562 UYM65562:UYN65562 VII65562:VIJ65562 VSE65562:VSF65562 WCA65562:WCB65562 WLW65562:WLX65562 WVS65562:WVT65562 K131098:L131098 JG131098:JH131098 TC131098:TD131098 ACY131098:ACZ131098 AMU131098:AMV131098 AWQ131098:AWR131098 BGM131098:BGN131098 BQI131098:BQJ131098 CAE131098:CAF131098 CKA131098:CKB131098 CTW131098:CTX131098 DDS131098:DDT131098 DNO131098:DNP131098 DXK131098:DXL131098 EHG131098:EHH131098 ERC131098:ERD131098 FAY131098:FAZ131098 FKU131098:FKV131098 FUQ131098:FUR131098 GEM131098:GEN131098 GOI131098:GOJ131098 GYE131098:GYF131098 HIA131098:HIB131098 HRW131098:HRX131098 IBS131098:IBT131098 ILO131098:ILP131098 IVK131098:IVL131098 JFG131098:JFH131098 JPC131098:JPD131098 JYY131098:JYZ131098 KIU131098:KIV131098 KSQ131098:KSR131098 LCM131098:LCN131098 LMI131098:LMJ131098 LWE131098:LWF131098 MGA131098:MGB131098 MPW131098:MPX131098 MZS131098:MZT131098 NJO131098:NJP131098 NTK131098:NTL131098 ODG131098:ODH131098 ONC131098:OND131098 OWY131098:OWZ131098 PGU131098:PGV131098 PQQ131098:PQR131098 QAM131098:QAN131098 QKI131098:QKJ131098 QUE131098:QUF131098 REA131098:REB131098 RNW131098:RNX131098 RXS131098:RXT131098 SHO131098:SHP131098 SRK131098:SRL131098 TBG131098:TBH131098 TLC131098:TLD131098 TUY131098:TUZ131098 UEU131098:UEV131098 UOQ131098:UOR131098 UYM131098:UYN131098 VII131098:VIJ131098 VSE131098:VSF131098 WCA131098:WCB131098 WLW131098:WLX131098 WVS131098:WVT131098 K196634:L196634 JG196634:JH196634 TC196634:TD196634 ACY196634:ACZ196634 AMU196634:AMV196634 AWQ196634:AWR196634 BGM196634:BGN196634 BQI196634:BQJ196634 CAE196634:CAF196634 CKA196634:CKB196634 CTW196634:CTX196634 DDS196634:DDT196634 DNO196634:DNP196634 DXK196634:DXL196634 EHG196634:EHH196634 ERC196634:ERD196634 FAY196634:FAZ196634 FKU196634:FKV196634 FUQ196634:FUR196634 GEM196634:GEN196634 GOI196634:GOJ196634 GYE196634:GYF196634 HIA196634:HIB196634 HRW196634:HRX196634 IBS196634:IBT196634 ILO196634:ILP196634 IVK196634:IVL196634 JFG196634:JFH196634 JPC196634:JPD196634 JYY196634:JYZ196634 KIU196634:KIV196634 KSQ196634:KSR196634 LCM196634:LCN196634 LMI196634:LMJ196634 LWE196634:LWF196634 MGA196634:MGB196634 MPW196634:MPX196634 MZS196634:MZT196634 NJO196634:NJP196634 NTK196634:NTL196634 ODG196634:ODH196634 ONC196634:OND196634 OWY196634:OWZ196634 PGU196634:PGV196634 PQQ196634:PQR196634 QAM196634:QAN196634 QKI196634:QKJ196634 QUE196634:QUF196634 REA196634:REB196634 RNW196634:RNX196634 RXS196634:RXT196634 SHO196634:SHP196634 SRK196634:SRL196634 TBG196634:TBH196634 TLC196634:TLD196634 TUY196634:TUZ196634 UEU196634:UEV196634 UOQ196634:UOR196634 UYM196634:UYN196634 VII196634:VIJ196634 VSE196634:VSF196634 WCA196634:WCB196634 WLW196634:WLX196634 WVS196634:WVT196634 K262170:L262170 JG262170:JH262170 TC262170:TD262170 ACY262170:ACZ262170 AMU262170:AMV262170 AWQ262170:AWR262170 BGM262170:BGN262170 BQI262170:BQJ262170 CAE262170:CAF262170 CKA262170:CKB262170 CTW262170:CTX262170 DDS262170:DDT262170 DNO262170:DNP262170 DXK262170:DXL262170 EHG262170:EHH262170 ERC262170:ERD262170 FAY262170:FAZ262170 FKU262170:FKV262170 FUQ262170:FUR262170 GEM262170:GEN262170 GOI262170:GOJ262170 GYE262170:GYF262170 HIA262170:HIB262170 HRW262170:HRX262170 IBS262170:IBT262170 ILO262170:ILP262170 IVK262170:IVL262170 JFG262170:JFH262170 JPC262170:JPD262170 JYY262170:JYZ262170 KIU262170:KIV262170 KSQ262170:KSR262170 LCM262170:LCN262170 LMI262170:LMJ262170 LWE262170:LWF262170 MGA262170:MGB262170 MPW262170:MPX262170 MZS262170:MZT262170 NJO262170:NJP262170 NTK262170:NTL262170 ODG262170:ODH262170 ONC262170:OND262170 OWY262170:OWZ262170 PGU262170:PGV262170 PQQ262170:PQR262170 QAM262170:QAN262170 QKI262170:QKJ262170 QUE262170:QUF262170 REA262170:REB262170 RNW262170:RNX262170 RXS262170:RXT262170 SHO262170:SHP262170 SRK262170:SRL262170 TBG262170:TBH262170 TLC262170:TLD262170 TUY262170:TUZ262170 UEU262170:UEV262170 UOQ262170:UOR262170 UYM262170:UYN262170 VII262170:VIJ262170 VSE262170:VSF262170 WCA262170:WCB262170 WLW262170:WLX262170 WVS262170:WVT262170 K327706:L327706 JG327706:JH327706 TC327706:TD327706 ACY327706:ACZ327706 AMU327706:AMV327706 AWQ327706:AWR327706 BGM327706:BGN327706 BQI327706:BQJ327706 CAE327706:CAF327706 CKA327706:CKB327706 CTW327706:CTX327706 DDS327706:DDT327706 DNO327706:DNP327706 DXK327706:DXL327706 EHG327706:EHH327706 ERC327706:ERD327706 FAY327706:FAZ327706 FKU327706:FKV327706 FUQ327706:FUR327706 GEM327706:GEN327706 GOI327706:GOJ327706 GYE327706:GYF327706 HIA327706:HIB327706 HRW327706:HRX327706 IBS327706:IBT327706 ILO327706:ILP327706 IVK327706:IVL327706 JFG327706:JFH327706 JPC327706:JPD327706 JYY327706:JYZ327706 KIU327706:KIV327706 KSQ327706:KSR327706 LCM327706:LCN327706 LMI327706:LMJ327706 LWE327706:LWF327706 MGA327706:MGB327706 MPW327706:MPX327706 MZS327706:MZT327706 NJO327706:NJP327706 NTK327706:NTL327706 ODG327706:ODH327706 ONC327706:OND327706 OWY327706:OWZ327706 PGU327706:PGV327706 PQQ327706:PQR327706 QAM327706:QAN327706 QKI327706:QKJ327706 QUE327706:QUF327706 REA327706:REB327706 RNW327706:RNX327706 RXS327706:RXT327706 SHO327706:SHP327706 SRK327706:SRL327706 TBG327706:TBH327706 TLC327706:TLD327706 TUY327706:TUZ327706 UEU327706:UEV327706 UOQ327706:UOR327706 UYM327706:UYN327706 VII327706:VIJ327706 VSE327706:VSF327706 WCA327706:WCB327706 WLW327706:WLX327706 WVS327706:WVT327706 K393242:L393242 JG393242:JH393242 TC393242:TD393242 ACY393242:ACZ393242 AMU393242:AMV393242 AWQ393242:AWR393242 BGM393242:BGN393242 BQI393242:BQJ393242 CAE393242:CAF393242 CKA393242:CKB393242 CTW393242:CTX393242 DDS393242:DDT393242 DNO393242:DNP393242 DXK393242:DXL393242 EHG393242:EHH393242 ERC393242:ERD393242 FAY393242:FAZ393242 FKU393242:FKV393242 FUQ393242:FUR393242 GEM393242:GEN393242 GOI393242:GOJ393242 GYE393242:GYF393242 HIA393242:HIB393242 HRW393242:HRX393242 IBS393242:IBT393242 ILO393242:ILP393242 IVK393242:IVL393242 JFG393242:JFH393242 JPC393242:JPD393242 JYY393242:JYZ393242 KIU393242:KIV393242 KSQ393242:KSR393242 LCM393242:LCN393242 LMI393242:LMJ393242 LWE393242:LWF393242 MGA393242:MGB393242 MPW393242:MPX393242 MZS393242:MZT393242 NJO393242:NJP393242 NTK393242:NTL393242 ODG393242:ODH393242 ONC393242:OND393242 OWY393242:OWZ393242 PGU393242:PGV393242 PQQ393242:PQR393242 QAM393242:QAN393242 QKI393242:QKJ393242 QUE393242:QUF393242 REA393242:REB393242 RNW393242:RNX393242 RXS393242:RXT393242 SHO393242:SHP393242 SRK393242:SRL393242 TBG393242:TBH393242 TLC393242:TLD393242 TUY393242:TUZ393242 UEU393242:UEV393242 UOQ393242:UOR393242 UYM393242:UYN393242 VII393242:VIJ393242 VSE393242:VSF393242 WCA393242:WCB393242 WLW393242:WLX393242 WVS393242:WVT393242 K458778:L458778 JG458778:JH458778 TC458778:TD458778 ACY458778:ACZ458778 AMU458778:AMV458778 AWQ458778:AWR458778 BGM458778:BGN458778 BQI458778:BQJ458778 CAE458778:CAF458778 CKA458778:CKB458778 CTW458778:CTX458778 DDS458778:DDT458778 DNO458778:DNP458778 DXK458778:DXL458778 EHG458778:EHH458778 ERC458778:ERD458778 FAY458778:FAZ458778 FKU458778:FKV458778 FUQ458778:FUR458778 GEM458778:GEN458778 GOI458778:GOJ458778 GYE458778:GYF458778 HIA458778:HIB458778 HRW458778:HRX458778 IBS458778:IBT458778 ILO458778:ILP458778 IVK458778:IVL458778 JFG458778:JFH458778 JPC458778:JPD458778 JYY458778:JYZ458778 KIU458778:KIV458778 KSQ458778:KSR458778 LCM458778:LCN458778 LMI458778:LMJ458778 LWE458778:LWF458778 MGA458778:MGB458778 MPW458778:MPX458778 MZS458778:MZT458778 NJO458778:NJP458778 NTK458778:NTL458778 ODG458778:ODH458778 ONC458778:OND458778 OWY458778:OWZ458778 PGU458778:PGV458778 PQQ458778:PQR458778 QAM458778:QAN458778 QKI458778:QKJ458778 QUE458778:QUF458778 REA458778:REB458778 RNW458778:RNX458778 RXS458778:RXT458778 SHO458778:SHP458778 SRK458778:SRL458778 TBG458778:TBH458778 TLC458778:TLD458778 TUY458778:TUZ458778 UEU458778:UEV458778 UOQ458778:UOR458778 UYM458778:UYN458778 VII458778:VIJ458778 VSE458778:VSF458778 WCA458778:WCB458778 WLW458778:WLX458778 WVS458778:WVT458778 K524314:L524314 JG524314:JH524314 TC524314:TD524314 ACY524314:ACZ524314 AMU524314:AMV524314 AWQ524314:AWR524314 BGM524314:BGN524314 BQI524314:BQJ524314 CAE524314:CAF524314 CKA524314:CKB524314 CTW524314:CTX524314 DDS524314:DDT524314 DNO524314:DNP524314 DXK524314:DXL524314 EHG524314:EHH524314 ERC524314:ERD524314 FAY524314:FAZ524314 FKU524314:FKV524314 FUQ524314:FUR524314 GEM524314:GEN524314 GOI524314:GOJ524314 GYE524314:GYF524314 HIA524314:HIB524314 HRW524314:HRX524314 IBS524314:IBT524314 ILO524314:ILP524314 IVK524314:IVL524314 JFG524314:JFH524314 JPC524314:JPD524314 JYY524314:JYZ524314 KIU524314:KIV524314 KSQ524314:KSR524314 LCM524314:LCN524314 LMI524314:LMJ524314 LWE524314:LWF524314 MGA524314:MGB524314 MPW524314:MPX524314 MZS524314:MZT524314 NJO524314:NJP524314 NTK524314:NTL524314 ODG524314:ODH524314 ONC524314:OND524314 OWY524314:OWZ524314 PGU524314:PGV524314 PQQ524314:PQR524314 QAM524314:QAN524314 QKI524314:QKJ524314 QUE524314:QUF524314 REA524314:REB524314 RNW524314:RNX524314 RXS524314:RXT524314 SHO524314:SHP524314 SRK524314:SRL524314 TBG524314:TBH524314 TLC524314:TLD524314 TUY524314:TUZ524314 UEU524314:UEV524314 UOQ524314:UOR524314 UYM524314:UYN524314 VII524314:VIJ524314 VSE524314:VSF524314 WCA524314:WCB524314 WLW524314:WLX524314 WVS524314:WVT524314 K589850:L589850 JG589850:JH589850 TC589850:TD589850 ACY589850:ACZ589850 AMU589850:AMV589850 AWQ589850:AWR589850 BGM589850:BGN589850 BQI589850:BQJ589850 CAE589850:CAF589850 CKA589850:CKB589850 CTW589850:CTX589850 DDS589850:DDT589850 DNO589850:DNP589850 DXK589850:DXL589850 EHG589850:EHH589850 ERC589850:ERD589850 FAY589850:FAZ589850 FKU589850:FKV589850 FUQ589850:FUR589850 GEM589850:GEN589850 GOI589850:GOJ589850 GYE589850:GYF589850 HIA589850:HIB589850 HRW589850:HRX589850 IBS589850:IBT589850 ILO589850:ILP589850 IVK589850:IVL589850 JFG589850:JFH589850 JPC589850:JPD589850 JYY589850:JYZ589850 KIU589850:KIV589850 KSQ589850:KSR589850 LCM589850:LCN589850 LMI589850:LMJ589850 LWE589850:LWF589850 MGA589850:MGB589850 MPW589850:MPX589850 MZS589850:MZT589850 NJO589850:NJP589850 NTK589850:NTL589850 ODG589850:ODH589850 ONC589850:OND589850 OWY589850:OWZ589850 PGU589850:PGV589850 PQQ589850:PQR589850 QAM589850:QAN589850 QKI589850:QKJ589850 QUE589850:QUF589850 REA589850:REB589850 RNW589850:RNX589850 RXS589850:RXT589850 SHO589850:SHP589850 SRK589850:SRL589850 TBG589850:TBH589850 TLC589850:TLD589850 TUY589850:TUZ589850 UEU589850:UEV589850 UOQ589850:UOR589850 UYM589850:UYN589850 VII589850:VIJ589850 VSE589850:VSF589850 WCA589850:WCB589850 WLW589850:WLX589850 WVS589850:WVT589850 K655386:L655386 JG655386:JH655386 TC655386:TD655386 ACY655386:ACZ655386 AMU655386:AMV655386 AWQ655386:AWR655386 BGM655386:BGN655386 BQI655386:BQJ655386 CAE655386:CAF655386 CKA655386:CKB655386 CTW655386:CTX655386 DDS655386:DDT655386 DNO655386:DNP655386 DXK655386:DXL655386 EHG655386:EHH655386 ERC655386:ERD655386 FAY655386:FAZ655386 FKU655386:FKV655386 FUQ655386:FUR655386 GEM655386:GEN655386 GOI655386:GOJ655386 GYE655386:GYF655386 HIA655386:HIB655386 HRW655386:HRX655386 IBS655386:IBT655386 ILO655386:ILP655386 IVK655386:IVL655386 JFG655386:JFH655386 JPC655386:JPD655386 JYY655386:JYZ655386 KIU655386:KIV655386 KSQ655386:KSR655386 LCM655386:LCN655386 LMI655386:LMJ655386 LWE655386:LWF655386 MGA655386:MGB655386 MPW655386:MPX655386 MZS655386:MZT655386 NJO655386:NJP655386 NTK655386:NTL655386 ODG655386:ODH655386 ONC655386:OND655386 OWY655386:OWZ655386 PGU655386:PGV655386 PQQ655386:PQR655386 QAM655386:QAN655386 QKI655386:QKJ655386 QUE655386:QUF655386 REA655386:REB655386 RNW655386:RNX655386 RXS655386:RXT655386 SHO655386:SHP655386 SRK655386:SRL655386 TBG655386:TBH655386 TLC655386:TLD655386 TUY655386:TUZ655386 UEU655386:UEV655386 UOQ655386:UOR655386 UYM655386:UYN655386 VII655386:VIJ655386 VSE655386:VSF655386 WCA655386:WCB655386 WLW655386:WLX655386 WVS655386:WVT655386 K720922:L720922 JG720922:JH720922 TC720922:TD720922 ACY720922:ACZ720922 AMU720922:AMV720922 AWQ720922:AWR720922 BGM720922:BGN720922 BQI720922:BQJ720922 CAE720922:CAF720922 CKA720922:CKB720922 CTW720922:CTX720922 DDS720922:DDT720922 DNO720922:DNP720922 DXK720922:DXL720922 EHG720922:EHH720922 ERC720922:ERD720922 FAY720922:FAZ720922 FKU720922:FKV720922 FUQ720922:FUR720922 GEM720922:GEN720922 GOI720922:GOJ720922 GYE720922:GYF720922 HIA720922:HIB720922 HRW720922:HRX720922 IBS720922:IBT720922 ILO720922:ILP720922 IVK720922:IVL720922 JFG720922:JFH720922 JPC720922:JPD720922 JYY720922:JYZ720922 KIU720922:KIV720922 KSQ720922:KSR720922 LCM720922:LCN720922 LMI720922:LMJ720922 LWE720922:LWF720922 MGA720922:MGB720922 MPW720922:MPX720922 MZS720922:MZT720922 NJO720922:NJP720922 NTK720922:NTL720922 ODG720922:ODH720922 ONC720922:OND720922 OWY720922:OWZ720922 PGU720922:PGV720922 PQQ720922:PQR720922 QAM720922:QAN720922 QKI720922:QKJ720922 QUE720922:QUF720922 REA720922:REB720922 RNW720922:RNX720922 RXS720922:RXT720922 SHO720922:SHP720922 SRK720922:SRL720922 TBG720922:TBH720922 TLC720922:TLD720922 TUY720922:TUZ720922 UEU720922:UEV720922 UOQ720922:UOR720922 UYM720922:UYN720922 VII720922:VIJ720922 VSE720922:VSF720922 WCA720922:WCB720922 WLW720922:WLX720922 WVS720922:WVT720922 K786458:L786458 JG786458:JH786458 TC786458:TD786458 ACY786458:ACZ786458 AMU786458:AMV786458 AWQ786458:AWR786458 BGM786458:BGN786458 BQI786458:BQJ786458 CAE786458:CAF786458 CKA786458:CKB786458 CTW786458:CTX786458 DDS786458:DDT786458 DNO786458:DNP786458 DXK786458:DXL786458 EHG786458:EHH786458 ERC786458:ERD786458 FAY786458:FAZ786458 FKU786458:FKV786458 FUQ786458:FUR786458 GEM786458:GEN786458 GOI786458:GOJ786458 GYE786458:GYF786458 HIA786458:HIB786458 HRW786458:HRX786458 IBS786458:IBT786458 ILO786458:ILP786458 IVK786458:IVL786458 JFG786458:JFH786458 JPC786458:JPD786458 JYY786458:JYZ786458 KIU786458:KIV786458 KSQ786458:KSR786458 LCM786458:LCN786458 LMI786458:LMJ786458 LWE786458:LWF786458 MGA786458:MGB786458 MPW786458:MPX786458 MZS786458:MZT786458 NJO786458:NJP786458 NTK786458:NTL786458 ODG786458:ODH786458 ONC786458:OND786458 OWY786458:OWZ786458 PGU786458:PGV786458 PQQ786458:PQR786458 QAM786458:QAN786458 QKI786458:QKJ786458 QUE786458:QUF786458 REA786458:REB786458 RNW786458:RNX786458 RXS786458:RXT786458 SHO786458:SHP786458 SRK786458:SRL786458 TBG786458:TBH786458 TLC786458:TLD786458 TUY786458:TUZ786458 UEU786458:UEV786458 UOQ786458:UOR786458 UYM786458:UYN786458 VII786458:VIJ786458 VSE786458:VSF786458 WCA786458:WCB786458 WLW786458:WLX786458 WVS786458:WVT786458 K851994:L851994 JG851994:JH851994 TC851994:TD851994 ACY851994:ACZ851994 AMU851994:AMV851994 AWQ851994:AWR851994 BGM851994:BGN851994 BQI851994:BQJ851994 CAE851994:CAF851994 CKA851994:CKB851994 CTW851994:CTX851994 DDS851994:DDT851994 DNO851994:DNP851994 DXK851994:DXL851994 EHG851994:EHH851994 ERC851994:ERD851994 FAY851994:FAZ851994 FKU851994:FKV851994 FUQ851994:FUR851994 GEM851994:GEN851994 GOI851994:GOJ851994 GYE851994:GYF851994 HIA851994:HIB851994 HRW851994:HRX851994 IBS851994:IBT851994 ILO851994:ILP851994 IVK851994:IVL851994 JFG851994:JFH851994 JPC851994:JPD851994 JYY851994:JYZ851994 KIU851994:KIV851994 KSQ851994:KSR851994 LCM851994:LCN851994 LMI851994:LMJ851994 LWE851994:LWF851994 MGA851994:MGB851994 MPW851994:MPX851994 MZS851994:MZT851994 NJO851994:NJP851994 NTK851994:NTL851994 ODG851994:ODH851994 ONC851994:OND851994 OWY851994:OWZ851994 PGU851994:PGV851994 PQQ851994:PQR851994 QAM851994:QAN851994 QKI851994:QKJ851994 QUE851994:QUF851994 REA851994:REB851994 RNW851994:RNX851994 RXS851994:RXT851994 SHO851994:SHP851994 SRK851994:SRL851994 TBG851994:TBH851994 TLC851994:TLD851994 TUY851994:TUZ851994 UEU851994:UEV851994 UOQ851994:UOR851994 UYM851994:UYN851994 VII851994:VIJ851994 VSE851994:VSF851994 WCA851994:WCB851994 WLW851994:WLX851994 WVS851994:WVT851994 K917530:L917530 JG917530:JH917530 TC917530:TD917530 ACY917530:ACZ917530 AMU917530:AMV917530 AWQ917530:AWR917530 BGM917530:BGN917530 BQI917530:BQJ917530 CAE917530:CAF917530 CKA917530:CKB917530 CTW917530:CTX917530 DDS917530:DDT917530 DNO917530:DNP917530 DXK917530:DXL917530 EHG917530:EHH917530 ERC917530:ERD917530 FAY917530:FAZ917530 FKU917530:FKV917530 FUQ917530:FUR917530 GEM917530:GEN917530 GOI917530:GOJ917530 GYE917530:GYF917530 HIA917530:HIB917530 HRW917530:HRX917530 IBS917530:IBT917530 ILO917530:ILP917530 IVK917530:IVL917530 JFG917530:JFH917530 JPC917530:JPD917530 JYY917530:JYZ917530 KIU917530:KIV917530 KSQ917530:KSR917530 LCM917530:LCN917530 LMI917530:LMJ917530 LWE917530:LWF917530 MGA917530:MGB917530 MPW917530:MPX917530 MZS917530:MZT917530 NJO917530:NJP917530 NTK917530:NTL917530 ODG917530:ODH917530 ONC917530:OND917530 OWY917530:OWZ917530 PGU917530:PGV917530 PQQ917530:PQR917530 QAM917530:QAN917530 QKI917530:QKJ917530 QUE917530:QUF917530 REA917530:REB917530 RNW917530:RNX917530 RXS917530:RXT917530 SHO917530:SHP917530 SRK917530:SRL917530 TBG917530:TBH917530 TLC917530:TLD917530 TUY917530:TUZ917530 UEU917530:UEV917530 UOQ917530:UOR917530 UYM917530:UYN917530 VII917530:VIJ917530 VSE917530:VSF917530 WCA917530:WCB917530 WLW917530:WLX917530 WVS917530:WVT917530 K983066:L983066 JG983066:JH983066 TC983066:TD983066 ACY983066:ACZ983066 AMU983066:AMV983066 AWQ983066:AWR983066 BGM983066:BGN983066 BQI983066:BQJ983066 CAE983066:CAF983066 CKA983066:CKB983066 CTW983066:CTX983066 DDS983066:DDT983066 DNO983066:DNP983066 DXK983066:DXL983066 EHG983066:EHH983066 ERC983066:ERD983066 FAY983066:FAZ983066 FKU983066:FKV983066 FUQ983066:FUR983066 GEM983066:GEN983066 GOI983066:GOJ983066 GYE983066:GYF983066 HIA983066:HIB983066 HRW983066:HRX983066 IBS983066:IBT983066 ILO983066:ILP983066 IVK983066:IVL983066 JFG983066:JFH983066 JPC983066:JPD983066 JYY983066:JYZ983066 KIU983066:KIV983066 KSQ983066:KSR983066 LCM983066:LCN983066 LMI983066:LMJ983066 LWE983066:LWF983066 MGA983066:MGB983066 MPW983066:MPX983066 MZS983066:MZT983066 NJO983066:NJP983066 NTK983066:NTL983066 ODG983066:ODH983066 ONC983066:OND983066 OWY983066:OWZ983066 PGU983066:PGV983066 PQQ983066:PQR983066 QAM983066:QAN983066 QKI983066:QKJ983066 QUE983066:QUF983066 REA983066:REB983066 RNW983066:RNX983066 RXS983066:RXT983066 SHO983066:SHP983066 SRK983066:SRL983066 TBG983066:TBH983066 TLC983066:TLD983066 TUY983066:TUZ983066 UEU983066:UEV983066 UOQ983066:UOR983066 UYM983066:UYN983066 VII983066:VIJ983066 VSE983066:VSF983066 WCA983066:WCB983066 WLW983066:WLX983066 WVS983066:WVT983066 K23:L23 JG23:JH23 TC23:TD23 ACY23:ACZ23 AMU23:AMV23 AWQ23:AWR23 BGM23:BGN23 BQI23:BQJ23 CAE23:CAF23 CKA23:CKB23 CTW23:CTX23 DDS23:DDT23 DNO23:DNP23 DXK23:DXL23 EHG23:EHH23 ERC23:ERD23 FAY23:FAZ23 FKU23:FKV23 FUQ23:FUR23 GEM23:GEN23 GOI23:GOJ23 GYE23:GYF23 HIA23:HIB23 HRW23:HRX23 IBS23:IBT23 ILO23:ILP23 IVK23:IVL23 JFG23:JFH23 JPC23:JPD23 JYY23:JYZ23 KIU23:KIV23 KSQ23:KSR23 LCM23:LCN23 LMI23:LMJ23 LWE23:LWF23 MGA23:MGB23 MPW23:MPX23 MZS23:MZT23 NJO23:NJP23 NTK23:NTL23 ODG23:ODH23 ONC23:OND23 OWY23:OWZ23 PGU23:PGV23 PQQ23:PQR23 QAM23:QAN23 QKI23:QKJ23 QUE23:QUF23 REA23:REB23 RNW23:RNX23 RXS23:RXT23 SHO23:SHP23 SRK23:SRL23 TBG23:TBH23 TLC23:TLD23 TUY23:TUZ23 UEU23:UEV23 UOQ23:UOR23 UYM23:UYN23 VII23:VIJ23 VSE23:VSF23 WCA23:WCB23 WLW23:WLX23 WVS23:WVT23 K65559:L65559 JG65559:JH65559 TC65559:TD65559 ACY65559:ACZ65559 AMU65559:AMV65559 AWQ65559:AWR65559 BGM65559:BGN65559 BQI65559:BQJ65559 CAE65559:CAF65559 CKA65559:CKB65559 CTW65559:CTX65559 DDS65559:DDT65559 DNO65559:DNP65559 DXK65559:DXL65559 EHG65559:EHH65559 ERC65559:ERD65559 FAY65559:FAZ65559 FKU65559:FKV65559 FUQ65559:FUR65559 GEM65559:GEN65559 GOI65559:GOJ65559 GYE65559:GYF65559 HIA65559:HIB65559 HRW65559:HRX65559 IBS65559:IBT65559 ILO65559:ILP65559 IVK65559:IVL65559 JFG65559:JFH65559 JPC65559:JPD65559 JYY65559:JYZ65559 KIU65559:KIV65559 KSQ65559:KSR65559 LCM65559:LCN65559 LMI65559:LMJ65559 LWE65559:LWF65559 MGA65559:MGB65559 MPW65559:MPX65559 MZS65559:MZT65559 NJO65559:NJP65559 NTK65559:NTL65559 ODG65559:ODH65559 ONC65559:OND65559 OWY65559:OWZ65559 PGU65559:PGV65559 PQQ65559:PQR65559 QAM65559:QAN65559 QKI65559:QKJ65559 QUE65559:QUF65559 REA65559:REB65559 RNW65559:RNX65559 RXS65559:RXT65559 SHO65559:SHP65559 SRK65559:SRL65559 TBG65559:TBH65559 TLC65559:TLD65559 TUY65559:TUZ65559 UEU65559:UEV65559 UOQ65559:UOR65559 UYM65559:UYN65559 VII65559:VIJ65559 VSE65559:VSF65559 WCA65559:WCB65559 WLW65559:WLX65559 WVS65559:WVT65559 K131095:L131095 JG131095:JH131095 TC131095:TD131095 ACY131095:ACZ131095 AMU131095:AMV131095 AWQ131095:AWR131095 BGM131095:BGN131095 BQI131095:BQJ131095 CAE131095:CAF131095 CKA131095:CKB131095 CTW131095:CTX131095 DDS131095:DDT131095 DNO131095:DNP131095 DXK131095:DXL131095 EHG131095:EHH131095 ERC131095:ERD131095 FAY131095:FAZ131095 FKU131095:FKV131095 FUQ131095:FUR131095 GEM131095:GEN131095 GOI131095:GOJ131095 GYE131095:GYF131095 HIA131095:HIB131095 HRW131095:HRX131095 IBS131095:IBT131095 ILO131095:ILP131095 IVK131095:IVL131095 JFG131095:JFH131095 JPC131095:JPD131095 JYY131095:JYZ131095 KIU131095:KIV131095 KSQ131095:KSR131095 LCM131095:LCN131095 LMI131095:LMJ131095 LWE131095:LWF131095 MGA131095:MGB131095 MPW131095:MPX131095 MZS131095:MZT131095 NJO131095:NJP131095 NTK131095:NTL131095 ODG131095:ODH131095 ONC131095:OND131095 OWY131095:OWZ131095 PGU131095:PGV131095 PQQ131095:PQR131095 QAM131095:QAN131095 QKI131095:QKJ131095 QUE131095:QUF131095 REA131095:REB131095 RNW131095:RNX131095 RXS131095:RXT131095 SHO131095:SHP131095 SRK131095:SRL131095 TBG131095:TBH131095 TLC131095:TLD131095 TUY131095:TUZ131095 UEU131095:UEV131095 UOQ131095:UOR131095 UYM131095:UYN131095 VII131095:VIJ131095 VSE131095:VSF131095 WCA131095:WCB131095 WLW131095:WLX131095 WVS131095:WVT131095 K196631:L196631 JG196631:JH196631 TC196631:TD196631 ACY196631:ACZ196631 AMU196631:AMV196631 AWQ196631:AWR196631 BGM196631:BGN196631 BQI196631:BQJ196631 CAE196631:CAF196631 CKA196631:CKB196631 CTW196631:CTX196631 DDS196631:DDT196631 DNO196631:DNP196631 DXK196631:DXL196631 EHG196631:EHH196631 ERC196631:ERD196631 FAY196631:FAZ196631 FKU196631:FKV196631 FUQ196631:FUR196631 GEM196631:GEN196631 GOI196631:GOJ196631 GYE196631:GYF196631 HIA196631:HIB196631 HRW196631:HRX196631 IBS196631:IBT196631 ILO196631:ILP196631 IVK196631:IVL196631 JFG196631:JFH196631 JPC196631:JPD196631 JYY196631:JYZ196631 KIU196631:KIV196631 KSQ196631:KSR196631 LCM196631:LCN196631 LMI196631:LMJ196631 LWE196631:LWF196631 MGA196631:MGB196631 MPW196631:MPX196631 MZS196631:MZT196631 NJO196631:NJP196631 NTK196631:NTL196631 ODG196631:ODH196631 ONC196631:OND196631 OWY196631:OWZ196631 PGU196631:PGV196631 PQQ196631:PQR196631 QAM196631:QAN196631 QKI196631:QKJ196631 QUE196631:QUF196631 REA196631:REB196631 RNW196631:RNX196631 RXS196631:RXT196631 SHO196631:SHP196631 SRK196631:SRL196631 TBG196631:TBH196631 TLC196631:TLD196631 TUY196631:TUZ196631 UEU196631:UEV196631 UOQ196631:UOR196631 UYM196631:UYN196631 VII196631:VIJ196631 VSE196631:VSF196631 WCA196631:WCB196631 WLW196631:WLX196631 WVS196631:WVT196631 K262167:L262167 JG262167:JH262167 TC262167:TD262167 ACY262167:ACZ262167 AMU262167:AMV262167 AWQ262167:AWR262167 BGM262167:BGN262167 BQI262167:BQJ262167 CAE262167:CAF262167 CKA262167:CKB262167 CTW262167:CTX262167 DDS262167:DDT262167 DNO262167:DNP262167 DXK262167:DXL262167 EHG262167:EHH262167 ERC262167:ERD262167 FAY262167:FAZ262167 FKU262167:FKV262167 FUQ262167:FUR262167 GEM262167:GEN262167 GOI262167:GOJ262167 GYE262167:GYF262167 HIA262167:HIB262167 HRW262167:HRX262167 IBS262167:IBT262167 ILO262167:ILP262167 IVK262167:IVL262167 JFG262167:JFH262167 JPC262167:JPD262167 JYY262167:JYZ262167 KIU262167:KIV262167 KSQ262167:KSR262167 LCM262167:LCN262167 LMI262167:LMJ262167 LWE262167:LWF262167 MGA262167:MGB262167 MPW262167:MPX262167 MZS262167:MZT262167 NJO262167:NJP262167 NTK262167:NTL262167 ODG262167:ODH262167 ONC262167:OND262167 OWY262167:OWZ262167 PGU262167:PGV262167 PQQ262167:PQR262167 QAM262167:QAN262167 QKI262167:QKJ262167 QUE262167:QUF262167 REA262167:REB262167 RNW262167:RNX262167 RXS262167:RXT262167 SHO262167:SHP262167 SRK262167:SRL262167 TBG262167:TBH262167 TLC262167:TLD262167 TUY262167:TUZ262167 UEU262167:UEV262167 UOQ262167:UOR262167 UYM262167:UYN262167 VII262167:VIJ262167 VSE262167:VSF262167 WCA262167:WCB262167 WLW262167:WLX262167 WVS262167:WVT262167 K327703:L327703 JG327703:JH327703 TC327703:TD327703 ACY327703:ACZ327703 AMU327703:AMV327703 AWQ327703:AWR327703 BGM327703:BGN327703 BQI327703:BQJ327703 CAE327703:CAF327703 CKA327703:CKB327703 CTW327703:CTX327703 DDS327703:DDT327703 DNO327703:DNP327703 DXK327703:DXL327703 EHG327703:EHH327703 ERC327703:ERD327703 FAY327703:FAZ327703 FKU327703:FKV327703 FUQ327703:FUR327703 GEM327703:GEN327703 GOI327703:GOJ327703 GYE327703:GYF327703 HIA327703:HIB327703 HRW327703:HRX327703 IBS327703:IBT327703 ILO327703:ILP327703 IVK327703:IVL327703 JFG327703:JFH327703 JPC327703:JPD327703 JYY327703:JYZ327703 KIU327703:KIV327703 KSQ327703:KSR327703 LCM327703:LCN327703 LMI327703:LMJ327703 LWE327703:LWF327703 MGA327703:MGB327703 MPW327703:MPX327703 MZS327703:MZT327703 NJO327703:NJP327703 NTK327703:NTL327703 ODG327703:ODH327703 ONC327703:OND327703 OWY327703:OWZ327703 PGU327703:PGV327703 PQQ327703:PQR327703 QAM327703:QAN327703 QKI327703:QKJ327703 QUE327703:QUF327703 REA327703:REB327703 RNW327703:RNX327703 RXS327703:RXT327703 SHO327703:SHP327703 SRK327703:SRL327703 TBG327703:TBH327703 TLC327703:TLD327703 TUY327703:TUZ327703 UEU327703:UEV327703 UOQ327703:UOR327703 UYM327703:UYN327703 VII327703:VIJ327703 VSE327703:VSF327703 WCA327703:WCB327703 WLW327703:WLX327703 WVS327703:WVT327703 K393239:L393239 JG393239:JH393239 TC393239:TD393239 ACY393239:ACZ393239 AMU393239:AMV393239 AWQ393239:AWR393239 BGM393239:BGN393239 BQI393239:BQJ393239 CAE393239:CAF393239 CKA393239:CKB393239 CTW393239:CTX393239 DDS393239:DDT393239 DNO393239:DNP393239 DXK393239:DXL393239 EHG393239:EHH393239 ERC393239:ERD393239 FAY393239:FAZ393239 FKU393239:FKV393239 FUQ393239:FUR393239 GEM393239:GEN393239 GOI393239:GOJ393239 GYE393239:GYF393239 HIA393239:HIB393239 HRW393239:HRX393239 IBS393239:IBT393239 ILO393239:ILP393239 IVK393239:IVL393239 JFG393239:JFH393239 JPC393239:JPD393239 JYY393239:JYZ393239 KIU393239:KIV393239 KSQ393239:KSR393239 LCM393239:LCN393239 LMI393239:LMJ393239 LWE393239:LWF393239 MGA393239:MGB393239 MPW393239:MPX393239 MZS393239:MZT393239 NJO393239:NJP393239 NTK393239:NTL393239 ODG393239:ODH393239 ONC393239:OND393239 OWY393239:OWZ393239 PGU393239:PGV393239 PQQ393239:PQR393239 QAM393239:QAN393239 QKI393239:QKJ393239 QUE393239:QUF393239 REA393239:REB393239 RNW393239:RNX393239 RXS393239:RXT393239 SHO393239:SHP393239 SRK393239:SRL393239 TBG393239:TBH393239 TLC393239:TLD393239 TUY393239:TUZ393239 UEU393239:UEV393239 UOQ393239:UOR393239 UYM393239:UYN393239 VII393239:VIJ393239 VSE393239:VSF393239 WCA393239:WCB393239 WLW393239:WLX393239 WVS393239:WVT393239 K458775:L458775 JG458775:JH458775 TC458775:TD458775 ACY458775:ACZ458775 AMU458775:AMV458775 AWQ458775:AWR458775 BGM458775:BGN458775 BQI458775:BQJ458775 CAE458775:CAF458775 CKA458775:CKB458775 CTW458775:CTX458775 DDS458775:DDT458775 DNO458775:DNP458775 DXK458775:DXL458775 EHG458775:EHH458775 ERC458775:ERD458775 FAY458775:FAZ458775 FKU458775:FKV458775 FUQ458775:FUR458775 GEM458775:GEN458775 GOI458775:GOJ458775 GYE458775:GYF458775 HIA458775:HIB458775 HRW458775:HRX458775 IBS458775:IBT458775 ILO458775:ILP458775 IVK458775:IVL458775 JFG458775:JFH458775 JPC458775:JPD458775 JYY458775:JYZ458775 KIU458775:KIV458775 KSQ458775:KSR458775 LCM458775:LCN458775 LMI458775:LMJ458775 LWE458775:LWF458775 MGA458775:MGB458775 MPW458775:MPX458775 MZS458775:MZT458775 NJO458775:NJP458775 NTK458775:NTL458775 ODG458775:ODH458775 ONC458775:OND458775 OWY458775:OWZ458775 PGU458775:PGV458775 PQQ458775:PQR458775 QAM458775:QAN458775 QKI458775:QKJ458775 QUE458775:QUF458775 REA458775:REB458775 RNW458775:RNX458775 RXS458775:RXT458775 SHO458775:SHP458775 SRK458775:SRL458775 TBG458775:TBH458775 TLC458775:TLD458775 TUY458775:TUZ458775 UEU458775:UEV458775 UOQ458775:UOR458775 UYM458775:UYN458775 VII458775:VIJ458775 VSE458775:VSF458775 WCA458775:WCB458775 WLW458775:WLX458775 WVS458775:WVT458775 K524311:L524311 JG524311:JH524311 TC524311:TD524311 ACY524311:ACZ524311 AMU524311:AMV524311 AWQ524311:AWR524311 BGM524311:BGN524311 BQI524311:BQJ524311 CAE524311:CAF524311 CKA524311:CKB524311 CTW524311:CTX524311 DDS524311:DDT524311 DNO524311:DNP524311 DXK524311:DXL524311 EHG524311:EHH524311 ERC524311:ERD524311 FAY524311:FAZ524311 FKU524311:FKV524311 FUQ524311:FUR524311 GEM524311:GEN524311 GOI524311:GOJ524311 GYE524311:GYF524311 HIA524311:HIB524311 HRW524311:HRX524311 IBS524311:IBT524311 ILO524311:ILP524311 IVK524311:IVL524311 JFG524311:JFH524311 JPC524311:JPD524311 JYY524311:JYZ524311 KIU524311:KIV524311 KSQ524311:KSR524311 LCM524311:LCN524311 LMI524311:LMJ524311 LWE524311:LWF524311 MGA524311:MGB524311 MPW524311:MPX524311 MZS524311:MZT524311 NJO524311:NJP524311 NTK524311:NTL524311 ODG524311:ODH524311 ONC524311:OND524311 OWY524311:OWZ524311 PGU524311:PGV524311 PQQ524311:PQR524311 QAM524311:QAN524311 QKI524311:QKJ524311 QUE524311:QUF524311 REA524311:REB524311 RNW524311:RNX524311 RXS524311:RXT524311 SHO524311:SHP524311 SRK524311:SRL524311 TBG524311:TBH524311 TLC524311:TLD524311 TUY524311:TUZ524311 UEU524311:UEV524311 UOQ524311:UOR524311 UYM524311:UYN524311 VII524311:VIJ524311 VSE524311:VSF524311 WCA524311:WCB524311 WLW524311:WLX524311 WVS524311:WVT524311 K589847:L589847 JG589847:JH589847 TC589847:TD589847 ACY589847:ACZ589847 AMU589847:AMV589847 AWQ589847:AWR589847 BGM589847:BGN589847 BQI589847:BQJ589847 CAE589847:CAF589847 CKA589847:CKB589847 CTW589847:CTX589847 DDS589847:DDT589847 DNO589847:DNP589847 DXK589847:DXL589847 EHG589847:EHH589847 ERC589847:ERD589847 FAY589847:FAZ589847 FKU589847:FKV589847 FUQ589847:FUR589847 GEM589847:GEN589847 GOI589847:GOJ589847 GYE589847:GYF589847 HIA589847:HIB589847 HRW589847:HRX589847 IBS589847:IBT589847 ILO589847:ILP589847 IVK589847:IVL589847 JFG589847:JFH589847 JPC589847:JPD589847 JYY589847:JYZ589847 KIU589847:KIV589847 KSQ589847:KSR589847 LCM589847:LCN589847 LMI589847:LMJ589847 LWE589847:LWF589847 MGA589847:MGB589847 MPW589847:MPX589847 MZS589847:MZT589847 NJO589847:NJP589847 NTK589847:NTL589847 ODG589847:ODH589847 ONC589847:OND589847 OWY589847:OWZ589847 PGU589847:PGV589847 PQQ589847:PQR589847 QAM589847:QAN589847 QKI589847:QKJ589847 QUE589847:QUF589847 REA589847:REB589847 RNW589847:RNX589847 RXS589847:RXT589847 SHO589847:SHP589847 SRK589847:SRL589847 TBG589847:TBH589847 TLC589847:TLD589847 TUY589847:TUZ589847 UEU589847:UEV589847 UOQ589847:UOR589847 UYM589847:UYN589847 VII589847:VIJ589847 VSE589847:VSF589847 WCA589847:WCB589847 WLW589847:WLX589847 WVS589847:WVT589847 K655383:L655383 JG655383:JH655383 TC655383:TD655383 ACY655383:ACZ655383 AMU655383:AMV655383 AWQ655383:AWR655383 BGM655383:BGN655383 BQI655383:BQJ655383 CAE655383:CAF655383 CKA655383:CKB655383 CTW655383:CTX655383 DDS655383:DDT655383 DNO655383:DNP655383 DXK655383:DXL655383 EHG655383:EHH655383 ERC655383:ERD655383 FAY655383:FAZ655383 FKU655383:FKV655383 FUQ655383:FUR655383 GEM655383:GEN655383 GOI655383:GOJ655383 GYE655383:GYF655383 HIA655383:HIB655383 HRW655383:HRX655383 IBS655383:IBT655383 ILO655383:ILP655383 IVK655383:IVL655383 JFG655383:JFH655383 JPC655383:JPD655383 JYY655383:JYZ655383 KIU655383:KIV655383 KSQ655383:KSR655383 LCM655383:LCN655383 LMI655383:LMJ655383 LWE655383:LWF655383 MGA655383:MGB655383 MPW655383:MPX655383 MZS655383:MZT655383 NJO655383:NJP655383 NTK655383:NTL655383 ODG655383:ODH655383 ONC655383:OND655383 OWY655383:OWZ655383 PGU655383:PGV655383 PQQ655383:PQR655383 QAM655383:QAN655383 QKI655383:QKJ655383 QUE655383:QUF655383 REA655383:REB655383 RNW655383:RNX655383 RXS655383:RXT655383 SHO655383:SHP655383 SRK655383:SRL655383 TBG655383:TBH655383 TLC655383:TLD655383 TUY655383:TUZ655383 UEU655383:UEV655383 UOQ655383:UOR655383 UYM655383:UYN655383 VII655383:VIJ655383 VSE655383:VSF655383 WCA655383:WCB655383 WLW655383:WLX655383 WVS655383:WVT655383 K720919:L720919 JG720919:JH720919 TC720919:TD720919 ACY720919:ACZ720919 AMU720919:AMV720919 AWQ720919:AWR720919 BGM720919:BGN720919 BQI720919:BQJ720919 CAE720919:CAF720919 CKA720919:CKB720919 CTW720919:CTX720919 DDS720919:DDT720919 DNO720919:DNP720919 DXK720919:DXL720919 EHG720919:EHH720919 ERC720919:ERD720919 FAY720919:FAZ720919 FKU720919:FKV720919 FUQ720919:FUR720919 GEM720919:GEN720919 GOI720919:GOJ720919 GYE720919:GYF720919 HIA720919:HIB720919 HRW720919:HRX720919 IBS720919:IBT720919 ILO720919:ILP720919 IVK720919:IVL720919 JFG720919:JFH720919 JPC720919:JPD720919 JYY720919:JYZ720919 KIU720919:KIV720919 KSQ720919:KSR720919 LCM720919:LCN720919 LMI720919:LMJ720919 LWE720919:LWF720919 MGA720919:MGB720919 MPW720919:MPX720919 MZS720919:MZT720919 NJO720919:NJP720919 NTK720919:NTL720919 ODG720919:ODH720919 ONC720919:OND720919 OWY720919:OWZ720919 PGU720919:PGV720919 PQQ720919:PQR720919 QAM720919:QAN720919 QKI720919:QKJ720919 QUE720919:QUF720919 REA720919:REB720919 RNW720919:RNX720919 RXS720919:RXT720919 SHO720919:SHP720919 SRK720919:SRL720919 TBG720919:TBH720919 TLC720919:TLD720919 TUY720919:TUZ720919 UEU720919:UEV720919 UOQ720919:UOR720919 UYM720919:UYN720919 VII720919:VIJ720919 VSE720919:VSF720919 WCA720919:WCB720919 WLW720919:WLX720919 WVS720919:WVT720919 K786455:L786455 JG786455:JH786455 TC786455:TD786455 ACY786455:ACZ786455 AMU786455:AMV786455 AWQ786455:AWR786455 BGM786455:BGN786455 BQI786455:BQJ786455 CAE786455:CAF786455 CKA786455:CKB786455 CTW786455:CTX786455 DDS786455:DDT786455 DNO786455:DNP786455 DXK786455:DXL786455 EHG786455:EHH786455 ERC786455:ERD786455 FAY786455:FAZ786455 FKU786455:FKV786455 FUQ786455:FUR786455 GEM786455:GEN786455 GOI786455:GOJ786455 GYE786455:GYF786455 HIA786455:HIB786455 HRW786455:HRX786455 IBS786455:IBT786455 ILO786455:ILP786455 IVK786455:IVL786455 JFG786455:JFH786455 JPC786455:JPD786455 JYY786455:JYZ786455 KIU786455:KIV786455 KSQ786455:KSR786455 LCM786455:LCN786455 LMI786455:LMJ786455 LWE786455:LWF786455 MGA786455:MGB786455 MPW786455:MPX786455 MZS786455:MZT786455 NJO786455:NJP786455 NTK786455:NTL786455 ODG786455:ODH786455 ONC786455:OND786455 OWY786455:OWZ786455 PGU786455:PGV786455 PQQ786455:PQR786455 QAM786455:QAN786455 QKI786455:QKJ786455 QUE786455:QUF786455 REA786455:REB786455 RNW786455:RNX786455 RXS786455:RXT786455 SHO786455:SHP786455 SRK786455:SRL786455 TBG786455:TBH786455 TLC786455:TLD786455 TUY786455:TUZ786455 UEU786455:UEV786455 UOQ786455:UOR786455 UYM786455:UYN786455 VII786455:VIJ786455 VSE786455:VSF786455 WCA786455:WCB786455 WLW786455:WLX786455 WVS786455:WVT786455 K851991:L851991 JG851991:JH851991 TC851991:TD851991 ACY851991:ACZ851991 AMU851991:AMV851991 AWQ851991:AWR851991 BGM851991:BGN851991 BQI851991:BQJ851991 CAE851991:CAF851991 CKA851991:CKB851991 CTW851991:CTX851991 DDS851991:DDT851991 DNO851991:DNP851991 DXK851991:DXL851991 EHG851991:EHH851991 ERC851991:ERD851991 FAY851991:FAZ851991 FKU851991:FKV851991 FUQ851991:FUR851991 GEM851991:GEN851991 GOI851991:GOJ851991 GYE851991:GYF851991 HIA851991:HIB851991 HRW851991:HRX851991 IBS851991:IBT851991 ILO851991:ILP851991 IVK851991:IVL851991 JFG851991:JFH851991 JPC851991:JPD851991 JYY851991:JYZ851991 KIU851991:KIV851991 KSQ851991:KSR851991 LCM851991:LCN851991 LMI851991:LMJ851991 LWE851991:LWF851991 MGA851991:MGB851991 MPW851991:MPX851991 MZS851991:MZT851991 NJO851991:NJP851991 NTK851991:NTL851991 ODG851991:ODH851991 ONC851991:OND851991 OWY851991:OWZ851991 PGU851991:PGV851991 PQQ851991:PQR851991 QAM851991:QAN851991 QKI851991:QKJ851991 QUE851991:QUF851991 REA851991:REB851991 RNW851991:RNX851991 RXS851991:RXT851991 SHO851991:SHP851991 SRK851991:SRL851991 TBG851991:TBH851991 TLC851991:TLD851991 TUY851991:TUZ851991 UEU851991:UEV851991 UOQ851991:UOR851991 UYM851991:UYN851991 VII851991:VIJ851991 VSE851991:VSF851991 WCA851991:WCB851991 WLW851991:WLX851991 WVS851991:WVT851991 K917527:L917527 JG917527:JH917527 TC917527:TD917527 ACY917527:ACZ917527 AMU917527:AMV917527 AWQ917527:AWR917527 BGM917527:BGN917527 BQI917527:BQJ917527 CAE917527:CAF917527 CKA917527:CKB917527 CTW917527:CTX917527 DDS917527:DDT917527 DNO917527:DNP917527 DXK917527:DXL917527 EHG917527:EHH917527 ERC917527:ERD917527 FAY917527:FAZ917527 FKU917527:FKV917527 FUQ917527:FUR917527 GEM917527:GEN917527 GOI917527:GOJ917527 GYE917527:GYF917527 HIA917527:HIB917527 HRW917527:HRX917527 IBS917527:IBT917527 ILO917527:ILP917527 IVK917527:IVL917527 JFG917527:JFH917527 JPC917527:JPD917527 JYY917527:JYZ917527 KIU917527:KIV917527 KSQ917527:KSR917527 LCM917527:LCN917527 LMI917527:LMJ917527 LWE917527:LWF917527 MGA917527:MGB917527 MPW917527:MPX917527 MZS917527:MZT917527 NJO917527:NJP917527 NTK917527:NTL917527 ODG917527:ODH917527 ONC917527:OND917527 OWY917527:OWZ917527 PGU917527:PGV917527 PQQ917527:PQR917527 QAM917527:QAN917527 QKI917527:QKJ917527 QUE917527:QUF917527 REA917527:REB917527 RNW917527:RNX917527 RXS917527:RXT917527 SHO917527:SHP917527 SRK917527:SRL917527 TBG917527:TBH917527 TLC917527:TLD917527 TUY917527:TUZ917527 UEU917527:UEV917527 UOQ917527:UOR917527 UYM917527:UYN917527 VII917527:VIJ917527 VSE917527:VSF917527 WCA917527:WCB917527 WLW917527:WLX917527 WVS917527:WVT917527 K983063:L983063 JG983063:JH983063 TC983063:TD983063 ACY983063:ACZ983063 AMU983063:AMV983063 AWQ983063:AWR983063 BGM983063:BGN983063 BQI983063:BQJ983063 CAE983063:CAF983063 CKA983063:CKB983063 CTW983063:CTX983063 DDS983063:DDT983063 DNO983063:DNP983063 DXK983063:DXL983063 EHG983063:EHH983063 ERC983063:ERD983063 FAY983063:FAZ983063 FKU983063:FKV983063 FUQ983063:FUR983063 GEM983063:GEN983063 GOI983063:GOJ983063 GYE983063:GYF983063 HIA983063:HIB983063 HRW983063:HRX983063 IBS983063:IBT983063 ILO983063:ILP983063 IVK983063:IVL983063 JFG983063:JFH983063 JPC983063:JPD983063 JYY983063:JYZ983063 KIU983063:KIV983063 KSQ983063:KSR983063 LCM983063:LCN983063 LMI983063:LMJ983063 LWE983063:LWF983063 MGA983063:MGB983063 MPW983063:MPX983063 MZS983063:MZT983063 NJO983063:NJP983063 NTK983063:NTL983063 ODG983063:ODH983063 ONC983063:OND983063 OWY983063:OWZ983063 PGU983063:PGV983063 PQQ983063:PQR983063 QAM983063:QAN983063 QKI983063:QKJ983063 QUE983063:QUF983063 REA983063:REB983063 RNW983063:RNX983063 RXS983063:RXT983063 SHO983063:SHP983063 SRK983063:SRL983063 TBG983063:TBH983063 TLC983063:TLD983063 TUY983063:TUZ983063 UEU983063:UEV983063 UOQ983063:UOR983063 UYM983063:UYN983063 VII983063:VIJ983063 VSE983063:VSF983063 WCA983063:WCB983063 WLW983063:WLX983063 WVS983063:WVT983063 K20:L20 JG20:JH20 TC20:TD20 ACY20:ACZ20 AMU20:AMV20 AWQ20:AWR20 BGM20:BGN20 BQI20:BQJ20 CAE20:CAF20 CKA20:CKB20 CTW20:CTX20 DDS20:DDT20 DNO20:DNP20 DXK20:DXL20 EHG20:EHH20 ERC20:ERD20 FAY20:FAZ20 FKU20:FKV20 FUQ20:FUR20 GEM20:GEN20 GOI20:GOJ20 GYE20:GYF20 HIA20:HIB20 HRW20:HRX20 IBS20:IBT20 ILO20:ILP20 IVK20:IVL20 JFG20:JFH20 JPC20:JPD20 JYY20:JYZ20 KIU20:KIV20 KSQ20:KSR20 LCM20:LCN20 LMI20:LMJ20 LWE20:LWF20 MGA20:MGB20 MPW20:MPX20 MZS20:MZT20 NJO20:NJP20 NTK20:NTL20 ODG20:ODH20 ONC20:OND20 OWY20:OWZ20 PGU20:PGV20 PQQ20:PQR20 QAM20:QAN20 QKI20:QKJ20 QUE20:QUF20 REA20:REB20 RNW20:RNX20 RXS20:RXT20 SHO20:SHP20 SRK20:SRL20 TBG20:TBH20 TLC20:TLD20 TUY20:TUZ20 UEU20:UEV20 UOQ20:UOR20 UYM20:UYN20 VII20:VIJ20 VSE20:VSF20 WCA20:WCB20 WLW20:WLX20 WVS20:WVT20 K65556:L65556 JG65556:JH65556 TC65556:TD65556 ACY65556:ACZ65556 AMU65556:AMV65556 AWQ65556:AWR65556 BGM65556:BGN65556 BQI65556:BQJ65556 CAE65556:CAF65556 CKA65556:CKB65556 CTW65556:CTX65556 DDS65556:DDT65556 DNO65556:DNP65556 DXK65556:DXL65556 EHG65556:EHH65556 ERC65556:ERD65556 FAY65556:FAZ65556 FKU65556:FKV65556 FUQ65556:FUR65556 GEM65556:GEN65556 GOI65556:GOJ65556 GYE65556:GYF65556 HIA65556:HIB65556 HRW65556:HRX65556 IBS65556:IBT65556 ILO65556:ILP65556 IVK65556:IVL65556 JFG65556:JFH65556 JPC65556:JPD65556 JYY65556:JYZ65556 KIU65556:KIV65556 KSQ65556:KSR65556 LCM65556:LCN65556 LMI65556:LMJ65556 LWE65556:LWF65556 MGA65556:MGB65556 MPW65556:MPX65556 MZS65556:MZT65556 NJO65556:NJP65556 NTK65556:NTL65556 ODG65556:ODH65556 ONC65556:OND65556 OWY65556:OWZ65556 PGU65556:PGV65556 PQQ65556:PQR65556 QAM65556:QAN65556 QKI65556:QKJ65556 QUE65556:QUF65556 REA65556:REB65556 RNW65556:RNX65556 RXS65556:RXT65556 SHO65556:SHP65556 SRK65556:SRL65556 TBG65556:TBH65556 TLC65556:TLD65556 TUY65556:TUZ65556 UEU65556:UEV65556 UOQ65556:UOR65556 UYM65556:UYN65556 VII65556:VIJ65556 VSE65556:VSF65556 WCA65556:WCB65556 WLW65556:WLX65556 WVS65556:WVT65556 K131092:L131092 JG131092:JH131092 TC131092:TD131092 ACY131092:ACZ131092 AMU131092:AMV131092 AWQ131092:AWR131092 BGM131092:BGN131092 BQI131092:BQJ131092 CAE131092:CAF131092 CKA131092:CKB131092 CTW131092:CTX131092 DDS131092:DDT131092 DNO131092:DNP131092 DXK131092:DXL131092 EHG131092:EHH131092 ERC131092:ERD131092 FAY131092:FAZ131092 FKU131092:FKV131092 FUQ131092:FUR131092 GEM131092:GEN131092 GOI131092:GOJ131092 GYE131092:GYF131092 HIA131092:HIB131092 HRW131092:HRX131092 IBS131092:IBT131092 ILO131092:ILP131092 IVK131092:IVL131092 JFG131092:JFH131092 JPC131092:JPD131092 JYY131092:JYZ131092 KIU131092:KIV131092 KSQ131092:KSR131092 LCM131092:LCN131092 LMI131092:LMJ131092 LWE131092:LWF131092 MGA131092:MGB131092 MPW131092:MPX131092 MZS131092:MZT131092 NJO131092:NJP131092 NTK131092:NTL131092 ODG131092:ODH131092 ONC131092:OND131092 OWY131092:OWZ131092 PGU131092:PGV131092 PQQ131092:PQR131092 QAM131092:QAN131092 QKI131092:QKJ131092 QUE131092:QUF131092 REA131092:REB131092 RNW131092:RNX131092 RXS131092:RXT131092 SHO131092:SHP131092 SRK131092:SRL131092 TBG131092:TBH131092 TLC131092:TLD131092 TUY131092:TUZ131092 UEU131092:UEV131092 UOQ131092:UOR131092 UYM131092:UYN131092 VII131092:VIJ131092 VSE131092:VSF131092 WCA131092:WCB131092 WLW131092:WLX131092 WVS131092:WVT131092 K196628:L196628 JG196628:JH196628 TC196628:TD196628 ACY196628:ACZ196628 AMU196628:AMV196628 AWQ196628:AWR196628 BGM196628:BGN196628 BQI196628:BQJ196628 CAE196628:CAF196628 CKA196628:CKB196628 CTW196628:CTX196628 DDS196628:DDT196628 DNO196628:DNP196628 DXK196628:DXL196628 EHG196628:EHH196628 ERC196628:ERD196628 FAY196628:FAZ196628 FKU196628:FKV196628 FUQ196628:FUR196628 GEM196628:GEN196628 GOI196628:GOJ196628 GYE196628:GYF196628 HIA196628:HIB196628 HRW196628:HRX196628 IBS196628:IBT196628 ILO196628:ILP196628 IVK196628:IVL196628 JFG196628:JFH196628 JPC196628:JPD196628 JYY196628:JYZ196628 KIU196628:KIV196628 KSQ196628:KSR196628 LCM196628:LCN196628 LMI196628:LMJ196628 LWE196628:LWF196628 MGA196628:MGB196628 MPW196628:MPX196628 MZS196628:MZT196628 NJO196628:NJP196628 NTK196628:NTL196628 ODG196628:ODH196628 ONC196628:OND196628 OWY196628:OWZ196628 PGU196628:PGV196628 PQQ196628:PQR196628 QAM196628:QAN196628 QKI196628:QKJ196628 QUE196628:QUF196628 REA196628:REB196628 RNW196628:RNX196628 RXS196628:RXT196628 SHO196628:SHP196628 SRK196628:SRL196628 TBG196628:TBH196628 TLC196628:TLD196628 TUY196628:TUZ196628 UEU196628:UEV196628 UOQ196628:UOR196628 UYM196628:UYN196628 VII196628:VIJ196628 VSE196628:VSF196628 WCA196628:WCB196628 WLW196628:WLX196628 WVS196628:WVT196628 K262164:L262164 JG262164:JH262164 TC262164:TD262164 ACY262164:ACZ262164 AMU262164:AMV262164 AWQ262164:AWR262164 BGM262164:BGN262164 BQI262164:BQJ262164 CAE262164:CAF262164 CKA262164:CKB262164 CTW262164:CTX262164 DDS262164:DDT262164 DNO262164:DNP262164 DXK262164:DXL262164 EHG262164:EHH262164 ERC262164:ERD262164 FAY262164:FAZ262164 FKU262164:FKV262164 FUQ262164:FUR262164 GEM262164:GEN262164 GOI262164:GOJ262164 GYE262164:GYF262164 HIA262164:HIB262164 HRW262164:HRX262164 IBS262164:IBT262164 ILO262164:ILP262164 IVK262164:IVL262164 JFG262164:JFH262164 JPC262164:JPD262164 JYY262164:JYZ262164 KIU262164:KIV262164 KSQ262164:KSR262164 LCM262164:LCN262164 LMI262164:LMJ262164 LWE262164:LWF262164 MGA262164:MGB262164 MPW262164:MPX262164 MZS262164:MZT262164 NJO262164:NJP262164 NTK262164:NTL262164 ODG262164:ODH262164 ONC262164:OND262164 OWY262164:OWZ262164 PGU262164:PGV262164 PQQ262164:PQR262164 QAM262164:QAN262164 QKI262164:QKJ262164 QUE262164:QUF262164 REA262164:REB262164 RNW262164:RNX262164 RXS262164:RXT262164 SHO262164:SHP262164 SRK262164:SRL262164 TBG262164:TBH262164 TLC262164:TLD262164 TUY262164:TUZ262164 UEU262164:UEV262164 UOQ262164:UOR262164 UYM262164:UYN262164 VII262164:VIJ262164 VSE262164:VSF262164 WCA262164:WCB262164 WLW262164:WLX262164 WVS262164:WVT262164 K327700:L327700 JG327700:JH327700 TC327700:TD327700 ACY327700:ACZ327700 AMU327700:AMV327700 AWQ327700:AWR327700 BGM327700:BGN327700 BQI327700:BQJ327700 CAE327700:CAF327700 CKA327700:CKB327700 CTW327700:CTX327700 DDS327700:DDT327700 DNO327700:DNP327700 DXK327700:DXL327700 EHG327700:EHH327700 ERC327700:ERD327700 FAY327700:FAZ327700 FKU327700:FKV327700 FUQ327700:FUR327700 GEM327700:GEN327700 GOI327700:GOJ327700 GYE327700:GYF327700 HIA327700:HIB327700 HRW327700:HRX327700 IBS327700:IBT327700 ILO327700:ILP327700 IVK327700:IVL327700 JFG327700:JFH327700 JPC327700:JPD327700 JYY327700:JYZ327700 KIU327700:KIV327700 KSQ327700:KSR327700 LCM327700:LCN327700 LMI327700:LMJ327700 LWE327700:LWF327700 MGA327700:MGB327700 MPW327700:MPX327700 MZS327700:MZT327700 NJO327700:NJP327700 NTK327700:NTL327700 ODG327700:ODH327700 ONC327700:OND327700 OWY327700:OWZ327700 PGU327700:PGV327700 PQQ327700:PQR327700 QAM327700:QAN327700 QKI327700:QKJ327700 QUE327700:QUF327700 REA327700:REB327700 RNW327700:RNX327700 RXS327700:RXT327700 SHO327700:SHP327700 SRK327700:SRL327700 TBG327700:TBH327700 TLC327700:TLD327700 TUY327700:TUZ327700 UEU327700:UEV327700 UOQ327700:UOR327700 UYM327700:UYN327700 VII327700:VIJ327700 VSE327700:VSF327700 WCA327700:WCB327700 WLW327700:WLX327700 WVS327700:WVT327700 K393236:L393236 JG393236:JH393236 TC393236:TD393236 ACY393236:ACZ393236 AMU393236:AMV393236 AWQ393236:AWR393236 BGM393236:BGN393236 BQI393236:BQJ393236 CAE393236:CAF393236 CKA393236:CKB393236 CTW393236:CTX393236 DDS393236:DDT393236 DNO393236:DNP393236 DXK393236:DXL393236 EHG393236:EHH393236 ERC393236:ERD393236 FAY393236:FAZ393236 FKU393236:FKV393236 FUQ393236:FUR393236 GEM393236:GEN393236 GOI393236:GOJ393236 GYE393236:GYF393236 HIA393236:HIB393236 HRW393236:HRX393236 IBS393236:IBT393236 ILO393236:ILP393236 IVK393236:IVL393236 JFG393236:JFH393236 JPC393236:JPD393236 JYY393236:JYZ393236 KIU393236:KIV393236 KSQ393236:KSR393236 LCM393236:LCN393236 LMI393236:LMJ393236 LWE393236:LWF393236 MGA393236:MGB393236 MPW393236:MPX393236 MZS393236:MZT393236 NJO393236:NJP393236 NTK393236:NTL393236 ODG393236:ODH393236 ONC393236:OND393236 OWY393236:OWZ393236 PGU393236:PGV393236 PQQ393236:PQR393236 QAM393236:QAN393236 QKI393236:QKJ393236 QUE393236:QUF393236 REA393236:REB393236 RNW393236:RNX393236 RXS393236:RXT393236 SHO393236:SHP393236 SRK393236:SRL393236 TBG393236:TBH393236 TLC393236:TLD393236 TUY393236:TUZ393236 UEU393236:UEV393236 UOQ393236:UOR393236 UYM393236:UYN393236 VII393236:VIJ393236 VSE393236:VSF393236 WCA393236:WCB393236 WLW393236:WLX393236 WVS393236:WVT393236 K458772:L458772 JG458772:JH458772 TC458772:TD458772 ACY458772:ACZ458772 AMU458772:AMV458772 AWQ458772:AWR458772 BGM458772:BGN458772 BQI458772:BQJ458772 CAE458772:CAF458772 CKA458772:CKB458772 CTW458772:CTX458772 DDS458772:DDT458772 DNO458772:DNP458772 DXK458772:DXL458772 EHG458772:EHH458772 ERC458772:ERD458772 FAY458772:FAZ458772 FKU458772:FKV458772 FUQ458772:FUR458772 GEM458772:GEN458772 GOI458772:GOJ458772 GYE458772:GYF458772 HIA458772:HIB458772 HRW458772:HRX458772 IBS458772:IBT458772 ILO458772:ILP458772 IVK458772:IVL458772 JFG458772:JFH458772 JPC458772:JPD458772 JYY458772:JYZ458772 KIU458772:KIV458772 KSQ458772:KSR458772 LCM458772:LCN458772 LMI458772:LMJ458772 LWE458772:LWF458772 MGA458772:MGB458772 MPW458772:MPX458772 MZS458772:MZT458772 NJO458772:NJP458772 NTK458772:NTL458772 ODG458772:ODH458772 ONC458772:OND458772 OWY458772:OWZ458772 PGU458772:PGV458772 PQQ458772:PQR458772 QAM458772:QAN458772 QKI458772:QKJ458772 QUE458772:QUF458772 REA458772:REB458772 RNW458772:RNX458772 RXS458772:RXT458772 SHO458772:SHP458772 SRK458772:SRL458772 TBG458772:TBH458772 TLC458772:TLD458772 TUY458772:TUZ458772 UEU458772:UEV458772 UOQ458772:UOR458772 UYM458772:UYN458772 VII458772:VIJ458772 VSE458772:VSF458772 WCA458772:WCB458772 WLW458772:WLX458772 WVS458772:WVT458772 K524308:L524308 JG524308:JH524308 TC524308:TD524308 ACY524308:ACZ524308 AMU524308:AMV524308 AWQ524308:AWR524308 BGM524308:BGN524308 BQI524308:BQJ524308 CAE524308:CAF524308 CKA524308:CKB524308 CTW524308:CTX524308 DDS524308:DDT524308 DNO524308:DNP524308 DXK524308:DXL524308 EHG524308:EHH524308 ERC524308:ERD524308 FAY524308:FAZ524308 FKU524308:FKV524308 FUQ524308:FUR524308 GEM524308:GEN524308 GOI524308:GOJ524308 GYE524308:GYF524308 HIA524308:HIB524308 HRW524308:HRX524308 IBS524308:IBT524308 ILO524308:ILP524308 IVK524308:IVL524308 JFG524308:JFH524308 JPC524308:JPD524308 JYY524308:JYZ524308 KIU524308:KIV524308 KSQ524308:KSR524308 LCM524308:LCN524308 LMI524308:LMJ524308 LWE524308:LWF524308 MGA524308:MGB524308 MPW524308:MPX524308 MZS524308:MZT524308 NJO524308:NJP524308 NTK524308:NTL524308 ODG524308:ODH524308 ONC524308:OND524308 OWY524308:OWZ524308 PGU524308:PGV524308 PQQ524308:PQR524308 QAM524308:QAN524308 QKI524308:QKJ524308 QUE524308:QUF524308 REA524308:REB524308 RNW524308:RNX524308 RXS524308:RXT524308 SHO524308:SHP524308 SRK524308:SRL524308 TBG524308:TBH524308 TLC524308:TLD524308 TUY524308:TUZ524308 UEU524308:UEV524308 UOQ524308:UOR524308 UYM524308:UYN524308 VII524308:VIJ524308 VSE524308:VSF524308 WCA524308:WCB524308 WLW524308:WLX524308 WVS524308:WVT524308 K589844:L589844 JG589844:JH589844 TC589844:TD589844 ACY589844:ACZ589844 AMU589844:AMV589844 AWQ589844:AWR589844 BGM589844:BGN589844 BQI589844:BQJ589844 CAE589844:CAF589844 CKA589844:CKB589844 CTW589844:CTX589844 DDS589844:DDT589844 DNO589844:DNP589844 DXK589844:DXL589844 EHG589844:EHH589844 ERC589844:ERD589844 FAY589844:FAZ589844 FKU589844:FKV589844 FUQ589844:FUR589844 GEM589844:GEN589844 GOI589844:GOJ589844 GYE589844:GYF589844 HIA589844:HIB589844 HRW589844:HRX589844 IBS589844:IBT589844 ILO589844:ILP589844 IVK589844:IVL589844 JFG589844:JFH589844 JPC589844:JPD589844 JYY589844:JYZ589844 KIU589844:KIV589844 KSQ589844:KSR589844 LCM589844:LCN589844 LMI589844:LMJ589844 LWE589844:LWF589844 MGA589844:MGB589844 MPW589844:MPX589844 MZS589844:MZT589844 NJO589844:NJP589844 NTK589844:NTL589844 ODG589844:ODH589844 ONC589844:OND589844 OWY589844:OWZ589844 PGU589844:PGV589844 PQQ589844:PQR589844 QAM589844:QAN589844 QKI589844:QKJ589844 QUE589844:QUF589844 REA589844:REB589844 RNW589844:RNX589844 RXS589844:RXT589844 SHO589844:SHP589844 SRK589844:SRL589844 TBG589844:TBH589844 TLC589844:TLD589844 TUY589844:TUZ589844 UEU589844:UEV589844 UOQ589844:UOR589844 UYM589844:UYN589844 VII589844:VIJ589844 VSE589844:VSF589844 WCA589844:WCB589844 WLW589844:WLX589844 WVS589844:WVT589844 K655380:L655380 JG655380:JH655380 TC655380:TD655380 ACY655380:ACZ655380 AMU655380:AMV655380 AWQ655380:AWR655380 BGM655380:BGN655380 BQI655380:BQJ655380 CAE655380:CAF655380 CKA655380:CKB655380 CTW655380:CTX655380 DDS655380:DDT655380 DNO655380:DNP655380 DXK655380:DXL655380 EHG655380:EHH655380 ERC655380:ERD655380 FAY655380:FAZ655380 FKU655380:FKV655380 FUQ655380:FUR655380 GEM655380:GEN655380 GOI655380:GOJ655380 GYE655380:GYF655380 HIA655380:HIB655380 HRW655380:HRX655380 IBS655380:IBT655380 ILO655380:ILP655380 IVK655380:IVL655380 JFG655380:JFH655380 JPC655380:JPD655380 JYY655380:JYZ655380 KIU655380:KIV655380 KSQ655380:KSR655380 LCM655380:LCN655380 LMI655380:LMJ655380 LWE655380:LWF655380 MGA655380:MGB655380 MPW655380:MPX655380 MZS655380:MZT655380 NJO655380:NJP655380 NTK655380:NTL655380 ODG655380:ODH655380 ONC655380:OND655380 OWY655380:OWZ655380 PGU655380:PGV655380 PQQ655380:PQR655380 QAM655380:QAN655380 QKI655380:QKJ655380 QUE655380:QUF655380 REA655380:REB655380 RNW655380:RNX655380 RXS655380:RXT655380 SHO655380:SHP655380 SRK655380:SRL655380 TBG655380:TBH655380 TLC655380:TLD655380 TUY655380:TUZ655380 UEU655380:UEV655380 UOQ655380:UOR655380 UYM655380:UYN655380 VII655380:VIJ655380 VSE655380:VSF655380 WCA655380:WCB655380 WLW655380:WLX655380 WVS655380:WVT655380 K720916:L720916 JG720916:JH720916 TC720916:TD720916 ACY720916:ACZ720916 AMU720916:AMV720916 AWQ720916:AWR720916 BGM720916:BGN720916 BQI720916:BQJ720916 CAE720916:CAF720916 CKA720916:CKB720916 CTW720916:CTX720916 DDS720916:DDT720916 DNO720916:DNP720916 DXK720916:DXL720916 EHG720916:EHH720916 ERC720916:ERD720916 FAY720916:FAZ720916 FKU720916:FKV720916 FUQ720916:FUR720916 GEM720916:GEN720916 GOI720916:GOJ720916 GYE720916:GYF720916 HIA720916:HIB720916 HRW720916:HRX720916 IBS720916:IBT720916 ILO720916:ILP720916 IVK720916:IVL720916 JFG720916:JFH720916 JPC720916:JPD720916 JYY720916:JYZ720916 KIU720916:KIV720916 KSQ720916:KSR720916 LCM720916:LCN720916 LMI720916:LMJ720916 LWE720916:LWF720916 MGA720916:MGB720916 MPW720916:MPX720916 MZS720916:MZT720916 NJO720916:NJP720916 NTK720916:NTL720916 ODG720916:ODH720916 ONC720916:OND720916 OWY720916:OWZ720916 PGU720916:PGV720916 PQQ720916:PQR720916 QAM720916:QAN720916 QKI720916:QKJ720916 QUE720916:QUF720916 REA720916:REB720916 RNW720916:RNX720916 RXS720916:RXT720916 SHO720916:SHP720916 SRK720916:SRL720916 TBG720916:TBH720916 TLC720916:TLD720916 TUY720916:TUZ720916 UEU720916:UEV720916 UOQ720916:UOR720916 UYM720916:UYN720916 VII720916:VIJ720916 VSE720916:VSF720916 WCA720916:WCB720916 WLW720916:WLX720916 WVS720916:WVT720916 K786452:L786452 JG786452:JH786452 TC786452:TD786452 ACY786452:ACZ786452 AMU786452:AMV786452 AWQ786452:AWR786452 BGM786452:BGN786452 BQI786452:BQJ786452 CAE786452:CAF786452 CKA786452:CKB786452 CTW786452:CTX786452 DDS786452:DDT786452 DNO786452:DNP786452 DXK786452:DXL786452 EHG786452:EHH786452 ERC786452:ERD786452 FAY786452:FAZ786452 FKU786452:FKV786452 FUQ786452:FUR786452 GEM786452:GEN786452 GOI786452:GOJ786452 GYE786452:GYF786452 HIA786452:HIB786452 HRW786452:HRX786452 IBS786452:IBT786452 ILO786452:ILP786452 IVK786452:IVL786452 JFG786452:JFH786452 JPC786452:JPD786452 JYY786452:JYZ786452 KIU786452:KIV786452 KSQ786452:KSR786452 LCM786452:LCN786452 LMI786452:LMJ786452 LWE786452:LWF786452 MGA786452:MGB786452 MPW786452:MPX786452 MZS786452:MZT786452 NJO786452:NJP786452 NTK786452:NTL786452 ODG786452:ODH786452 ONC786452:OND786452 OWY786452:OWZ786452 PGU786452:PGV786452 PQQ786452:PQR786452 QAM786452:QAN786452 QKI786452:QKJ786452 QUE786452:QUF786452 REA786452:REB786452 RNW786452:RNX786452 RXS786452:RXT786452 SHO786452:SHP786452 SRK786452:SRL786452 TBG786452:TBH786452 TLC786452:TLD786452 TUY786452:TUZ786452 UEU786452:UEV786452 UOQ786452:UOR786452 UYM786452:UYN786452 VII786452:VIJ786452 VSE786452:VSF786452 WCA786452:WCB786452 WLW786452:WLX786452 WVS786452:WVT786452 K851988:L851988 JG851988:JH851988 TC851988:TD851988 ACY851988:ACZ851988 AMU851988:AMV851988 AWQ851988:AWR851988 BGM851988:BGN851988 BQI851988:BQJ851988 CAE851988:CAF851988 CKA851988:CKB851988 CTW851988:CTX851988 DDS851988:DDT851988 DNO851988:DNP851988 DXK851988:DXL851988 EHG851988:EHH851988 ERC851988:ERD851988 FAY851988:FAZ851988 FKU851988:FKV851988 FUQ851988:FUR851988 GEM851988:GEN851988 GOI851988:GOJ851988 GYE851988:GYF851988 HIA851988:HIB851988 HRW851988:HRX851988 IBS851988:IBT851988 ILO851988:ILP851988 IVK851988:IVL851988 JFG851988:JFH851988 JPC851988:JPD851988 JYY851988:JYZ851988 KIU851988:KIV851988 KSQ851988:KSR851988 LCM851988:LCN851988 LMI851988:LMJ851988 LWE851988:LWF851988 MGA851988:MGB851988 MPW851988:MPX851988 MZS851988:MZT851988 NJO851988:NJP851988 NTK851988:NTL851988 ODG851988:ODH851988 ONC851988:OND851988 OWY851988:OWZ851988 PGU851988:PGV851988 PQQ851988:PQR851988 QAM851988:QAN851988 QKI851988:QKJ851988 QUE851988:QUF851988 REA851988:REB851988 RNW851988:RNX851988 RXS851988:RXT851988 SHO851988:SHP851988 SRK851988:SRL851988 TBG851988:TBH851988 TLC851988:TLD851988 TUY851988:TUZ851988 UEU851988:UEV851988 UOQ851988:UOR851988 UYM851988:UYN851988 VII851988:VIJ851988 VSE851988:VSF851988 WCA851988:WCB851988 WLW851988:WLX851988 WVS851988:WVT851988 K917524:L917524 JG917524:JH917524 TC917524:TD917524 ACY917524:ACZ917524 AMU917524:AMV917524 AWQ917524:AWR917524 BGM917524:BGN917524 BQI917524:BQJ917524 CAE917524:CAF917524 CKA917524:CKB917524 CTW917524:CTX917524 DDS917524:DDT917524 DNO917524:DNP917524 DXK917524:DXL917524 EHG917524:EHH917524 ERC917524:ERD917524 FAY917524:FAZ917524 FKU917524:FKV917524 FUQ917524:FUR917524 GEM917524:GEN917524 GOI917524:GOJ917524 GYE917524:GYF917524 HIA917524:HIB917524 HRW917524:HRX917524 IBS917524:IBT917524 ILO917524:ILP917524 IVK917524:IVL917524 JFG917524:JFH917524 JPC917524:JPD917524 JYY917524:JYZ917524 KIU917524:KIV917524 KSQ917524:KSR917524 LCM917524:LCN917524 LMI917524:LMJ917524 LWE917524:LWF917524 MGA917524:MGB917524 MPW917524:MPX917524 MZS917524:MZT917524 NJO917524:NJP917524 NTK917524:NTL917524 ODG917524:ODH917524 ONC917524:OND917524 OWY917524:OWZ917524 PGU917524:PGV917524 PQQ917524:PQR917524 QAM917524:QAN917524 QKI917524:QKJ917524 QUE917524:QUF917524 REA917524:REB917524 RNW917524:RNX917524 RXS917524:RXT917524 SHO917524:SHP917524 SRK917524:SRL917524 TBG917524:TBH917524 TLC917524:TLD917524 TUY917524:TUZ917524 UEU917524:UEV917524 UOQ917524:UOR917524 UYM917524:UYN917524 VII917524:VIJ917524 VSE917524:VSF917524 WCA917524:WCB917524 WLW917524:WLX917524 WVS917524:WVT917524 K983060:L983060 JG983060:JH983060 TC983060:TD983060 ACY983060:ACZ983060 AMU983060:AMV983060 AWQ983060:AWR983060 BGM983060:BGN983060 BQI983060:BQJ983060 CAE983060:CAF983060 CKA983060:CKB983060 CTW983060:CTX983060 DDS983060:DDT983060 DNO983060:DNP983060 DXK983060:DXL983060 EHG983060:EHH983060 ERC983060:ERD983060 FAY983060:FAZ983060 FKU983060:FKV983060 FUQ983060:FUR983060 GEM983060:GEN983060 GOI983060:GOJ983060 GYE983060:GYF983060 HIA983060:HIB983060 HRW983060:HRX983060 IBS983060:IBT983060 ILO983060:ILP983060 IVK983060:IVL983060 JFG983060:JFH983060 JPC983060:JPD983060 JYY983060:JYZ983060 KIU983060:KIV983060 KSQ983060:KSR983060 LCM983060:LCN983060 LMI983060:LMJ983060 LWE983060:LWF983060 MGA983060:MGB983060 MPW983060:MPX983060 MZS983060:MZT983060 NJO983060:NJP983060 NTK983060:NTL983060 ODG983060:ODH983060 ONC983060:OND983060 OWY983060:OWZ983060 PGU983060:PGV983060 PQQ983060:PQR983060 QAM983060:QAN983060 QKI983060:QKJ983060 QUE983060:QUF983060 REA983060:REB983060 RNW983060:RNX983060 RXS983060:RXT983060 SHO983060:SHP983060 SRK983060:SRL983060 TBG983060:TBH983060 TLC983060:TLD983060 TUY983060:TUZ983060 UEU983060:UEV983060 UOQ983060:UOR983060 UYM983060:UYN983060 VII983060:VIJ983060 VSE983060:VSF983060 WCA983060:WCB983060 WLW983060:WLX983060 WVS983060:WVT983060 K17:L17 JG17:JH17 TC17:TD17 ACY17:ACZ17 AMU17:AMV17 AWQ17:AWR17 BGM17:BGN17 BQI17:BQJ17 CAE17:CAF17 CKA17:CKB17 CTW17:CTX17 DDS17:DDT17 DNO17:DNP17 DXK17:DXL17 EHG17:EHH17 ERC17:ERD17 FAY17:FAZ17 FKU17:FKV17 FUQ17:FUR17 GEM17:GEN17 GOI17:GOJ17 GYE17:GYF17 HIA17:HIB17 HRW17:HRX17 IBS17:IBT17 ILO17:ILP17 IVK17:IVL17 JFG17:JFH17 JPC17:JPD17 JYY17:JYZ17 KIU17:KIV17 KSQ17:KSR17 LCM17:LCN17 LMI17:LMJ17 LWE17:LWF17 MGA17:MGB17 MPW17:MPX17 MZS17:MZT17 NJO17:NJP17 NTK17:NTL17 ODG17:ODH17 ONC17:OND17 OWY17:OWZ17 PGU17:PGV17 PQQ17:PQR17 QAM17:QAN17 QKI17:QKJ17 QUE17:QUF17 REA17:REB17 RNW17:RNX17 RXS17:RXT17 SHO17:SHP17 SRK17:SRL17 TBG17:TBH17 TLC17:TLD17 TUY17:TUZ17 UEU17:UEV17 UOQ17:UOR17 UYM17:UYN17 VII17:VIJ17 VSE17:VSF17 WCA17:WCB17 WLW17:WLX17 WVS17:WVT17 K65553:L65553 JG65553:JH65553 TC65553:TD65553 ACY65553:ACZ65553 AMU65553:AMV65553 AWQ65553:AWR65553 BGM65553:BGN65553 BQI65553:BQJ65553 CAE65553:CAF65553 CKA65553:CKB65553 CTW65553:CTX65553 DDS65553:DDT65553 DNO65553:DNP65553 DXK65553:DXL65553 EHG65553:EHH65553 ERC65553:ERD65553 FAY65553:FAZ65553 FKU65553:FKV65553 FUQ65553:FUR65553 GEM65553:GEN65553 GOI65553:GOJ65553 GYE65553:GYF65553 HIA65553:HIB65553 HRW65553:HRX65553 IBS65553:IBT65553 ILO65553:ILP65553 IVK65553:IVL65553 JFG65553:JFH65553 JPC65553:JPD65553 JYY65553:JYZ65553 KIU65553:KIV65553 KSQ65553:KSR65553 LCM65553:LCN65553 LMI65553:LMJ65553 LWE65553:LWF65553 MGA65553:MGB65553 MPW65553:MPX65553 MZS65553:MZT65553 NJO65553:NJP65553 NTK65553:NTL65553 ODG65553:ODH65553 ONC65553:OND65553 OWY65553:OWZ65553 PGU65553:PGV65553 PQQ65553:PQR65553 QAM65553:QAN65553 QKI65553:QKJ65553 QUE65553:QUF65553 REA65553:REB65553 RNW65553:RNX65553 RXS65553:RXT65553 SHO65553:SHP65553 SRK65553:SRL65553 TBG65553:TBH65553 TLC65553:TLD65553 TUY65553:TUZ65553 UEU65553:UEV65553 UOQ65553:UOR65553 UYM65553:UYN65553 VII65553:VIJ65553 VSE65553:VSF65553 WCA65553:WCB65553 WLW65553:WLX65553 WVS65553:WVT65553 K131089:L131089 JG131089:JH131089 TC131089:TD131089 ACY131089:ACZ131089 AMU131089:AMV131089 AWQ131089:AWR131089 BGM131089:BGN131089 BQI131089:BQJ131089 CAE131089:CAF131089 CKA131089:CKB131089 CTW131089:CTX131089 DDS131089:DDT131089 DNO131089:DNP131089 DXK131089:DXL131089 EHG131089:EHH131089 ERC131089:ERD131089 FAY131089:FAZ131089 FKU131089:FKV131089 FUQ131089:FUR131089 GEM131089:GEN131089 GOI131089:GOJ131089 GYE131089:GYF131089 HIA131089:HIB131089 HRW131089:HRX131089 IBS131089:IBT131089 ILO131089:ILP131089 IVK131089:IVL131089 JFG131089:JFH131089 JPC131089:JPD131089 JYY131089:JYZ131089 KIU131089:KIV131089 KSQ131089:KSR131089 LCM131089:LCN131089 LMI131089:LMJ131089 LWE131089:LWF131089 MGA131089:MGB131089 MPW131089:MPX131089 MZS131089:MZT131089 NJO131089:NJP131089 NTK131089:NTL131089 ODG131089:ODH131089 ONC131089:OND131089 OWY131089:OWZ131089 PGU131089:PGV131089 PQQ131089:PQR131089 QAM131089:QAN131089 QKI131089:QKJ131089 QUE131089:QUF131089 REA131089:REB131089 RNW131089:RNX131089 RXS131089:RXT131089 SHO131089:SHP131089 SRK131089:SRL131089 TBG131089:TBH131089 TLC131089:TLD131089 TUY131089:TUZ131089 UEU131089:UEV131089 UOQ131089:UOR131089 UYM131089:UYN131089 VII131089:VIJ131089 VSE131089:VSF131089 WCA131089:WCB131089 WLW131089:WLX131089 WVS131089:WVT131089 K196625:L196625 JG196625:JH196625 TC196625:TD196625 ACY196625:ACZ196625 AMU196625:AMV196625 AWQ196625:AWR196625 BGM196625:BGN196625 BQI196625:BQJ196625 CAE196625:CAF196625 CKA196625:CKB196625 CTW196625:CTX196625 DDS196625:DDT196625 DNO196625:DNP196625 DXK196625:DXL196625 EHG196625:EHH196625 ERC196625:ERD196625 FAY196625:FAZ196625 FKU196625:FKV196625 FUQ196625:FUR196625 GEM196625:GEN196625 GOI196625:GOJ196625 GYE196625:GYF196625 HIA196625:HIB196625 HRW196625:HRX196625 IBS196625:IBT196625 ILO196625:ILP196625 IVK196625:IVL196625 JFG196625:JFH196625 JPC196625:JPD196625 JYY196625:JYZ196625 KIU196625:KIV196625 KSQ196625:KSR196625 LCM196625:LCN196625 LMI196625:LMJ196625 LWE196625:LWF196625 MGA196625:MGB196625 MPW196625:MPX196625 MZS196625:MZT196625 NJO196625:NJP196625 NTK196625:NTL196625 ODG196625:ODH196625 ONC196625:OND196625 OWY196625:OWZ196625 PGU196625:PGV196625 PQQ196625:PQR196625 QAM196625:QAN196625 QKI196625:QKJ196625 QUE196625:QUF196625 REA196625:REB196625 RNW196625:RNX196625 RXS196625:RXT196625 SHO196625:SHP196625 SRK196625:SRL196625 TBG196625:TBH196625 TLC196625:TLD196625 TUY196625:TUZ196625 UEU196625:UEV196625 UOQ196625:UOR196625 UYM196625:UYN196625 VII196625:VIJ196625 VSE196625:VSF196625 WCA196625:WCB196625 WLW196625:WLX196625 WVS196625:WVT196625 K262161:L262161 JG262161:JH262161 TC262161:TD262161 ACY262161:ACZ262161 AMU262161:AMV262161 AWQ262161:AWR262161 BGM262161:BGN262161 BQI262161:BQJ262161 CAE262161:CAF262161 CKA262161:CKB262161 CTW262161:CTX262161 DDS262161:DDT262161 DNO262161:DNP262161 DXK262161:DXL262161 EHG262161:EHH262161 ERC262161:ERD262161 FAY262161:FAZ262161 FKU262161:FKV262161 FUQ262161:FUR262161 GEM262161:GEN262161 GOI262161:GOJ262161 GYE262161:GYF262161 HIA262161:HIB262161 HRW262161:HRX262161 IBS262161:IBT262161 ILO262161:ILP262161 IVK262161:IVL262161 JFG262161:JFH262161 JPC262161:JPD262161 JYY262161:JYZ262161 KIU262161:KIV262161 KSQ262161:KSR262161 LCM262161:LCN262161 LMI262161:LMJ262161 LWE262161:LWF262161 MGA262161:MGB262161 MPW262161:MPX262161 MZS262161:MZT262161 NJO262161:NJP262161 NTK262161:NTL262161 ODG262161:ODH262161 ONC262161:OND262161 OWY262161:OWZ262161 PGU262161:PGV262161 PQQ262161:PQR262161 QAM262161:QAN262161 QKI262161:QKJ262161 QUE262161:QUF262161 REA262161:REB262161 RNW262161:RNX262161 RXS262161:RXT262161 SHO262161:SHP262161 SRK262161:SRL262161 TBG262161:TBH262161 TLC262161:TLD262161 TUY262161:TUZ262161 UEU262161:UEV262161 UOQ262161:UOR262161 UYM262161:UYN262161 VII262161:VIJ262161 VSE262161:VSF262161 WCA262161:WCB262161 WLW262161:WLX262161 WVS262161:WVT262161 K327697:L327697 JG327697:JH327697 TC327697:TD327697 ACY327697:ACZ327697 AMU327697:AMV327697 AWQ327697:AWR327697 BGM327697:BGN327697 BQI327697:BQJ327697 CAE327697:CAF327697 CKA327697:CKB327697 CTW327697:CTX327697 DDS327697:DDT327697 DNO327697:DNP327697 DXK327697:DXL327697 EHG327697:EHH327697 ERC327697:ERD327697 FAY327697:FAZ327697 FKU327697:FKV327697 FUQ327697:FUR327697 GEM327697:GEN327697 GOI327697:GOJ327697 GYE327697:GYF327697 HIA327697:HIB327697 HRW327697:HRX327697 IBS327697:IBT327697 ILO327697:ILP327697 IVK327697:IVL327697 JFG327697:JFH327697 JPC327697:JPD327697 JYY327697:JYZ327697 KIU327697:KIV327697 KSQ327697:KSR327697 LCM327697:LCN327697 LMI327697:LMJ327697 LWE327697:LWF327697 MGA327697:MGB327697 MPW327697:MPX327697 MZS327697:MZT327697 NJO327697:NJP327697 NTK327697:NTL327697 ODG327697:ODH327697 ONC327697:OND327697 OWY327697:OWZ327697 PGU327697:PGV327697 PQQ327697:PQR327697 QAM327697:QAN327697 QKI327697:QKJ327697 QUE327697:QUF327697 REA327697:REB327697 RNW327697:RNX327697 RXS327697:RXT327697 SHO327697:SHP327697 SRK327697:SRL327697 TBG327697:TBH327697 TLC327697:TLD327697 TUY327697:TUZ327697 UEU327697:UEV327697 UOQ327697:UOR327697 UYM327697:UYN327697 VII327697:VIJ327697 VSE327697:VSF327697 WCA327697:WCB327697 WLW327697:WLX327697 WVS327697:WVT327697 K393233:L393233 JG393233:JH393233 TC393233:TD393233 ACY393233:ACZ393233 AMU393233:AMV393233 AWQ393233:AWR393233 BGM393233:BGN393233 BQI393233:BQJ393233 CAE393233:CAF393233 CKA393233:CKB393233 CTW393233:CTX393233 DDS393233:DDT393233 DNO393233:DNP393233 DXK393233:DXL393233 EHG393233:EHH393233 ERC393233:ERD393233 FAY393233:FAZ393233 FKU393233:FKV393233 FUQ393233:FUR393233 GEM393233:GEN393233 GOI393233:GOJ393233 GYE393233:GYF393233 HIA393233:HIB393233 HRW393233:HRX393233 IBS393233:IBT393233 ILO393233:ILP393233 IVK393233:IVL393233 JFG393233:JFH393233 JPC393233:JPD393233 JYY393233:JYZ393233 KIU393233:KIV393233 KSQ393233:KSR393233 LCM393233:LCN393233 LMI393233:LMJ393233 LWE393233:LWF393233 MGA393233:MGB393233 MPW393233:MPX393233 MZS393233:MZT393233 NJO393233:NJP393233 NTK393233:NTL393233 ODG393233:ODH393233 ONC393233:OND393233 OWY393233:OWZ393233 PGU393233:PGV393233 PQQ393233:PQR393233 QAM393233:QAN393233 QKI393233:QKJ393233 QUE393233:QUF393233 REA393233:REB393233 RNW393233:RNX393233 RXS393233:RXT393233 SHO393233:SHP393233 SRK393233:SRL393233 TBG393233:TBH393233 TLC393233:TLD393233 TUY393233:TUZ393233 UEU393233:UEV393233 UOQ393233:UOR393233 UYM393233:UYN393233 VII393233:VIJ393233 VSE393233:VSF393233 WCA393233:WCB393233 WLW393233:WLX393233 WVS393233:WVT393233 K458769:L458769 JG458769:JH458769 TC458769:TD458769 ACY458769:ACZ458769 AMU458769:AMV458769 AWQ458769:AWR458769 BGM458769:BGN458769 BQI458769:BQJ458769 CAE458769:CAF458769 CKA458769:CKB458769 CTW458769:CTX458769 DDS458769:DDT458769 DNO458769:DNP458769 DXK458769:DXL458769 EHG458769:EHH458769 ERC458769:ERD458769 FAY458769:FAZ458769 FKU458769:FKV458769 FUQ458769:FUR458769 GEM458769:GEN458769 GOI458769:GOJ458769 GYE458769:GYF458769 HIA458769:HIB458769 HRW458769:HRX458769 IBS458769:IBT458769 ILO458769:ILP458769 IVK458769:IVL458769 JFG458769:JFH458769 JPC458769:JPD458769 JYY458769:JYZ458769 KIU458769:KIV458769 KSQ458769:KSR458769 LCM458769:LCN458769 LMI458769:LMJ458769 LWE458769:LWF458769 MGA458769:MGB458769 MPW458769:MPX458769 MZS458769:MZT458769 NJO458769:NJP458769 NTK458769:NTL458769 ODG458769:ODH458769 ONC458769:OND458769 OWY458769:OWZ458769 PGU458769:PGV458769 PQQ458769:PQR458769 QAM458769:QAN458769 QKI458769:QKJ458769 QUE458769:QUF458769 REA458769:REB458769 RNW458769:RNX458769 RXS458769:RXT458769 SHO458769:SHP458769 SRK458769:SRL458769 TBG458769:TBH458769 TLC458769:TLD458769 TUY458769:TUZ458769 UEU458769:UEV458769 UOQ458769:UOR458769 UYM458769:UYN458769 VII458769:VIJ458769 VSE458769:VSF458769 WCA458769:WCB458769 WLW458769:WLX458769 WVS458769:WVT458769 K524305:L524305 JG524305:JH524305 TC524305:TD524305 ACY524305:ACZ524305 AMU524305:AMV524305 AWQ524305:AWR524305 BGM524305:BGN524305 BQI524305:BQJ524305 CAE524305:CAF524305 CKA524305:CKB524305 CTW524305:CTX524305 DDS524305:DDT524305 DNO524305:DNP524305 DXK524305:DXL524305 EHG524305:EHH524305 ERC524305:ERD524305 FAY524305:FAZ524305 FKU524305:FKV524305 FUQ524305:FUR524305 GEM524305:GEN524305 GOI524305:GOJ524305 GYE524305:GYF524305 HIA524305:HIB524305 HRW524305:HRX524305 IBS524305:IBT524305 ILO524305:ILP524305 IVK524305:IVL524305 JFG524305:JFH524305 JPC524305:JPD524305 JYY524305:JYZ524305 KIU524305:KIV524305 KSQ524305:KSR524305 LCM524305:LCN524305 LMI524305:LMJ524305 LWE524305:LWF524305 MGA524305:MGB524305 MPW524305:MPX524305 MZS524305:MZT524305 NJO524305:NJP524305 NTK524305:NTL524305 ODG524305:ODH524305 ONC524305:OND524305 OWY524305:OWZ524305 PGU524305:PGV524305 PQQ524305:PQR524305 QAM524305:QAN524305 QKI524305:QKJ524305 QUE524305:QUF524305 REA524305:REB524305 RNW524305:RNX524305 RXS524305:RXT524305 SHO524305:SHP524305 SRK524305:SRL524305 TBG524305:TBH524305 TLC524305:TLD524305 TUY524305:TUZ524305 UEU524305:UEV524305 UOQ524305:UOR524305 UYM524305:UYN524305 VII524305:VIJ524305 VSE524305:VSF524305 WCA524305:WCB524305 WLW524305:WLX524305 WVS524305:WVT524305 K589841:L589841 JG589841:JH589841 TC589841:TD589841 ACY589841:ACZ589841 AMU589841:AMV589841 AWQ589841:AWR589841 BGM589841:BGN589841 BQI589841:BQJ589841 CAE589841:CAF589841 CKA589841:CKB589841 CTW589841:CTX589841 DDS589841:DDT589841 DNO589841:DNP589841 DXK589841:DXL589841 EHG589841:EHH589841 ERC589841:ERD589841 FAY589841:FAZ589841 FKU589841:FKV589841 FUQ589841:FUR589841 GEM589841:GEN589841 GOI589841:GOJ589841 GYE589841:GYF589841 HIA589841:HIB589841 HRW589841:HRX589841 IBS589841:IBT589841 ILO589841:ILP589841 IVK589841:IVL589841 JFG589841:JFH589841 JPC589841:JPD589841 JYY589841:JYZ589841 KIU589841:KIV589841 KSQ589841:KSR589841 LCM589841:LCN589841 LMI589841:LMJ589841 LWE589841:LWF589841 MGA589841:MGB589841 MPW589841:MPX589841 MZS589841:MZT589841 NJO589841:NJP589841 NTK589841:NTL589841 ODG589841:ODH589841 ONC589841:OND589841 OWY589841:OWZ589841 PGU589841:PGV589841 PQQ589841:PQR589841 QAM589841:QAN589841 QKI589841:QKJ589841 QUE589841:QUF589841 REA589841:REB589841 RNW589841:RNX589841 RXS589841:RXT589841 SHO589841:SHP589841 SRK589841:SRL589841 TBG589841:TBH589841 TLC589841:TLD589841 TUY589841:TUZ589841 UEU589841:UEV589841 UOQ589841:UOR589841 UYM589841:UYN589841 VII589841:VIJ589841 VSE589841:VSF589841 WCA589841:WCB589841 WLW589841:WLX589841 WVS589841:WVT589841 K655377:L655377 JG655377:JH655377 TC655377:TD655377 ACY655377:ACZ655377 AMU655377:AMV655377 AWQ655377:AWR655377 BGM655377:BGN655377 BQI655377:BQJ655377 CAE655377:CAF655377 CKA655377:CKB655377 CTW655377:CTX655377 DDS655377:DDT655377 DNO655377:DNP655377 DXK655377:DXL655377 EHG655377:EHH655377 ERC655377:ERD655377 FAY655377:FAZ655377 FKU655377:FKV655377 FUQ655377:FUR655377 GEM655377:GEN655377 GOI655377:GOJ655377 GYE655377:GYF655377 HIA655377:HIB655377 HRW655377:HRX655377 IBS655377:IBT655377 ILO655377:ILP655377 IVK655377:IVL655377 JFG655377:JFH655377 JPC655377:JPD655377 JYY655377:JYZ655377 KIU655377:KIV655377 KSQ655377:KSR655377 LCM655377:LCN655377 LMI655377:LMJ655377 LWE655377:LWF655377 MGA655377:MGB655377 MPW655377:MPX655377 MZS655377:MZT655377 NJO655377:NJP655377 NTK655377:NTL655377 ODG655377:ODH655377 ONC655377:OND655377 OWY655377:OWZ655377 PGU655377:PGV655377 PQQ655377:PQR655377 QAM655377:QAN655377 QKI655377:QKJ655377 QUE655377:QUF655377 REA655377:REB655377 RNW655377:RNX655377 RXS655377:RXT655377 SHO655377:SHP655377 SRK655377:SRL655377 TBG655377:TBH655377 TLC655377:TLD655377 TUY655377:TUZ655377 UEU655377:UEV655377 UOQ655377:UOR655377 UYM655377:UYN655377 VII655377:VIJ655377 VSE655377:VSF655377 WCA655377:WCB655377 WLW655377:WLX655377 WVS655377:WVT655377 K720913:L720913 JG720913:JH720913 TC720913:TD720913 ACY720913:ACZ720913 AMU720913:AMV720913 AWQ720913:AWR720913 BGM720913:BGN720913 BQI720913:BQJ720913 CAE720913:CAF720913 CKA720913:CKB720913 CTW720913:CTX720913 DDS720913:DDT720913 DNO720913:DNP720913 DXK720913:DXL720913 EHG720913:EHH720913 ERC720913:ERD720913 FAY720913:FAZ720913 FKU720913:FKV720913 FUQ720913:FUR720913 GEM720913:GEN720913 GOI720913:GOJ720913 GYE720913:GYF720913 HIA720913:HIB720913 HRW720913:HRX720913 IBS720913:IBT720913 ILO720913:ILP720913 IVK720913:IVL720913 JFG720913:JFH720913 JPC720913:JPD720913 JYY720913:JYZ720913 KIU720913:KIV720913 KSQ720913:KSR720913 LCM720913:LCN720913 LMI720913:LMJ720913 LWE720913:LWF720913 MGA720913:MGB720913 MPW720913:MPX720913 MZS720913:MZT720913 NJO720913:NJP720913 NTK720913:NTL720913 ODG720913:ODH720913 ONC720913:OND720913 OWY720913:OWZ720913 PGU720913:PGV720913 PQQ720913:PQR720913 QAM720913:QAN720913 QKI720913:QKJ720913 QUE720913:QUF720913 REA720913:REB720913 RNW720913:RNX720913 RXS720913:RXT720913 SHO720913:SHP720913 SRK720913:SRL720913 TBG720913:TBH720913 TLC720913:TLD720913 TUY720913:TUZ720913 UEU720913:UEV720913 UOQ720913:UOR720913 UYM720913:UYN720913 VII720913:VIJ720913 VSE720913:VSF720913 WCA720913:WCB720913 WLW720913:WLX720913 WVS720913:WVT720913 K786449:L786449 JG786449:JH786449 TC786449:TD786449 ACY786449:ACZ786449 AMU786449:AMV786449 AWQ786449:AWR786449 BGM786449:BGN786449 BQI786449:BQJ786449 CAE786449:CAF786449 CKA786449:CKB786449 CTW786449:CTX786449 DDS786449:DDT786449 DNO786449:DNP786449 DXK786449:DXL786449 EHG786449:EHH786449 ERC786449:ERD786449 FAY786449:FAZ786449 FKU786449:FKV786449 FUQ786449:FUR786449 GEM786449:GEN786449 GOI786449:GOJ786449 GYE786449:GYF786449 HIA786449:HIB786449 HRW786449:HRX786449 IBS786449:IBT786449 ILO786449:ILP786449 IVK786449:IVL786449 JFG786449:JFH786449 JPC786449:JPD786449 JYY786449:JYZ786449 KIU786449:KIV786449 KSQ786449:KSR786449 LCM786449:LCN786449 LMI786449:LMJ786449 LWE786449:LWF786449 MGA786449:MGB786449 MPW786449:MPX786449 MZS786449:MZT786449 NJO786449:NJP786449 NTK786449:NTL786449 ODG786449:ODH786449 ONC786449:OND786449 OWY786449:OWZ786449 PGU786449:PGV786449 PQQ786449:PQR786449 QAM786449:QAN786449 QKI786449:QKJ786449 QUE786449:QUF786449 REA786449:REB786449 RNW786449:RNX786449 RXS786449:RXT786449 SHO786449:SHP786449 SRK786449:SRL786449 TBG786449:TBH786449 TLC786449:TLD786449 TUY786449:TUZ786449 UEU786449:UEV786449 UOQ786449:UOR786449 UYM786449:UYN786449 VII786449:VIJ786449 VSE786449:VSF786449 WCA786449:WCB786449 WLW786449:WLX786449 WVS786449:WVT786449 K851985:L851985 JG851985:JH851985 TC851985:TD851985 ACY851985:ACZ851985 AMU851985:AMV851985 AWQ851985:AWR851985 BGM851985:BGN851985 BQI851985:BQJ851985 CAE851985:CAF851985 CKA851985:CKB851985 CTW851985:CTX851985 DDS851985:DDT851985 DNO851985:DNP851985 DXK851985:DXL851985 EHG851985:EHH851985 ERC851985:ERD851985 FAY851985:FAZ851985 FKU851985:FKV851985 FUQ851985:FUR851985 GEM851985:GEN851985 GOI851985:GOJ851985 GYE851985:GYF851985 HIA851985:HIB851985 HRW851985:HRX851985 IBS851985:IBT851985 ILO851985:ILP851985 IVK851985:IVL851985 JFG851985:JFH851985 JPC851985:JPD851985 JYY851985:JYZ851985 KIU851985:KIV851985 KSQ851985:KSR851985 LCM851985:LCN851985 LMI851985:LMJ851985 LWE851985:LWF851985 MGA851985:MGB851985 MPW851985:MPX851985 MZS851985:MZT851985 NJO851985:NJP851985 NTK851985:NTL851985 ODG851985:ODH851985 ONC851985:OND851985 OWY851985:OWZ851985 PGU851985:PGV851985 PQQ851985:PQR851985 QAM851985:QAN851985 QKI851985:QKJ851985 QUE851985:QUF851985 REA851985:REB851985 RNW851985:RNX851985 RXS851985:RXT851985 SHO851985:SHP851985 SRK851985:SRL851985 TBG851985:TBH851985 TLC851985:TLD851985 TUY851985:TUZ851985 UEU851985:UEV851985 UOQ851985:UOR851985 UYM851985:UYN851985 VII851985:VIJ851985 VSE851985:VSF851985 WCA851985:WCB851985 WLW851985:WLX851985 WVS851985:WVT851985 K917521:L917521 JG917521:JH917521 TC917521:TD917521 ACY917521:ACZ917521 AMU917521:AMV917521 AWQ917521:AWR917521 BGM917521:BGN917521 BQI917521:BQJ917521 CAE917521:CAF917521 CKA917521:CKB917521 CTW917521:CTX917521 DDS917521:DDT917521 DNO917521:DNP917521 DXK917521:DXL917521 EHG917521:EHH917521 ERC917521:ERD917521 FAY917521:FAZ917521 FKU917521:FKV917521 FUQ917521:FUR917521 GEM917521:GEN917521 GOI917521:GOJ917521 GYE917521:GYF917521 HIA917521:HIB917521 HRW917521:HRX917521 IBS917521:IBT917521 ILO917521:ILP917521 IVK917521:IVL917521 JFG917521:JFH917521 JPC917521:JPD917521 JYY917521:JYZ917521 KIU917521:KIV917521 KSQ917521:KSR917521 LCM917521:LCN917521 LMI917521:LMJ917521 LWE917521:LWF917521 MGA917521:MGB917521 MPW917521:MPX917521 MZS917521:MZT917521 NJO917521:NJP917521 NTK917521:NTL917521 ODG917521:ODH917521 ONC917521:OND917521 OWY917521:OWZ917521 PGU917521:PGV917521 PQQ917521:PQR917521 QAM917521:QAN917521 QKI917521:QKJ917521 QUE917521:QUF917521 REA917521:REB917521 RNW917521:RNX917521 RXS917521:RXT917521 SHO917521:SHP917521 SRK917521:SRL917521 TBG917521:TBH917521 TLC917521:TLD917521 TUY917521:TUZ917521 UEU917521:UEV917521 UOQ917521:UOR917521 UYM917521:UYN917521 VII917521:VIJ917521 VSE917521:VSF917521 WCA917521:WCB917521 WLW917521:WLX917521 WVS917521:WVT917521 K983057:L983057 JG983057:JH983057 TC983057:TD983057 ACY983057:ACZ983057 AMU983057:AMV983057 AWQ983057:AWR983057 BGM983057:BGN983057 BQI983057:BQJ983057 CAE983057:CAF983057 CKA983057:CKB983057 CTW983057:CTX983057 DDS983057:DDT983057 DNO983057:DNP983057 DXK983057:DXL983057 EHG983057:EHH983057 ERC983057:ERD983057 FAY983057:FAZ983057 FKU983057:FKV983057 FUQ983057:FUR983057 GEM983057:GEN983057 GOI983057:GOJ983057 GYE983057:GYF983057 HIA983057:HIB983057 HRW983057:HRX983057 IBS983057:IBT983057 ILO983057:ILP983057 IVK983057:IVL983057 JFG983057:JFH983057 JPC983057:JPD983057 JYY983057:JYZ983057 KIU983057:KIV983057 KSQ983057:KSR983057 LCM983057:LCN983057 LMI983057:LMJ983057 LWE983057:LWF983057 MGA983057:MGB983057 MPW983057:MPX983057 MZS983057:MZT983057 NJO983057:NJP983057 NTK983057:NTL983057 ODG983057:ODH983057 ONC983057:OND983057 OWY983057:OWZ983057 PGU983057:PGV983057 PQQ983057:PQR983057 QAM983057:QAN983057 QKI983057:QKJ983057 QUE983057:QUF983057 REA983057:REB983057 RNW983057:RNX983057 RXS983057:RXT983057 SHO983057:SHP983057 SRK983057:SRL983057 TBG983057:TBH983057 TLC983057:TLD983057 TUY983057:TUZ983057 UEU983057:UEV983057 UOQ983057:UOR983057 UYM983057:UYN983057 VII983057:VIJ983057 VSE983057:VSF983057 WCA983057:WCB983057 WLW983057:WLX983057 WVS983057:WVT983057 K14:L14 JG14:JH14 TC14:TD14 ACY14:ACZ14 AMU14:AMV14 AWQ14:AWR14 BGM14:BGN14 BQI14:BQJ14 CAE14:CAF14 CKA14:CKB14 CTW14:CTX14 DDS14:DDT14 DNO14:DNP14 DXK14:DXL14 EHG14:EHH14 ERC14:ERD14 FAY14:FAZ14 FKU14:FKV14 FUQ14:FUR14 GEM14:GEN14 GOI14:GOJ14 GYE14:GYF14 HIA14:HIB14 HRW14:HRX14 IBS14:IBT14 ILO14:ILP14 IVK14:IVL14 JFG14:JFH14 JPC14:JPD14 JYY14:JYZ14 KIU14:KIV14 KSQ14:KSR14 LCM14:LCN14 LMI14:LMJ14 LWE14:LWF14 MGA14:MGB14 MPW14:MPX14 MZS14:MZT14 NJO14:NJP14 NTK14:NTL14 ODG14:ODH14 ONC14:OND14 OWY14:OWZ14 PGU14:PGV14 PQQ14:PQR14 QAM14:QAN14 QKI14:QKJ14 QUE14:QUF14 REA14:REB14 RNW14:RNX14 RXS14:RXT14 SHO14:SHP14 SRK14:SRL14 TBG14:TBH14 TLC14:TLD14 TUY14:TUZ14 UEU14:UEV14 UOQ14:UOR14 UYM14:UYN14 VII14:VIJ14 VSE14:VSF14 WCA14:WCB14 WLW14:WLX14 WVS14:WVT14 K65550:L65550 JG65550:JH65550 TC65550:TD65550 ACY65550:ACZ65550 AMU65550:AMV65550 AWQ65550:AWR65550 BGM65550:BGN65550 BQI65550:BQJ65550 CAE65550:CAF65550 CKA65550:CKB65550 CTW65550:CTX65550 DDS65550:DDT65550 DNO65550:DNP65550 DXK65550:DXL65550 EHG65550:EHH65550 ERC65550:ERD65550 FAY65550:FAZ65550 FKU65550:FKV65550 FUQ65550:FUR65550 GEM65550:GEN65550 GOI65550:GOJ65550 GYE65550:GYF65550 HIA65550:HIB65550 HRW65550:HRX65550 IBS65550:IBT65550 ILO65550:ILP65550 IVK65550:IVL65550 JFG65550:JFH65550 JPC65550:JPD65550 JYY65550:JYZ65550 KIU65550:KIV65550 KSQ65550:KSR65550 LCM65550:LCN65550 LMI65550:LMJ65550 LWE65550:LWF65550 MGA65550:MGB65550 MPW65550:MPX65550 MZS65550:MZT65550 NJO65550:NJP65550 NTK65550:NTL65550 ODG65550:ODH65550 ONC65550:OND65550 OWY65550:OWZ65550 PGU65550:PGV65550 PQQ65550:PQR65550 QAM65550:QAN65550 QKI65550:QKJ65550 QUE65550:QUF65550 REA65550:REB65550 RNW65550:RNX65550 RXS65550:RXT65550 SHO65550:SHP65550 SRK65550:SRL65550 TBG65550:TBH65550 TLC65550:TLD65550 TUY65550:TUZ65550 UEU65550:UEV65550 UOQ65550:UOR65550 UYM65550:UYN65550 VII65550:VIJ65550 VSE65550:VSF65550 WCA65550:WCB65550 WLW65550:WLX65550 WVS65550:WVT65550 K131086:L131086 JG131086:JH131086 TC131086:TD131086 ACY131086:ACZ131086 AMU131086:AMV131086 AWQ131086:AWR131086 BGM131086:BGN131086 BQI131086:BQJ131086 CAE131086:CAF131086 CKA131086:CKB131086 CTW131086:CTX131086 DDS131086:DDT131086 DNO131086:DNP131086 DXK131086:DXL131086 EHG131086:EHH131086 ERC131086:ERD131086 FAY131086:FAZ131086 FKU131086:FKV131086 FUQ131086:FUR131086 GEM131086:GEN131086 GOI131086:GOJ131086 GYE131086:GYF131086 HIA131086:HIB131086 HRW131086:HRX131086 IBS131086:IBT131086 ILO131086:ILP131086 IVK131086:IVL131086 JFG131086:JFH131086 JPC131086:JPD131086 JYY131086:JYZ131086 KIU131086:KIV131086 KSQ131086:KSR131086 LCM131086:LCN131086 LMI131086:LMJ131086 LWE131086:LWF131086 MGA131086:MGB131086 MPW131086:MPX131086 MZS131086:MZT131086 NJO131086:NJP131086 NTK131086:NTL131086 ODG131086:ODH131086 ONC131086:OND131086 OWY131086:OWZ131086 PGU131086:PGV131086 PQQ131086:PQR131086 QAM131086:QAN131086 QKI131086:QKJ131086 QUE131086:QUF131086 REA131086:REB131086 RNW131086:RNX131086 RXS131086:RXT131086 SHO131086:SHP131086 SRK131086:SRL131086 TBG131086:TBH131086 TLC131086:TLD131086 TUY131086:TUZ131086 UEU131086:UEV131086 UOQ131086:UOR131086 UYM131086:UYN131086 VII131086:VIJ131086 VSE131086:VSF131086 WCA131086:WCB131086 WLW131086:WLX131086 WVS131086:WVT131086 K196622:L196622 JG196622:JH196622 TC196622:TD196622 ACY196622:ACZ196622 AMU196622:AMV196622 AWQ196622:AWR196622 BGM196622:BGN196622 BQI196622:BQJ196622 CAE196622:CAF196622 CKA196622:CKB196622 CTW196622:CTX196622 DDS196622:DDT196622 DNO196622:DNP196622 DXK196622:DXL196622 EHG196622:EHH196622 ERC196622:ERD196622 FAY196622:FAZ196622 FKU196622:FKV196622 FUQ196622:FUR196622 GEM196622:GEN196622 GOI196622:GOJ196622 GYE196622:GYF196622 HIA196622:HIB196622 HRW196622:HRX196622 IBS196622:IBT196622 ILO196622:ILP196622 IVK196622:IVL196622 JFG196622:JFH196622 JPC196622:JPD196622 JYY196622:JYZ196622 KIU196622:KIV196622 KSQ196622:KSR196622 LCM196622:LCN196622 LMI196622:LMJ196622 LWE196622:LWF196622 MGA196622:MGB196622 MPW196622:MPX196622 MZS196622:MZT196622 NJO196622:NJP196622 NTK196622:NTL196622 ODG196622:ODH196622 ONC196622:OND196622 OWY196622:OWZ196622 PGU196622:PGV196622 PQQ196622:PQR196622 QAM196622:QAN196622 QKI196622:QKJ196622 QUE196622:QUF196622 REA196622:REB196622 RNW196622:RNX196622 RXS196622:RXT196622 SHO196622:SHP196622 SRK196622:SRL196622 TBG196622:TBH196622 TLC196622:TLD196622 TUY196622:TUZ196622 UEU196622:UEV196622 UOQ196622:UOR196622 UYM196622:UYN196622 VII196622:VIJ196622 VSE196622:VSF196622 WCA196622:WCB196622 WLW196622:WLX196622 WVS196622:WVT196622 K262158:L262158 JG262158:JH262158 TC262158:TD262158 ACY262158:ACZ262158 AMU262158:AMV262158 AWQ262158:AWR262158 BGM262158:BGN262158 BQI262158:BQJ262158 CAE262158:CAF262158 CKA262158:CKB262158 CTW262158:CTX262158 DDS262158:DDT262158 DNO262158:DNP262158 DXK262158:DXL262158 EHG262158:EHH262158 ERC262158:ERD262158 FAY262158:FAZ262158 FKU262158:FKV262158 FUQ262158:FUR262158 GEM262158:GEN262158 GOI262158:GOJ262158 GYE262158:GYF262158 HIA262158:HIB262158 HRW262158:HRX262158 IBS262158:IBT262158 ILO262158:ILP262158 IVK262158:IVL262158 JFG262158:JFH262158 JPC262158:JPD262158 JYY262158:JYZ262158 KIU262158:KIV262158 KSQ262158:KSR262158 LCM262158:LCN262158 LMI262158:LMJ262158 LWE262158:LWF262158 MGA262158:MGB262158 MPW262158:MPX262158 MZS262158:MZT262158 NJO262158:NJP262158 NTK262158:NTL262158 ODG262158:ODH262158 ONC262158:OND262158 OWY262158:OWZ262158 PGU262158:PGV262158 PQQ262158:PQR262158 QAM262158:QAN262158 QKI262158:QKJ262158 QUE262158:QUF262158 REA262158:REB262158 RNW262158:RNX262158 RXS262158:RXT262158 SHO262158:SHP262158 SRK262158:SRL262158 TBG262158:TBH262158 TLC262158:TLD262158 TUY262158:TUZ262158 UEU262158:UEV262158 UOQ262158:UOR262158 UYM262158:UYN262158 VII262158:VIJ262158 VSE262158:VSF262158 WCA262158:WCB262158 WLW262158:WLX262158 WVS262158:WVT262158 K327694:L327694 JG327694:JH327694 TC327694:TD327694 ACY327694:ACZ327694 AMU327694:AMV327694 AWQ327694:AWR327694 BGM327694:BGN327694 BQI327694:BQJ327694 CAE327694:CAF327694 CKA327694:CKB327694 CTW327694:CTX327694 DDS327694:DDT327694 DNO327694:DNP327694 DXK327694:DXL327694 EHG327694:EHH327694 ERC327694:ERD327694 FAY327694:FAZ327694 FKU327694:FKV327694 FUQ327694:FUR327694 GEM327694:GEN327694 GOI327694:GOJ327694 GYE327694:GYF327694 HIA327694:HIB327694 HRW327694:HRX327694 IBS327694:IBT327694 ILO327694:ILP327694 IVK327694:IVL327694 JFG327694:JFH327694 JPC327694:JPD327694 JYY327694:JYZ327694 KIU327694:KIV327694 KSQ327694:KSR327694 LCM327694:LCN327694 LMI327694:LMJ327694 LWE327694:LWF327694 MGA327694:MGB327694 MPW327694:MPX327694 MZS327694:MZT327694 NJO327694:NJP327694 NTK327694:NTL327694 ODG327694:ODH327694 ONC327694:OND327694 OWY327694:OWZ327694 PGU327694:PGV327694 PQQ327694:PQR327694 QAM327694:QAN327694 QKI327694:QKJ327694 QUE327694:QUF327694 REA327694:REB327694 RNW327694:RNX327694 RXS327694:RXT327694 SHO327694:SHP327694 SRK327694:SRL327694 TBG327694:TBH327694 TLC327694:TLD327694 TUY327694:TUZ327694 UEU327694:UEV327694 UOQ327694:UOR327694 UYM327694:UYN327694 VII327694:VIJ327694 VSE327694:VSF327694 WCA327694:WCB327694 WLW327694:WLX327694 WVS327694:WVT327694 K393230:L393230 JG393230:JH393230 TC393230:TD393230 ACY393230:ACZ393230 AMU393230:AMV393230 AWQ393230:AWR393230 BGM393230:BGN393230 BQI393230:BQJ393230 CAE393230:CAF393230 CKA393230:CKB393230 CTW393230:CTX393230 DDS393230:DDT393230 DNO393230:DNP393230 DXK393230:DXL393230 EHG393230:EHH393230 ERC393230:ERD393230 FAY393230:FAZ393230 FKU393230:FKV393230 FUQ393230:FUR393230 GEM393230:GEN393230 GOI393230:GOJ393230 GYE393230:GYF393230 HIA393230:HIB393230 HRW393230:HRX393230 IBS393230:IBT393230 ILO393230:ILP393230 IVK393230:IVL393230 JFG393230:JFH393230 JPC393230:JPD393230 JYY393230:JYZ393230 KIU393230:KIV393230 KSQ393230:KSR393230 LCM393230:LCN393230 LMI393230:LMJ393230 LWE393230:LWF393230 MGA393230:MGB393230 MPW393230:MPX393230 MZS393230:MZT393230 NJO393230:NJP393230 NTK393230:NTL393230 ODG393230:ODH393230 ONC393230:OND393230 OWY393230:OWZ393230 PGU393230:PGV393230 PQQ393230:PQR393230 QAM393230:QAN393230 QKI393230:QKJ393230 QUE393230:QUF393230 REA393230:REB393230 RNW393230:RNX393230 RXS393230:RXT393230 SHO393230:SHP393230 SRK393230:SRL393230 TBG393230:TBH393230 TLC393230:TLD393230 TUY393230:TUZ393230 UEU393230:UEV393230 UOQ393230:UOR393230 UYM393230:UYN393230 VII393230:VIJ393230 VSE393230:VSF393230 WCA393230:WCB393230 WLW393230:WLX393230 WVS393230:WVT393230 K458766:L458766 JG458766:JH458766 TC458766:TD458766 ACY458766:ACZ458766 AMU458766:AMV458766 AWQ458766:AWR458766 BGM458766:BGN458766 BQI458766:BQJ458766 CAE458766:CAF458766 CKA458766:CKB458766 CTW458766:CTX458766 DDS458766:DDT458766 DNO458766:DNP458766 DXK458766:DXL458766 EHG458766:EHH458766 ERC458766:ERD458766 FAY458766:FAZ458766 FKU458766:FKV458766 FUQ458766:FUR458766 GEM458766:GEN458766 GOI458766:GOJ458766 GYE458766:GYF458766 HIA458766:HIB458766 HRW458766:HRX458766 IBS458766:IBT458766 ILO458766:ILP458766 IVK458766:IVL458766 JFG458766:JFH458766 JPC458766:JPD458766 JYY458766:JYZ458766 KIU458766:KIV458766 KSQ458766:KSR458766 LCM458766:LCN458766 LMI458766:LMJ458766 LWE458766:LWF458766 MGA458766:MGB458766 MPW458766:MPX458766 MZS458766:MZT458766 NJO458766:NJP458766 NTK458766:NTL458766 ODG458766:ODH458766 ONC458766:OND458766 OWY458766:OWZ458766 PGU458766:PGV458766 PQQ458766:PQR458766 QAM458766:QAN458766 QKI458766:QKJ458766 QUE458766:QUF458766 REA458766:REB458766 RNW458766:RNX458766 RXS458766:RXT458766 SHO458766:SHP458766 SRK458766:SRL458766 TBG458766:TBH458766 TLC458766:TLD458766 TUY458766:TUZ458766 UEU458766:UEV458766 UOQ458766:UOR458766 UYM458766:UYN458766 VII458766:VIJ458766 VSE458766:VSF458766 WCA458766:WCB458766 WLW458766:WLX458766 WVS458766:WVT458766 K524302:L524302 JG524302:JH524302 TC524302:TD524302 ACY524302:ACZ524302 AMU524302:AMV524302 AWQ524302:AWR524302 BGM524302:BGN524302 BQI524302:BQJ524302 CAE524302:CAF524302 CKA524302:CKB524302 CTW524302:CTX524302 DDS524302:DDT524302 DNO524302:DNP524302 DXK524302:DXL524302 EHG524302:EHH524302 ERC524302:ERD524302 FAY524302:FAZ524302 FKU524302:FKV524302 FUQ524302:FUR524302 GEM524302:GEN524302 GOI524302:GOJ524302 GYE524302:GYF524302 HIA524302:HIB524302 HRW524302:HRX524302 IBS524302:IBT524302 ILO524302:ILP524302 IVK524302:IVL524302 JFG524302:JFH524302 JPC524302:JPD524302 JYY524302:JYZ524302 KIU524302:KIV524302 KSQ524302:KSR524302 LCM524302:LCN524302 LMI524302:LMJ524302 LWE524302:LWF524302 MGA524302:MGB524302 MPW524302:MPX524302 MZS524302:MZT524302 NJO524302:NJP524302 NTK524302:NTL524302 ODG524302:ODH524302 ONC524302:OND524302 OWY524302:OWZ524302 PGU524302:PGV524302 PQQ524302:PQR524302 QAM524302:QAN524302 QKI524302:QKJ524302 QUE524302:QUF524302 REA524302:REB524302 RNW524302:RNX524302 RXS524302:RXT524302 SHO524302:SHP524302 SRK524302:SRL524302 TBG524302:TBH524302 TLC524302:TLD524302 TUY524302:TUZ524302 UEU524302:UEV524302 UOQ524302:UOR524302 UYM524302:UYN524302 VII524302:VIJ524302 VSE524302:VSF524302 WCA524302:WCB524302 WLW524302:WLX524302 WVS524302:WVT524302 K589838:L589838 JG589838:JH589838 TC589838:TD589838 ACY589838:ACZ589838 AMU589838:AMV589838 AWQ589838:AWR589838 BGM589838:BGN589838 BQI589838:BQJ589838 CAE589838:CAF589838 CKA589838:CKB589838 CTW589838:CTX589838 DDS589838:DDT589838 DNO589838:DNP589838 DXK589838:DXL589838 EHG589838:EHH589838 ERC589838:ERD589838 FAY589838:FAZ589838 FKU589838:FKV589838 FUQ589838:FUR589838 GEM589838:GEN589838 GOI589838:GOJ589838 GYE589838:GYF589838 HIA589838:HIB589838 HRW589838:HRX589838 IBS589838:IBT589838 ILO589838:ILP589838 IVK589838:IVL589838 JFG589838:JFH589838 JPC589838:JPD589838 JYY589838:JYZ589838 KIU589838:KIV589838 KSQ589838:KSR589838 LCM589838:LCN589838 LMI589838:LMJ589838 LWE589838:LWF589838 MGA589838:MGB589838 MPW589838:MPX589838 MZS589838:MZT589838 NJO589838:NJP589838 NTK589838:NTL589838 ODG589838:ODH589838 ONC589838:OND589838 OWY589838:OWZ589838 PGU589838:PGV589838 PQQ589838:PQR589838 QAM589838:QAN589838 QKI589838:QKJ589838 QUE589838:QUF589838 REA589838:REB589838 RNW589838:RNX589838 RXS589838:RXT589838 SHO589838:SHP589838 SRK589838:SRL589838 TBG589838:TBH589838 TLC589838:TLD589838 TUY589838:TUZ589838 UEU589838:UEV589838 UOQ589838:UOR589838 UYM589838:UYN589838 VII589838:VIJ589838 VSE589838:VSF589838 WCA589838:WCB589838 WLW589838:WLX589838 WVS589838:WVT589838 K655374:L655374 JG655374:JH655374 TC655374:TD655374 ACY655374:ACZ655374 AMU655374:AMV655374 AWQ655374:AWR655374 BGM655374:BGN655374 BQI655374:BQJ655374 CAE655374:CAF655374 CKA655374:CKB655374 CTW655374:CTX655374 DDS655374:DDT655374 DNO655374:DNP655374 DXK655374:DXL655374 EHG655374:EHH655374 ERC655374:ERD655374 FAY655374:FAZ655374 FKU655374:FKV655374 FUQ655374:FUR655374 GEM655374:GEN655374 GOI655374:GOJ655374 GYE655374:GYF655374 HIA655374:HIB655374 HRW655374:HRX655374 IBS655374:IBT655374 ILO655374:ILP655374 IVK655374:IVL655374 JFG655374:JFH655374 JPC655374:JPD655374 JYY655374:JYZ655374 KIU655374:KIV655374 KSQ655374:KSR655374 LCM655374:LCN655374 LMI655374:LMJ655374 LWE655374:LWF655374 MGA655374:MGB655374 MPW655374:MPX655374 MZS655374:MZT655374 NJO655374:NJP655374 NTK655374:NTL655374 ODG655374:ODH655374 ONC655374:OND655374 OWY655374:OWZ655374 PGU655374:PGV655374 PQQ655374:PQR655374 QAM655374:QAN655374 QKI655374:QKJ655374 QUE655374:QUF655374 REA655374:REB655374 RNW655374:RNX655374 RXS655374:RXT655374 SHO655374:SHP655374 SRK655374:SRL655374 TBG655374:TBH655374 TLC655374:TLD655374 TUY655374:TUZ655374 UEU655374:UEV655374 UOQ655374:UOR655374 UYM655374:UYN655374 VII655374:VIJ655374 VSE655374:VSF655374 WCA655374:WCB655374 WLW655374:WLX655374 WVS655374:WVT655374 K720910:L720910 JG720910:JH720910 TC720910:TD720910 ACY720910:ACZ720910 AMU720910:AMV720910 AWQ720910:AWR720910 BGM720910:BGN720910 BQI720910:BQJ720910 CAE720910:CAF720910 CKA720910:CKB720910 CTW720910:CTX720910 DDS720910:DDT720910 DNO720910:DNP720910 DXK720910:DXL720910 EHG720910:EHH720910 ERC720910:ERD720910 FAY720910:FAZ720910 FKU720910:FKV720910 FUQ720910:FUR720910 GEM720910:GEN720910 GOI720910:GOJ720910 GYE720910:GYF720910 HIA720910:HIB720910 HRW720910:HRX720910 IBS720910:IBT720910 ILO720910:ILP720910 IVK720910:IVL720910 JFG720910:JFH720910 JPC720910:JPD720910 JYY720910:JYZ720910 KIU720910:KIV720910 KSQ720910:KSR720910 LCM720910:LCN720910 LMI720910:LMJ720910 LWE720910:LWF720910 MGA720910:MGB720910 MPW720910:MPX720910 MZS720910:MZT720910 NJO720910:NJP720910 NTK720910:NTL720910 ODG720910:ODH720910 ONC720910:OND720910 OWY720910:OWZ720910 PGU720910:PGV720910 PQQ720910:PQR720910 QAM720910:QAN720910 QKI720910:QKJ720910 QUE720910:QUF720910 REA720910:REB720910 RNW720910:RNX720910 RXS720910:RXT720910 SHO720910:SHP720910 SRK720910:SRL720910 TBG720910:TBH720910 TLC720910:TLD720910 TUY720910:TUZ720910 UEU720910:UEV720910 UOQ720910:UOR720910 UYM720910:UYN720910 VII720910:VIJ720910 VSE720910:VSF720910 WCA720910:WCB720910 WLW720910:WLX720910 WVS720910:WVT720910 K786446:L786446 JG786446:JH786446 TC786446:TD786446 ACY786446:ACZ786446 AMU786446:AMV786446 AWQ786446:AWR786446 BGM786446:BGN786446 BQI786446:BQJ786446 CAE786446:CAF786446 CKA786446:CKB786446 CTW786446:CTX786446 DDS786446:DDT786446 DNO786446:DNP786446 DXK786446:DXL786446 EHG786446:EHH786446 ERC786446:ERD786446 FAY786446:FAZ786446 FKU786446:FKV786446 FUQ786446:FUR786446 GEM786446:GEN786446 GOI786446:GOJ786446 GYE786446:GYF786446 HIA786446:HIB786446 HRW786446:HRX786446 IBS786446:IBT786446 ILO786446:ILP786446 IVK786446:IVL786446 JFG786446:JFH786446 JPC786446:JPD786446 JYY786446:JYZ786446 KIU786446:KIV786446 KSQ786446:KSR786446 LCM786446:LCN786446 LMI786446:LMJ786446 LWE786446:LWF786446 MGA786446:MGB786446 MPW786446:MPX786446 MZS786446:MZT786446 NJO786446:NJP786446 NTK786446:NTL786446 ODG786446:ODH786446 ONC786446:OND786446 OWY786446:OWZ786446 PGU786446:PGV786446 PQQ786446:PQR786446 QAM786446:QAN786446 QKI786446:QKJ786446 QUE786446:QUF786446 REA786446:REB786446 RNW786446:RNX786446 RXS786446:RXT786446 SHO786446:SHP786446 SRK786446:SRL786446 TBG786446:TBH786446 TLC786446:TLD786446 TUY786446:TUZ786446 UEU786446:UEV786446 UOQ786446:UOR786446 UYM786446:UYN786446 VII786446:VIJ786446 VSE786446:VSF786446 WCA786446:WCB786446 WLW786446:WLX786446 WVS786446:WVT786446 K851982:L851982 JG851982:JH851982 TC851982:TD851982 ACY851982:ACZ851982 AMU851982:AMV851982 AWQ851982:AWR851982 BGM851982:BGN851982 BQI851982:BQJ851982 CAE851982:CAF851982 CKA851982:CKB851982 CTW851982:CTX851982 DDS851982:DDT851982 DNO851982:DNP851982 DXK851982:DXL851982 EHG851982:EHH851982 ERC851982:ERD851982 FAY851982:FAZ851982 FKU851982:FKV851982 FUQ851982:FUR851982 GEM851982:GEN851982 GOI851982:GOJ851982 GYE851982:GYF851982 HIA851982:HIB851982 HRW851982:HRX851982 IBS851982:IBT851982 ILO851982:ILP851982 IVK851982:IVL851982 JFG851982:JFH851982 JPC851982:JPD851982 JYY851982:JYZ851982 KIU851982:KIV851982 KSQ851982:KSR851982 LCM851982:LCN851982 LMI851982:LMJ851982 LWE851982:LWF851982 MGA851982:MGB851982 MPW851982:MPX851982 MZS851982:MZT851982 NJO851982:NJP851982 NTK851982:NTL851982 ODG851982:ODH851982 ONC851982:OND851982 OWY851982:OWZ851982 PGU851982:PGV851982 PQQ851982:PQR851982 QAM851982:QAN851982 QKI851982:QKJ851982 QUE851982:QUF851982 REA851982:REB851982 RNW851982:RNX851982 RXS851982:RXT851982 SHO851982:SHP851982 SRK851982:SRL851982 TBG851982:TBH851982 TLC851982:TLD851982 TUY851982:TUZ851982 UEU851982:UEV851982 UOQ851982:UOR851982 UYM851982:UYN851982 VII851982:VIJ851982 VSE851982:VSF851982 WCA851982:WCB851982 WLW851982:WLX851982 WVS851982:WVT851982 K917518:L917518 JG917518:JH917518 TC917518:TD917518 ACY917518:ACZ917518 AMU917518:AMV917518 AWQ917518:AWR917518 BGM917518:BGN917518 BQI917518:BQJ917518 CAE917518:CAF917518 CKA917518:CKB917518 CTW917518:CTX917518 DDS917518:DDT917518 DNO917518:DNP917518 DXK917518:DXL917518 EHG917518:EHH917518 ERC917518:ERD917518 FAY917518:FAZ917518 FKU917518:FKV917518 FUQ917518:FUR917518 GEM917518:GEN917518 GOI917518:GOJ917518 GYE917518:GYF917518 HIA917518:HIB917518 HRW917518:HRX917518 IBS917518:IBT917518 ILO917518:ILP917518 IVK917518:IVL917518 JFG917518:JFH917518 JPC917518:JPD917518 JYY917518:JYZ917518 KIU917518:KIV917518 KSQ917518:KSR917518 LCM917518:LCN917518 LMI917518:LMJ917518 LWE917518:LWF917518 MGA917518:MGB917518 MPW917518:MPX917518 MZS917518:MZT917518 NJO917518:NJP917518 NTK917518:NTL917518 ODG917518:ODH917518 ONC917518:OND917518 OWY917518:OWZ917518 PGU917518:PGV917518 PQQ917518:PQR917518 QAM917518:QAN917518 QKI917518:QKJ917518 QUE917518:QUF917518 REA917518:REB917518 RNW917518:RNX917518 RXS917518:RXT917518 SHO917518:SHP917518 SRK917518:SRL917518 TBG917518:TBH917518 TLC917518:TLD917518 TUY917518:TUZ917518 UEU917518:UEV917518 UOQ917518:UOR917518 UYM917518:UYN917518 VII917518:VIJ917518 VSE917518:VSF917518 WCA917518:WCB917518 WLW917518:WLX917518 WVS917518:WVT917518 K983054:L983054 JG983054:JH983054 TC983054:TD983054 ACY983054:ACZ983054 AMU983054:AMV983054 AWQ983054:AWR983054 BGM983054:BGN983054 BQI983054:BQJ983054 CAE983054:CAF983054 CKA983054:CKB983054 CTW983054:CTX983054 DDS983054:DDT983054 DNO983054:DNP983054 DXK983054:DXL983054 EHG983054:EHH983054 ERC983054:ERD983054 FAY983054:FAZ983054 FKU983054:FKV983054 FUQ983054:FUR983054 GEM983054:GEN983054 GOI983054:GOJ983054 GYE983054:GYF983054 HIA983054:HIB983054 HRW983054:HRX983054 IBS983054:IBT983054 ILO983054:ILP983054 IVK983054:IVL983054 JFG983054:JFH983054 JPC983054:JPD983054 JYY983054:JYZ983054 KIU983054:KIV983054 KSQ983054:KSR983054 LCM983054:LCN983054 LMI983054:LMJ983054 LWE983054:LWF983054 MGA983054:MGB983054 MPW983054:MPX983054 MZS983054:MZT983054 NJO983054:NJP983054 NTK983054:NTL983054 ODG983054:ODH983054 ONC983054:OND983054 OWY983054:OWZ983054 PGU983054:PGV983054 PQQ983054:PQR983054 QAM983054:QAN983054 QKI983054:QKJ983054 QUE983054:QUF983054 REA983054:REB983054 RNW983054:RNX983054 RXS983054:RXT983054 SHO983054:SHP983054 SRK983054:SRL983054 TBG983054:TBH983054 TLC983054:TLD983054 TUY983054:TUZ983054 UEU983054:UEV983054 UOQ983054:UOR983054 UYM983054:UYN983054 VII983054:VIJ983054 VSE983054:VSF983054 WCA983054:WCB983054 WLW983054:WLX983054 WVS983054:WVT983054 P11 JL11 TH11 ADD11 AMZ11 AWV11 BGR11 BQN11 CAJ11 CKF11 CUB11 DDX11 DNT11 DXP11 EHL11 ERH11 FBD11 FKZ11 FUV11 GER11 GON11 GYJ11 HIF11 HSB11 IBX11 ILT11 IVP11 JFL11 JPH11 JZD11 KIZ11 KSV11 LCR11 LMN11 LWJ11 MGF11 MQB11 MZX11 NJT11 NTP11 ODL11 ONH11 OXD11 PGZ11 PQV11 QAR11 QKN11 QUJ11 REF11 ROB11 RXX11 SHT11 SRP11 TBL11 TLH11 TVD11 UEZ11 UOV11 UYR11 VIN11 VSJ11 WCF11 WMB11 WVX11 P65547 JL65547 TH65547 ADD65547 AMZ65547 AWV65547 BGR65547 BQN65547 CAJ65547 CKF65547 CUB65547 DDX65547 DNT65547 DXP65547 EHL65547 ERH65547 FBD65547 FKZ65547 FUV65547 GER65547 GON65547 GYJ65547 HIF65547 HSB65547 IBX65547 ILT65547 IVP65547 JFL65547 JPH65547 JZD65547 KIZ65547 KSV65547 LCR65547 LMN65547 LWJ65547 MGF65547 MQB65547 MZX65547 NJT65547 NTP65547 ODL65547 ONH65547 OXD65547 PGZ65547 PQV65547 QAR65547 QKN65547 QUJ65547 REF65547 ROB65547 RXX65547 SHT65547 SRP65547 TBL65547 TLH65547 TVD65547 UEZ65547 UOV65547 UYR65547 VIN65547 VSJ65547 WCF65547 WMB65547 WVX65547 P131083 JL131083 TH131083 ADD131083 AMZ131083 AWV131083 BGR131083 BQN131083 CAJ131083 CKF131083 CUB131083 DDX131083 DNT131083 DXP131083 EHL131083 ERH131083 FBD131083 FKZ131083 FUV131083 GER131083 GON131083 GYJ131083 HIF131083 HSB131083 IBX131083 ILT131083 IVP131083 JFL131083 JPH131083 JZD131083 KIZ131083 KSV131083 LCR131083 LMN131083 LWJ131083 MGF131083 MQB131083 MZX131083 NJT131083 NTP131083 ODL131083 ONH131083 OXD131083 PGZ131083 PQV131083 QAR131083 QKN131083 QUJ131083 REF131083 ROB131083 RXX131083 SHT131083 SRP131083 TBL131083 TLH131083 TVD131083 UEZ131083 UOV131083 UYR131083 VIN131083 VSJ131083 WCF131083 WMB131083 WVX131083 P196619 JL196619 TH196619 ADD196619 AMZ196619 AWV196619 BGR196619 BQN196619 CAJ196619 CKF196619 CUB196619 DDX196619 DNT196619 DXP196619 EHL196619 ERH196619 FBD196619 FKZ196619 FUV196619 GER196619 GON196619 GYJ196619 HIF196619 HSB196619 IBX196619 ILT196619 IVP196619 JFL196619 JPH196619 JZD196619 KIZ196619 KSV196619 LCR196619 LMN196619 LWJ196619 MGF196619 MQB196619 MZX196619 NJT196619 NTP196619 ODL196619 ONH196619 OXD196619 PGZ196619 PQV196619 QAR196619 QKN196619 QUJ196619 REF196619 ROB196619 RXX196619 SHT196619 SRP196619 TBL196619 TLH196619 TVD196619 UEZ196619 UOV196619 UYR196619 VIN196619 VSJ196619 WCF196619 WMB196619 WVX196619 P262155 JL262155 TH262155 ADD262155 AMZ262155 AWV262155 BGR262155 BQN262155 CAJ262155 CKF262155 CUB262155 DDX262155 DNT262155 DXP262155 EHL262155 ERH262155 FBD262155 FKZ262155 FUV262155 GER262155 GON262155 GYJ262155 HIF262155 HSB262155 IBX262155 ILT262155 IVP262155 JFL262155 JPH262155 JZD262155 KIZ262155 KSV262155 LCR262155 LMN262155 LWJ262155 MGF262155 MQB262155 MZX262155 NJT262155 NTP262155 ODL262155 ONH262155 OXD262155 PGZ262155 PQV262155 QAR262155 QKN262155 QUJ262155 REF262155 ROB262155 RXX262155 SHT262155 SRP262155 TBL262155 TLH262155 TVD262155 UEZ262155 UOV262155 UYR262155 VIN262155 VSJ262155 WCF262155 WMB262155 WVX262155 P327691 JL327691 TH327691 ADD327691 AMZ327691 AWV327691 BGR327691 BQN327691 CAJ327691 CKF327691 CUB327691 DDX327691 DNT327691 DXP327691 EHL327691 ERH327691 FBD327691 FKZ327691 FUV327691 GER327691 GON327691 GYJ327691 HIF327691 HSB327691 IBX327691 ILT327691 IVP327691 JFL327691 JPH327691 JZD327691 KIZ327691 KSV327691 LCR327691 LMN327691 LWJ327691 MGF327691 MQB327691 MZX327691 NJT327691 NTP327691 ODL327691 ONH327691 OXD327691 PGZ327691 PQV327691 QAR327691 QKN327691 QUJ327691 REF327691 ROB327691 RXX327691 SHT327691 SRP327691 TBL327691 TLH327691 TVD327691 UEZ327691 UOV327691 UYR327691 VIN327691 VSJ327691 WCF327691 WMB327691 WVX327691 P393227 JL393227 TH393227 ADD393227 AMZ393227 AWV393227 BGR393227 BQN393227 CAJ393227 CKF393227 CUB393227 DDX393227 DNT393227 DXP393227 EHL393227 ERH393227 FBD393227 FKZ393227 FUV393227 GER393227 GON393227 GYJ393227 HIF393227 HSB393227 IBX393227 ILT393227 IVP393227 JFL393227 JPH393227 JZD393227 KIZ393227 KSV393227 LCR393227 LMN393227 LWJ393227 MGF393227 MQB393227 MZX393227 NJT393227 NTP393227 ODL393227 ONH393227 OXD393227 PGZ393227 PQV393227 QAR393227 QKN393227 QUJ393227 REF393227 ROB393227 RXX393227 SHT393227 SRP393227 TBL393227 TLH393227 TVD393227 UEZ393227 UOV393227 UYR393227 VIN393227 VSJ393227 WCF393227 WMB393227 WVX393227 P458763 JL458763 TH458763 ADD458763 AMZ458763 AWV458763 BGR458763 BQN458763 CAJ458763 CKF458763 CUB458763 DDX458763 DNT458763 DXP458763 EHL458763 ERH458763 FBD458763 FKZ458763 FUV458763 GER458763 GON458763 GYJ458763 HIF458763 HSB458763 IBX458763 ILT458763 IVP458763 JFL458763 JPH458763 JZD458763 KIZ458763 KSV458763 LCR458763 LMN458763 LWJ458763 MGF458763 MQB458763 MZX458763 NJT458763 NTP458763 ODL458763 ONH458763 OXD458763 PGZ458763 PQV458763 QAR458763 QKN458763 QUJ458763 REF458763 ROB458763 RXX458763 SHT458763 SRP458763 TBL458763 TLH458763 TVD458763 UEZ458763 UOV458763 UYR458763 VIN458763 VSJ458763 WCF458763 WMB458763 WVX458763 P524299 JL524299 TH524299 ADD524299 AMZ524299 AWV524299 BGR524299 BQN524299 CAJ524299 CKF524299 CUB524299 DDX524299 DNT524299 DXP524299 EHL524299 ERH524299 FBD524299 FKZ524299 FUV524299 GER524299 GON524299 GYJ524299 HIF524299 HSB524299 IBX524299 ILT524299 IVP524299 JFL524299 JPH524299 JZD524299 KIZ524299 KSV524299 LCR524299 LMN524299 LWJ524299 MGF524299 MQB524299 MZX524299 NJT524299 NTP524299 ODL524299 ONH524299 OXD524299 PGZ524299 PQV524299 QAR524299 QKN524299 QUJ524299 REF524299 ROB524299 RXX524299 SHT524299 SRP524299 TBL524299 TLH524299 TVD524299 UEZ524299 UOV524299 UYR524299 VIN524299 VSJ524299 WCF524299 WMB524299 WVX524299 P589835 JL589835 TH589835 ADD589835 AMZ589835 AWV589835 BGR589835 BQN589835 CAJ589835 CKF589835 CUB589835 DDX589835 DNT589835 DXP589835 EHL589835 ERH589835 FBD589835 FKZ589835 FUV589835 GER589835 GON589835 GYJ589835 HIF589835 HSB589835 IBX589835 ILT589835 IVP589835 JFL589835 JPH589835 JZD589835 KIZ589835 KSV589835 LCR589835 LMN589835 LWJ589835 MGF589835 MQB589835 MZX589835 NJT589835 NTP589835 ODL589835 ONH589835 OXD589835 PGZ589835 PQV589835 QAR589835 QKN589835 QUJ589835 REF589835 ROB589835 RXX589835 SHT589835 SRP589835 TBL589835 TLH589835 TVD589835 UEZ589835 UOV589835 UYR589835 VIN589835 VSJ589835 WCF589835 WMB589835 WVX589835 P655371 JL655371 TH655371 ADD655371 AMZ655371 AWV655371 BGR655371 BQN655371 CAJ655371 CKF655371 CUB655371 DDX655371 DNT655371 DXP655371 EHL655371 ERH655371 FBD655371 FKZ655371 FUV655371 GER655371 GON655371 GYJ655371 HIF655371 HSB655371 IBX655371 ILT655371 IVP655371 JFL655371 JPH655371 JZD655371 KIZ655371 KSV655371 LCR655371 LMN655371 LWJ655371 MGF655371 MQB655371 MZX655371 NJT655371 NTP655371 ODL655371 ONH655371 OXD655371 PGZ655371 PQV655371 QAR655371 QKN655371 QUJ655371 REF655371 ROB655371 RXX655371 SHT655371 SRP655371 TBL655371 TLH655371 TVD655371 UEZ655371 UOV655371 UYR655371 VIN655371 VSJ655371 WCF655371 WMB655371 WVX655371 P720907 JL720907 TH720907 ADD720907 AMZ720907 AWV720907 BGR720907 BQN720907 CAJ720907 CKF720907 CUB720907 DDX720907 DNT720907 DXP720907 EHL720907 ERH720907 FBD720907 FKZ720907 FUV720907 GER720907 GON720907 GYJ720907 HIF720907 HSB720907 IBX720907 ILT720907 IVP720907 JFL720907 JPH720907 JZD720907 KIZ720907 KSV720907 LCR720907 LMN720907 LWJ720907 MGF720907 MQB720907 MZX720907 NJT720907 NTP720907 ODL720907 ONH720907 OXD720907 PGZ720907 PQV720907 QAR720907 QKN720907 QUJ720907 REF720907 ROB720907 RXX720907 SHT720907 SRP720907 TBL720907 TLH720907 TVD720907 UEZ720907 UOV720907 UYR720907 VIN720907 VSJ720907 WCF720907 WMB720907 WVX720907 P786443 JL786443 TH786443 ADD786443 AMZ786443 AWV786443 BGR786443 BQN786443 CAJ786443 CKF786443 CUB786443 DDX786443 DNT786443 DXP786443 EHL786443 ERH786443 FBD786443 FKZ786443 FUV786443 GER786443 GON786443 GYJ786443 HIF786443 HSB786443 IBX786443 ILT786443 IVP786443 JFL786443 JPH786443 JZD786443 KIZ786443 KSV786443 LCR786443 LMN786443 LWJ786443 MGF786443 MQB786443 MZX786443 NJT786443 NTP786443 ODL786443 ONH786443 OXD786443 PGZ786443 PQV786443 QAR786443 QKN786443 QUJ786443 REF786443 ROB786443 RXX786443 SHT786443 SRP786443 TBL786443 TLH786443 TVD786443 UEZ786443 UOV786443 UYR786443 VIN786443 VSJ786443 WCF786443 WMB786443 WVX786443 P851979 JL851979 TH851979 ADD851979 AMZ851979 AWV851979 BGR851979 BQN851979 CAJ851979 CKF851979 CUB851979 DDX851979 DNT851979 DXP851979 EHL851979 ERH851979 FBD851979 FKZ851979 FUV851979 GER851979 GON851979 GYJ851979 HIF851979 HSB851979 IBX851979 ILT851979 IVP851979 JFL851979 JPH851979 JZD851979 KIZ851979 KSV851979 LCR851979 LMN851979 LWJ851979 MGF851979 MQB851979 MZX851979 NJT851979 NTP851979 ODL851979 ONH851979 OXD851979 PGZ851979 PQV851979 QAR851979 QKN851979 QUJ851979 REF851979 ROB851979 RXX851979 SHT851979 SRP851979 TBL851979 TLH851979 TVD851979 UEZ851979 UOV851979 UYR851979 VIN851979 VSJ851979 WCF851979 WMB851979 WVX851979 P917515 JL917515 TH917515 ADD917515 AMZ917515 AWV917515 BGR917515 BQN917515 CAJ917515 CKF917515 CUB917515 DDX917515 DNT917515 DXP917515 EHL917515 ERH917515 FBD917515 FKZ917515 FUV917515 GER917515 GON917515 GYJ917515 HIF917515 HSB917515 IBX917515 ILT917515 IVP917515 JFL917515 JPH917515 JZD917515 KIZ917515 KSV917515 LCR917515 LMN917515 LWJ917515 MGF917515 MQB917515 MZX917515 NJT917515 NTP917515 ODL917515 ONH917515 OXD917515 PGZ917515 PQV917515 QAR917515 QKN917515 QUJ917515 REF917515 ROB917515 RXX917515 SHT917515 SRP917515 TBL917515 TLH917515 TVD917515 UEZ917515 UOV917515 UYR917515 VIN917515 VSJ917515 WCF917515 WMB917515 WVX917515 P983051 JL983051 TH983051 ADD983051 AMZ983051 AWV983051 BGR983051 BQN983051 CAJ983051 CKF983051 CUB983051 DDX983051 DNT983051 DXP983051 EHL983051 ERH983051 FBD983051 FKZ983051 FUV983051 GER983051 GON983051 GYJ983051 HIF983051 HSB983051 IBX983051 ILT983051 IVP983051 JFL983051 JPH983051 JZD983051 KIZ983051 KSV983051 LCR983051 LMN983051 LWJ983051 MGF983051 MQB983051 MZX983051 NJT983051 NTP983051 ODL983051 ONH983051 OXD983051 PGZ983051 PQV983051 QAR983051 QKN983051 QUJ983051 REF983051 ROB983051 RXX983051 SHT983051 SRP983051 TBL983051 TLH983051 TVD983051 UEZ983051 UOV983051 UYR983051 VIN983051 VSJ983051 WCF983051 WMB983051 WVX983051 C49:J49 IY49:JF49 SU49:TB49 ACQ49:ACX49 AMM49:AMT49 AWI49:AWP49 BGE49:BGL49 BQA49:BQH49 BZW49:CAD49 CJS49:CJZ49 CTO49:CTV49 DDK49:DDR49 DNG49:DNN49 DXC49:DXJ49 EGY49:EHF49 EQU49:ERB49 FAQ49:FAX49 FKM49:FKT49 FUI49:FUP49 GEE49:GEL49 GOA49:GOH49 GXW49:GYD49 HHS49:HHZ49 HRO49:HRV49 IBK49:IBR49 ILG49:ILN49 IVC49:IVJ49 JEY49:JFF49 JOU49:JPB49 JYQ49:JYX49 KIM49:KIT49 KSI49:KSP49 LCE49:LCL49 LMA49:LMH49 LVW49:LWD49 MFS49:MFZ49 MPO49:MPV49 MZK49:MZR49 NJG49:NJN49 NTC49:NTJ49 OCY49:ODF49 OMU49:ONB49 OWQ49:OWX49 PGM49:PGT49 PQI49:PQP49 QAE49:QAL49 QKA49:QKH49 QTW49:QUD49 RDS49:RDZ49 RNO49:RNV49 RXK49:RXR49 SHG49:SHN49 SRC49:SRJ49 TAY49:TBF49 TKU49:TLB49 TUQ49:TUX49 UEM49:UET49 UOI49:UOP49 UYE49:UYL49 VIA49:VIH49 VRW49:VSD49 WBS49:WBZ49 WLO49:WLV49 WVK49:WVR49 C65585:J65585 IY65585:JF65585 SU65585:TB65585 ACQ65585:ACX65585 AMM65585:AMT65585 AWI65585:AWP65585 BGE65585:BGL65585 BQA65585:BQH65585 BZW65585:CAD65585 CJS65585:CJZ65585 CTO65585:CTV65585 DDK65585:DDR65585 DNG65585:DNN65585 DXC65585:DXJ65585 EGY65585:EHF65585 EQU65585:ERB65585 FAQ65585:FAX65585 FKM65585:FKT65585 FUI65585:FUP65585 GEE65585:GEL65585 GOA65585:GOH65585 GXW65585:GYD65585 HHS65585:HHZ65585 HRO65585:HRV65585 IBK65585:IBR65585 ILG65585:ILN65585 IVC65585:IVJ65585 JEY65585:JFF65585 JOU65585:JPB65585 JYQ65585:JYX65585 KIM65585:KIT65585 KSI65585:KSP65585 LCE65585:LCL65585 LMA65585:LMH65585 LVW65585:LWD65585 MFS65585:MFZ65585 MPO65585:MPV65585 MZK65585:MZR65585 NJG65585:NJN65585 NTC65585:NTJ65585 OCY65585:ODF65585 OMU65585:ONB65585 OWQ65585:OWX65585 PGM65585:PGT65585 PQI65585:PQP65585 QAE65585:QAL65585 QKA65585:QKH65585 QTW65585:QUD65585 RDS65585:RDZ65585 RNO65585:RNV65585 RXK65585:RXR65585 SHG65585:SHN65585 SRC65585:SRJ65585 TAY65585:TBF65585 TKU65585:TLB65585 TUQ65585:TUX65585 UEM65585:UET65585 UOI65585:UOP65585 UYE65585:UYL65585 VIA65585:VIH65585 VRW65585:VSD65585 WBS65585:WBZ65585 WLO65585:WLV65585 WVK65585:WVR65585 C131121:J131121 IY131121:JF131121 SU131121:TB131121 ACQ131121:ACX131121 AMM131121:AMT131121 AWI131121:AWP131121 BGE131121:BGL131121 BQA131121:BQH131121 BZW131121:CAD131121 CJS131121:CJZ131121 CTO131121:CTV131121 DDK131121:DDR131121 DNG131121:DNN131121 DXC131121:DXJ131121 EGY131121:EHF131121 EQU131121:ERB131121 FAQ131121:FAX131121 FKM131121:FKT131121 FUI131121:FUP131121 GEE131121:GEL131121 GOA131121:GOH131121 GXW131121:GYD131121 HHS131121:HHZ131121 HRO131121:HRV131121 IBK131121:IBR131121 ILG131121:ILN131121 IVC131121:IVJ131121 JEY131121:JFF131121 JOU131121:JPB131121 JYQ131121:JYX131121 KIM131121:KIT131121 KSI131121:KSP131121 LCE131121:LCL131121 LMA131121:LMH131121 LVW131121:LWD131121 MFS131121:MFZ131121 MPO131121:MPV131121 MZK131121:MZR131121 NJG131121:NJN131121 NTC131121:NTJ131121 OCY131121:ODF131121 OMU131121:ONB131121 OWQ131121:OWX131121 PGM131121:PGT131121 PQI131121:PQP131121 QAE131121:QAL131121 QKA131121:QKH131121 QTW131121:QUD131121 RDS131121:RDZ131121 RNO131121:RNV131121 RXK131121:RXR131121 SHG131121:SHN131121 SRC131121:SRJ131121 TAY131121:TBF131121 TKU131121:TLB131121 TUQ131121:TUX131121 UEM131121:UET131121 UOI131121:UOP131121 UYE131121:UYL131121 VIA131121:VIH131121 VRW131121:VSD131121 WBS131121:WBZ131121 WLO131121:WLV131121 WVK131121:WVR131121 C196657:J196657 IY196657:JF196657 SU196657:TB196657 ACQ196657:ACX196657 AMM196657:AMT196657 AWI196657:AWP196657 BGE196657:BGL196657 BQA196657:BQH196657 BZW196657:CAD196657 CJS196657:CJZ196657 CTO196657:CTV196657 DDK196657:DDR196657 DNG196657:DNN196657 DXC196657:DXJ196657 EGY196657:EHF196657 EQU196657:ERB196657 FAQ196657:FAX196657 FKM196657:FKT196657 FUI196657:FUP196657 GEE196657:GEL196657 GOA196657:GOH196657 GXW196657:GYD196657 HHS196657:HHZ196657 HRO196657:HRV196657 IBK196657:IBR196657 ILG196657:ILN196657 IVC196657:IVJ196657 JEY196657:JFF196657 JOU196657:JPB196657 JYQ196657:JYX196657 KIM196657:KIT196657 KSI196657:KSP196657 LCE196657:LCL196657 LMA196657:LMH196657 LVW196657:LWD196657 MFS196657:MFZ196657 MPO196657:MPV196657 MZK196657:MZR196657 NJG196657:NJN196657 NTC196657:NTJ196657 OCY196657:ODF196657 OMU196657:ONB196657 OWQ196657:OWX196657 PGM196657:PGT196657 PQI196657:PQP196657 QAE196657:QAL196657 QKA196657:QKH196657 QTW196657:QUD196657 RDS196657:RDZ196657 RNO196657:RNV196657 RXK196657:RXR196657 SHG196657:SHN196657 SRC196657:SRJ196657 TAY196657:TBF196657 TKU196657:TLB196657 TUQ196657:TUX196657 UEM196657:UET196657 UOI196657:UOP196657 UYE196657:UYL196657 VIA196657:VIH196657 VRW196657:VSD196657 WBS196657:WBZ196657 WLO196657:WLV196657 WVK196657:WVR196657 C262193:J262193 IY262193:JF262193 SU262193:TB262193 ACQ262193:ACX262193 AMM262193:AMT262193 AWI262193:AWP262193 BGE262193:BGL262193 BQA262193:BQH262193 BZW262193:CAD262193 CJS262193:CJZ262193 CTO262193:CTV262193 DDK262193:DDR262193 DNG262193:DNN262193 DXC262193:DXJ262193 EGY262193:EHF262193 EQU262193:ERB262193 FAQ262193:FAX262193 FKM262193:FKT262193 FUI262193:FUP262193 GEE262193:GEL262193 GOA262193:GOH262193 GXW262193:GYD262193 HHS262193:HHZ262193 HRO262193:HRV262193 IBK262193:IBR262193 ILG262193:ILN262193 IVC262193:IVJ262193 JEY262193:JFF262193 JOU262193:JPB262193 JYQ262193:JYX262193 KIM262193:KIT262193 KSI262193:KSP262193 LCE262193:LCL262193 LMA262193:LMH262193 LVW262193:LWD262193 MFS262193:MFZ262193 MPO262193:MPV262193 MZK262193:MZR262193 NJG262193:NJN262193 NTC262193:NTJ262193 OCY262193:ODF262193 OMU262193:ONB262193 OWQ262193:OWX262193 PGM262193:PGT262193 PQI262193:PQP262193 QAE262193:QAL262193 QKA262193:QKH262193 QTW262193:QUD262193 RDS262193:RDZ262193 RNO262193:RNV262193 RXK262193:RXR262193 SHG262193:SHN262193 SRC262193:SRJ262193 TAY262193:TBF262193 TKU262193:TLB262193 TUQ262193:TUX262193 UEM262193:UET262193 UOI262193:UOP262193 UYE262193:UYL262193 VIA262193:VIH262193 VRW262193:VSD262193 WBS262193:WBZ262193 WLO262193:WLV262193 WVK262193:WVR262193 C327729:J327729 IY327729:JF327729 SU327729:TB327729 ACQ327729:ACX327729 AMM327729:AMT327729 AWI327729:AWP327729 BGE327729:BGL327729 BQA327729:BQH327729 BZW327729:CAD327729 CJS327729:CJZ327729 CTO327729:CTV327729 DDK327729:DDR327729 DNG327729:DNN327729 DXC327729:DXJ327729 EGY327729:EHF327729 EQU327729:ERB327729 FAQ327729:FAX327729 FKM327729:FKT327729 FUI327729:FUP327729 GEE327729:GEL327729 GOA327729:GOH327729 GXW327729:GYD327729 HHS327729:HHZ327729 HRO327729:HRV327729 IBK327729:IBR327729 ILG327729:ILN327729 IVC327729:IVJ327729 JEY327729:JFF327729 JOU327729:JPB327729 JYQ327729:JYX327729 KIM327729:KIT327729 KSI327729:KSP327729 LCE327729:LCL327729 LMA327729:LMH327729 LVW327729:LWD327729 MFS327729:MFZ327729 MPO327729:MPV327729 MZK327729:MZR327729 NJG327729:NJN327729 NTC327729:NTJ327729 OCY327729:ODF327729 OMU327729:ONB327729 OWQ327729:OWX327729 PGM327729:PGT327729 PQI327729:PQP327729 QAE327729:QAL327729 QKA327729:QKH327729 QTW327729:QUD327729 RDS327729:RDZ327729 RNO327729:RNV327729 RXK327729:RXR327729 SHG327729:SHN327729 SRC327729:SRJ327729 TAY327729:TBF327729 TKU327729:TLB327729 TUQ327729:TUX327729 UEM327729:UET327729 UOI327729:UOP327729 UYE327729:UYL327729 VIA327729:VIH327729 VRW327729:VSD327729 WBS327729:WBZ327729 WLO327729:WLV327729 WVK327729:WVR327729 C393265:J393265 IY393265:JF393265 SU393265:TB393265 ACQ393265:ACX393265 AMM393265:AMT393265 AWI393265:AWP393265 BGE393265:BGL393265 BQA393265:BQH393265 BZW393265:CAD393265 CJS393265:CJZ393265 CTO393265:CTV393265 DDK393265:DDR393265 DNG393265:DNN393265 DXC393265:DXJ393265 EGY393265:EHF393265 EQU393265:ERB393265 FAQ393265:FAX393265 FKM393265:FKT393265 FUI393265:FUP393265 GEE393265:GEL393265 GOA393265:GOH393265 GXW393265:GYD393265 HHS393265:HHZ393265 HRO393265:HRV393265 IBK393265:IBR393265 ILG393265:ILN393265 IVC393265:IVJ393265 JEY393265:JFF393265 JOU393265:JPB393265 JYQ393265:JYX393265 KIM393265:KIT393265 KSI393265:KSP393265 LCE393265:LCL393265 LMA393265:LMH393265 LVW393265:LWD393265 MFS393265:MFZ393265 MPO393265:MPV393265 MZK393265:MZR393265 NJG393265:NJN393265 NTC393265:NTJ393265 OCY393265:ODF393265 OMU393265:ONB393265 OWQ393265:OWX393265 PGM393265:PGT393265 PQI393265:PQP393265 QAE393265:QAL393265 QKA393265:QKH393265 QTW393265:QUD393265 RDS393265:RDZ393265 RNO393265:RNV393265 RXK393265:RXR393265 SHG393265:SHN393265 SRC393265:SRJ393265 TAY393265:TBF393265 TKU393265:TLB393265 TUQ393265:TUX393265 UEM393265:UET393265 UOI393265:UOP393265 UYE393265:UYL393265 VIA393265:VIH393265 VRW393265:VSD393265 WBS393265:WBZ393265 WLO393265:WLV393265 WVK393265:WVR393265 C458801:J458801 IY458801:JF458801 SU458801:TB458801 ACQ458801:ACX458801 AMM458801:AMT458801 AWI458801:AWP458801 BGE458801:BGL458801 BQA458801:BQH458801 BZW458801:CAD458801 CJS458801:CJZ458801 CTO458801:CTV458801 DDK458801:DDR458801 DNG458801:DNN458801 DXC458801:DXJ458801 EGY458801:EHF458801 EQU458801:ERB458801 FAQ458801:FAX458801 FKM458801:FKT458801 FUI458801:FUP458801 GEE458801:GEL458801 GOA458801:GOH458801 GXW458801:GYD458801 HHS458801:HHZ458801 HRO458801:HRV458801 IBK458801:IBR458801 ILG458801:ILN458801 IVC458801:IVJ458801 JEY458801:JFF458801 JOU458801:JPB458801 JYQ458801:JYX458801 KIM458801:KIT458801 KSI458801:KSP458801 LCE458801:LCL458801 LMA458801:LMH458801 LVW458801:LWD458801 MFS458801:MFZ458801 MPO458801:MPV458801 MZK458801:MZR458801 NJG458801:NJN458801 NTC458801:NTJ458801 OCY458801:ODF458801 OMU458801:ONB458801 OWQ458801:OWX458801 PGM458801:PGT458801 PQI458801:PQP458801 QAE458801:QAL458801 QKA458801:QKH458801 QTW458801:QUD458801 RDS458801:RDZ458801 RNO458801:RNV458801 RXK458801:RXR458801 SHG458801:SHN458801 SRC458801:SRJ458801 TAY458801:TBF458801 TKU458801:TLB458801 TUQ458801:TUX458801 UEM458801:UET458801 UOI458801:UOP458801 UYE458801:UYL458801 VIA458801:VIH458801 VRW458801:VSD458801 WBS458801:WBZ458801 WLO458801:WLV458801 WVK458801:WVR458801 C524337:J524337 IY524337:JF524337 SU524337:TB524337 ACQ524337:ACX524337 AMM524337:AMT524337 AWI524337:AWP524337 BGE524337:BGL524337 BQA524337:BQH524337 BZW524337:CAD524337 CJS524337:CJZ524337 CTO524337:CTV524337 DDK524337:DDR524337 DNG524337:DNN524337 DXC524337:DXJ524337 EGY524337:EHF524337 EQU524337:ERB524337 FAQ524337:FAX524337 FKM524337:FKT524337 FUI524337:FUP524337 GEE524337:GEL524337 GOA524337:GOH524337 GXW524337:GYD524337 HHS524337:HHZ524337 HRO524337:HRV524337 IBK524337:IBR524337 ILG524337:ILN524337 IVC524337:IVJ524337 JEY524337:JFF524337 JOU524337:JPB524337 JYQ524337:JYX524337 KIM524337:KIT524337 KSI524337:KSP524337 LCE524337:LCL524337 LMA524337:LMH524337 LVW524337:LWD524337 MFS524337:MFZ524337 MPO524337:MPV524337 MZK524337:MZR524337 NJG524337:NJN524337 NTC524337:NTJ524337 OCY524337:ODF524337 OMU524337:ONB524337 OWQ524337:OWX524337 PGM524337:PGT524337 PQI524337:PQP524337 QAE524337:QAL524337 QKA524337:QKH524337 QTW524337:QUD524337 RDS524337:RDZ524337 RNO524337:RNV524337 RXK524337:RXR524337 SHG524337:SHN524337 SRC524337:SRJ524337 TAY524337:TBF524337 TKU524337:TLB524337 TUQ524337:TUX524337 UEM524337:UET524337 UOI524337:UOP524337 UYE524337:UYL524337 VIA524337:VIH524337 VRW524337:VSD524337 WBS524337:WBZ524337 WLO524337:WLV524337 WVK524337:WVR524337 C589873:J589873 IY589873:JF589873 SU589873:TB589873 ACQ589873:ACX589873 AMM589873:AMT589873 AWI589873:AWP589873 BGE589873:BGL589873 BQA589873:BQH589873 BZW589873:CAD589873 CJS589873:CJZ589873 CTO589873:CTV589873 DDK589873:DDR589873 DNG589873:DNN589873 DXC589873:DXJ589873 EGY589873:EHF589873 EQU589873:ERB589873 FAQ589873:FAX589873 FKM589873:FKT589873 FUI589873:FUP589873 GEE589873:GEL589873 GOA589873:GOH589873 GXW589873:GYD589873 HHS589873:HHZ589873 HRO589873:HRV589873 IBK589873:IBR589873 ILG589873:ILN589873 IVC589873:IVJ589873 JEY589873:JFF589873 JOU589873:JPB589873 JYQ589873:JYX589873 KIM589873:KIT589873 KSI589873:KSP589873 LCE589873:LCL589873 LMA589873:LMH589873 LVW589873:LWD589873 MFS589873:MFZ589873 MPO589873:MPV589873 MZK589873:MZR589873 NJG589873:NJN589873 NTC589873:NTJ589873 OCY589873:ODF589873 OMU589873:ONB589873 OWQ589873:OWX589873 PGM589873:PGT589873 PQI589873:PQP589873 QAE589873:QAL589873 QKA589873:QKH589873 QTW589873:QUD589873 RDS589873:RDZ589873 RNO589873:RNV589873 RXK589873:RXR589873 SHG589873:SHN589873 SRC589873:SRJ589873 TAY589873:TBF589873 TKU589873:TLB589873 TUQ589873:TUX589873 UEM589873:UET589873 UOI589873:UOP589873 UYE589873:UYL589873 VIA589873:VIH589873 VRW589873:VSD589873 WBS589873:WBZ589873 WLO589873:WLV589873 WVK589873:WVR589873 C655409:J655409 IY655409:JF655409 SU655409:TB655409 ACQ655409:ACX655409 AMM655409:AMT655409 AWI655409:AWP655409 BGE655409:BGL655409 BQA655409:BQH655409 BZW655409:CAD655409 CJS655409:CJZ655409 CTO655409:CTV655409 DDK655409:DDR655409 DNG655409:DNN655409 DXC655409:DXJ655409 EGY655409:EHF655409 EQU655409:ERB655409 FAQ655409:FAX655409 FKM655409:FKT655409 FUI655409:FUP655409 GEE655409:GEL655409 GOA655409:GOH655409 GXW655409:GYD655409 HHS655409:HHZ655409 HRO655409:HRV655409 IBK655409:IBR655409 ILG655409:ILN655409 IVC655409:IVJ655409 JEY655409:JFF655409 JOU655409:JPB655409 JYQ655409:JYX655409 KIM655409:KIT655409 KSI655409:KSP655409 LCE655409:LCL655409 LMA655409:LMH655409 LVW655409:LWD655409 MFS655409:MFZ655409 MPO655409:MPV655409 MZK655409:MZR655409 NJG655409:NJN655409 NTC655409:NTJ655409 OCY655409:ODF655409 OMU655409:ONB655409 OWQ655409:OWX655409 PGM655409:PGT655409 PQI655409:PQP655409 QAE655409:QAL655409 QKA655409:QKH655409 QTW655409:QUD655409 RDS655409:RDZ655409 RNO655409:RNV655409 RXK655409:RXR655409 SHG655409:SHN655409 SRC655409:SRJ655409 TAY655409:TBF655409 TKU655409:TLB655409 TUQ655409:TUX655409 UEM655409:UET655409 UOI655409:UOP655409 UYE655409:UYL655409 VIA655409:VIH655409 VRW655409:VSD655409 WBS655409:WBZ655409 WLO655409:WLV655409 WVK655409:WVR655409 C720945:J720945 IY720945:JF720945 SU720945:TB720945 ACQ720945:ACX720945 AMM720945:AMT720945 AWI720945:AWP720945 BGE720945:BGL720945 BQA720945:BQH720945 BZW720945:CAD720945 CJS720945:CJZ720945 CTO720945:CTV720945 DDK720945:DDR720945 DNG720945:DNN720945 DXC720945:DXJ720945 EGY720945:EHF720945 EQU720945:ERB720945 FAQ720945:FAX720945 FKM720945:FKT720945 FUI720945:FUP720945 GEE720945:GEL720945 GOA720945:GOH720945 GXW720945:GYD720945 HHS720945:HHZ720945 HRO720945:HRV720945 IBK720945:IBR720945 ILG720945:ILN720945 IVC720945:IVJ720945 JEY720945:JFF720945 JOU720945:JPB720945 JYQ720945:JYX720945 KIM720945:KIT720945 KSI720945:KSP720945 LCE720945:LCL720945 LMA720945:LMH720945 LVW720945:LWD720945 MFS720945:MFZ720945 MPO720945:MPV720945 MZK720945:MZR720945 NJG720945:NJN720945 NTC720945:NTJ720945 OCY720945:ODF720945 OMU720945:ONB720945 OWQ720945:OWX720945 PGM720945:PGT720945 PQI720945:PQP720945 QAE720945:QAL720945 QKA720945:QKH720945 QTW720945:QUD720945 RDS720945:RDZ720945 RNO720945:RNV720945 RXK720945:RXR720945 SHG720945:SHN720945 SRC720945:SRJ720945 TAY720945:TBF720945 TKU720945:TLB720945 TUQ720945:TUX720945 UEM720945:UET720945 UOI720945:UOP720945 UYE720945:UYL720945 VIA720945:VIH720945 VRW720945:VSD720945 WBS720945:WBZ720945 WLO720945:WLV720945 WVK720945:WVR720945 C786481:J786481 IY786481:JF786481 SU786481:TB786481 ACQ786481:ACX786481 AMM786481:AMT786481 AWI786481:AWP786481 BGE786481:BGL786481 BQA786481:BQH786481 BZW786481:CAD786481 CJS786481:CJZ786481 CTO786481:CTV786481 DDK786481:DDR786481 DNG786481:DNN786481 DXC786481:DXJ786481 EGY786481:EHF786481 EQU786481:ERB786481 FAQ786481:FAX786481 FKM786481:FKT786481 FUI786481:FUP786481 GEE786481:GEL786481 GOA786481:GOH786481 GXW786481:GYD786481 HHS786481:HHZ786481 HRO786481:HRV786481 IBK786481:IBR786481 ILG786481:ILN786481 IVC786481:IVJ786481 JEY786481:JFF786481 JOU786481:JPB786481 JYQ786481:JYX786481 KIM786481:KIT786481 KSI786481:KSP786481 LCE786481:LCL786481 LMA786481:LMH786481 LVW786481:LWD786481 MFS786481:MFZ786481 MPO786481:MPV786481 MZK786481:MZR786481 NJG786481:NJN786481 NTC786481:NTJ786481 OCY786481:ODF786481 OMU786481:ONB786481 OWQ786481:OWX786481 PGM786481:PGT786481 PQI786481:PQP786481 QAE786481:QAL786481 QKA786481:QKH786481 QTW786481:QUD786481 RDS786481:RDZ786481 RNO786481:RNV786481 RXK786481:RXR786481 SHG786481:SHN786481 SRC786481:SRJ786481 TAY786481:TBF786481 TKU786481:TLB786481 TUQ786481:TUX786481 UEM786481:UET786481 UOI786481:UOP786481 UYE786481:UYL786481 VIA786481:VIH786481 VRW786481:VSD786481 WBS786481:WBZ786481 WLO786481:WLV786481 WVK786481:WVR786481 C852017:J852017 IY852017:JF852017 SU852017:TB852017 ACQ852017:ACX852017 AMM852017:AMT852017 AWI852017:AWP852017 BGE852017:BGL852017 BQA852017:BQH852017 BZW852017:CAD852017 CJS852017:CJZ852017 CTO852017:CTV852017 DDK852017:DDR852017 DNG852017:DNN852017 DXC852017:DXJ852017 EGY852017:EHF852017 EQU852017:ERB852017 FAQ852017:FAX852017 FKM852017:FKT852017 FUI852017:FUP852017 GEE852017:GEL852017 GOA852017:GOH852017 GXW852017:GYD852017 HHS852017:HHZ852017 HRO852017:HRV852017 IBK852017:IBR852017 ILG852017:ILN852017 IVC852017:IVJ852017 JEY852017:JFF852017 JOU852017:JPB852017 JYQ852017:JYX852017 KIM852017:KIT852017 KSI852017:KSP852017 LCE852017:LCL852017 LMA852017:LMH852017 LVW852017:LWD852017 MFS852017:MFZ852017 MPO852017:MPV852017 MZK852017:MZR852017 NJG852017:NJN852017 NTC852017:NTJ852017 OCY852017:ODF852017 OMU852017:ONB852017 OWQ852017:OWX852017 PGM852017:PGT852017 PQI852017:PQP852017 QAE852017:QAL852017 QKA852017:QKH852017 QTW852017:QUD852017 RDS852017:RDZ852017 RNO852017:RNV852017 RXK852017:RXR852017 SHG852017:SHN852017 SRC852017:SRJ852017 TAY852017:TBF852017 TKU852017:TLB852017 TUQ852017:TUX852017 UEM852017:UET852017 UOI852017:UOP852017 UYE852017:UYL852017 VIA852017:VIH852017 VRW852017:VSD852017 WBS852017:WBZ852017 WLO852017:WLV852017 WVK852017:WVR852017 C917553:J917553 IY917553:JF917553 SU917553:TB917553 ACQ917553:ACX917553 AMM917553:AMT917553 AWI917553:AWP917553 BGE917553:BGL917553 BQA917553:BQH917553 BZW917553:CAD917553 CJS917553:CJZ917553 CTO917553:CTV917553 DDK917553:DDR917553 DNG917553:DNN917553 DXC917553:DXJ917553 EGY917553:EHF917553 EQU917553:ERB917553 FAQ917553:FAX917553 FKM917553:FKT917553 FUI917553:FUP917553 GEE917553:GEL917553 GOA917553:GOH917553 GXW917553:GYD917553 HHS917553:HHZ917553 HRO917553:HRV917553 IBK917553:IBR917553 ILG917553:ILN917553 IVC917553:IVJ917553 JEY917553:JFF917553 JOU917553:JPB917553 JYQ917553:JYX917553 KIM917553:KIT917553 KSI917553:KSP917553 LCE917553:LCL917553 LMA917553:LMH917553 LVW917553:LWD917553 MFS917553:MFZ917553 MPO917553:MPV917553 MZK917553:MZR917553 NJG917553:NJN917553 NTC917553:NTJ917553 OCY917553:ODF917553 OMU917553:ONB917553 OWQ917553:OWX917553 PGM917553:PGT917553 PQI917553:PQP917553 QAE917553:QAL917553 QKA917553:QKH917553 QTW917553:QUD917553 RDS917553:RDZ917553 RNO917553:RNV917553 RXK917553:RXR917553 SHG917553:SHN917553 SRC917553:SRJ917553 TAY917553:TBF917553 TKU917553:TLB917553 TUQ917553:TUX917553 UEM917553:UET917553 UOI917553:UOP917553 UYE917553:UYL917553 VIA917553:VIH917553 VRW917553:VSD917553 WBS917553:WBZ917553 WLO917553:WLV917553 WVK917553:WVR917553 C983089:J983089 IY983089:JF983089 SU983089:TB983089 ACQ983089:ACX983089 AMM983089:AMT983089 AWI983089:AWP983089 BGE983089:BGL983089 BQA983089:BQH983089 BZW983089:CAD983089 CJS983089:CJZ983089 CTO983089:CTV983089 DDK983089:DDR983089 DNG983089:DNN983089 DXC983089:DXJ983089 EGY983089:EHF983089 EQU983089:ERB983089 FAQ983089:FAX983089 FKM983089:FKT983089 FUI983089:FUP983089 GEE983089:GEL983089 GOA983089:GOH983089 GXW983089:GYD983089 HHS983089:HHZ983089 HRO983089:HRV983089 IBK983089:IBR983089 ILG983089:ILN983089 IVC983089:IVJ983089 JEY983089:JFF983089 JOU983089:JPB983089 JYQ983089:JYX983089 KIM983089:KIT983089 KSI983089:KSP983089 LCE983089:LCL983089 LMA983089:LMH983089 LVW983089:LWD983089 MFS983089:MFZ983089 MPO983089:MPV983089 MZK983089:MZR983089 NJG983089:NJN983089 NTC983089:NTJ983089 OCY983089:ODF983089 OMU983089:ONB983089 OWQ983089:OWX983089 PGM983089:PGT983089 PQI983089:PQP983089 QAE983089:QAL983089 QKA983089:QKH983089 QTW983089:QUD983089 RDS983089:RDZ983089 RNO983089:RNV983089 RXK983089:RXR983089 SHG983089:SHN983089 SRC983089:SRJ983089 TAY983089:TBF983089 TKU983089:TLB983089 TUQ983089:TUX983089 UEM983089:UET983089 UOI983089:UOP983089 UYE983089:UYL983089 VIA983089:VIH983089 VRW983089:VSD983089 WBS983089:WBZ983089 WLO983089:WLV983089 WVK983089:WVR983089 C51:I51 IY51:JE51 SU51:TA51 ACQ51:ACW51 AMM51:AMS51 AWI51:AWO51 BGE51:BGK51 BQA51:BQG51 BZW51:CAC51 CJS51:CJY51 CTO51:CTU51 DDK51:DDQ51 DNG51:DNM51 DXC51:DXI51 EGY51:EHE51 EQU51:ERA51 FAQ51:FAW51 FKM51:FKS51 FUI51:FUO51 GEE51:GEK51 GOA51:GOG51 GXW51:GYC51 HHS51:HHY51 HRO51:HRU51 IBK51:IBQ51 ILG51:ILM51 IVC51:IVI51 JEY51:JFE51 JOU51:JPA51 JYQ51:JYW51 KIM51:KIS51 KSI51:KSO51 LCE51:LCK51 LMA51:LMG51 LVW51:LWC51 MFS51:MFY51 MPO51:MPU51 MZK51:MZQ51 NJG51:NJM51 NTC51:NTI51 OCY51:ODE51 OMU51:ONA51 OWQ51:OWW51 PGM51:PGS51 PQI51:PQO51 QAE51:QAK51 QKA51:QKG51 QTW51:QUC51 RDS51:RDY51 RNO51:RNU51 RXK51:RXQ51 SHG51:SHM51 SRC51:SRI51 TAY51:TBE51 TKU51:TLA51 TUQ51:TUW51 UEM51:UES51 UOI51:UOO51 UYE51:UYK51 VIA51:VIG51 VRW51:VSC51 WBS51:WBY51 WLO51:WLU51 WVK51:WVQ51 C65587:I65587 IY65587:JE65587 SU65587:TA65587 ACQ65587:ACW65587 AMM65587:AMS65587 AWI65587:AWO65587 BGE65587:BGK65587 BQA65587:BQG65587 BZW65587:CAC65587 CJS65587:CJY65587 CTO65587:CTU65587 DDK65587:DDQ65587 DNG65587:DNM65587 DXC65587:DXI65587 EGY65587:EHE65587 EQU65587:ERA65587 FAQ65587:FAW65587 FKM65587:FKS65587 FUI65587:FUO65587 GEE65587:GEK65587 GOA65587:GOG65587 GXW65587:GYC65587 HHS65587:HHY65587 HRO65587:HRU65587 IBK65587:IBQ65587 ILG65587:ILM65587 IVC65587:IVI65587 JEY65587:JFE65587 JOU65587:JPA65587 JYQ65587:JYW65587 KIM65587:KIS65587 KSI65587:KSO65587 LCE65587:LCK65587 LMA65587:LMG65587 LVW65587:LWC65587 MFS65587:MFY65587 MPO65587:MPU65587 MZK65587:MZQ65587 NJG65587:NJM65587 NTC65587:NTI65587 OCY65587:ODE65587 OMU65587:ONA65587 OWQ65587:OWW65587 PGM65587:PGS65587 PQI65587:PQO65587 QAE65587:QAK65587 QKA65587:QKG65587 QTW65587:QUC65587 RDS65587:RDY65587 RNO65587:RNU65587 RXK65587:RXQ65587 SHG65587:SHM65587 SRC65587:SRI65587 TAY65587:TBE65587 TKU65587:TLA65587 TUQ65587:TUW65587 UEM65587:UES65587 UOI65587:UOO65587 UYE65587:UYK65587 VIA65587:VIG65587 VRW65587:VSC65587 WBS65587:WBY65587 WLO65587:WLU65587 WVK65587:WVQ65587 C131123:I131123 IY131123:JE131123 SU131123:TA131123 ACQ131123:ACW131123 AMM131123:AMS131123 AWI131123:AWO131123 BGE131123:BGK131123 BQA131123:BQG131123 BZW131123:CAC131123 CJS131123:CJY131123 CTO131123:CTU131123 DDK131123:DDQ131123 DNG131123:DNM131123 DXC131123:DXI131123 EGY131123:EHE131123 EQU131123:ERA131123 FAQ131123:FAW131123 FKM131123:FKS131123 FUI131123:FUO131123 GEE131123:GEK131123 GOA131123:GOG131123 GXW131123:GYC131123 HHS131123:HHY131123 HRO131123:HRU131123 IBK131123:IBQ131123 ILG131123:ILM131123 IVC131123:IVI131123 JEY131123:JFE131123 JOU131123:JPA131123 JYQ131123:JYW131123 KIM131123:KIS131123 KSI131123:KSO131123 LCE131123:LCK131123 LMA131123:LMG131123 LVW131123:LWC131123 MFS131123:MFY131123 MPO131123:MPU131123 MZK131123:MZQ131123 NJG131123:NJM131123 NTC131123:NTI131123 OCY131123:ODE131123 OMU131123:ONA131123 OWQ131123:OWW131123 PGM131123:PGS131123 PQI131123:PQO131123 QAE131123:QAK131123 QKA131123:QKG131123 QTW131123:QUC131123 RDS131123:RDY131123 RNO131123:RNU131123 RXK131123:RXQ131123 SHG131123:SHM131123 SRC131123:SRI131123 TAY131123:TBE131123 TKU131123:TLA131123 TUQ131123:TUW131123 UEM131123:UES131123 UOI131123:UOO131123 UYE131123:UYK131123 VIA131123:VIG131123 VRW131123:VSC131123 WBS131123:WBY131123 WLO131123:WLU131123 WVK131123:WVQ131123 C196659:I196659 IY196659:JE196659 SU196659:TA196659 ACQ196659:ACW196659 AMM196659:AMS196659 AWI196659:AWO196659 BGE196659:BGK196659 BQA196659:BQG196659 BZW196659:CAC196659 CJS196659:CJY196659 CTO196659:CTU196659 DDK196659:DDQ196659 DNG196659:DNM196659 DXC196659:DXI196659 EGY196659:EHE196659 EQU196659:ERA196659 FAQ196659:FAW196659 FKM196659:FKS196659 FUI196659:FUO196659 GEE196659:GEK196659 GOA196659:GOG196659 GXW196659:GYC196659 HHS196659:HHY196659 HRO196659:HRU196659 IBK196659:IBQ196659 ILG196659:ILM196659 IVC196659:IVI196659 JEY196659:JFE196659 JOU196659:JPA196659 JYQ196659:JYW196659 KIM196659:KIS196659 KSI196659:KSO196659 LCE196659:LCK196659 LMA196659:LMG196659 LVW196659:LWC196659 MFS196659:MFY196659 MPO196659:MPU196659 MZK196659:MZQ196659 NJG196659:NJM196659 NTC196659:NTI196659 OCY196659:ODE196659 OMU196659:ONA196659 OWQ196659:OWW196659 PGM196659:PGS196659 PQI196659:PQO196659 QAE196659:QAK196659 QKA196659:QKG196659 QTW196659:QUC196659 RDS196659:RDY196659 RNO196659:RNU196659 RXK196659:RXQ196659 SHG196659:SHM196659 SRC196659:SRI196659 TAY196659:TBE196659 TKU196659:TLA196659 TUQ196659:TUW196659 UEM196659:UES196659 UOI196659:UOO196659 UYE196659:UYK196659 VIA196659:VIG196659 VRW196659:VSC196659 WBS196659:WBY196659 WLO196659:WLU196659 WVK196659:WVQ196659 C262195:I262195 IY262195:JE262195 SU262195:TA262195 ACQ262195:ACW262195 AMM262195:AMS262195 AWI262195:AWO262195 BGE262195:BGK262195 BQA262195:BQG262195 BZW262195:CAC262195 CJS262195:CJY262195 CTO262195:CTU262195 DDK262195:DDQ262195 DNG262195:DNM262195 DXC262195:DXI262195 EGY262195:EHE262195 EQU262195:ERA262195 FAQ262195:FAW262195 FKM262195:FKS262195 FUI262195:FUO262195 GEE262195:GEK262195 GOA262195:GOG262195 GXW262195:GYC262195 HHS262195:HHY262195 HRO262195:HRU262195 IBK262195:IBQ262195 ILG262195:ILM262195 IVC262195:IVI262195 JEY262195:JFE262195 JOU262195:JPA262195 JYQ262195:JYW262195 KIM262195:KIS262195 KSI262195:KSO262195 LCE262195:LCK262195 LMA262195:LMG262195 LVW262195:LWC262195 MFS262195:MFY262195 MPO262195:MPU262195 MZK262195:MZQ262195 NJG262195:NJM262195 NTC262195:NTI262195 OCY262195:ODE262195 OMU262195:ONA262195 OWQ262195:OWW262195 PGM262195:PGS262195 PQI262195:PQO262195 QAE262195:QAK262195 QKA262195:QKG262195 QTW262195:QUC262195 RDS262195:RDY262195 RNO262195:RNU262195 RXK262195:RXQ262195 SHG262195:SHM262195 SRC262195:SRI262195 TAY262195:TBE262195 TKU262195:TLA262195 TUQ262195:TUW262195 UEM262195:UES262195 UOI262195:UOO262195 UYE262195:UYK262195 VIA262195:VIG262195 VRW262195:VSC262195 WBS262195:WBY262195 WLO262195:WLU262195 WVK262195:WVQ262195 C327731:I327731 IY327731:JE327731 SU327731:TA327731 ACQ327731:ACW327731 AMM327731:AMS327731 AWI327731:AWO327731 BGE327731:BGK327731 BQA327731:BQG327731 BZW327731:CAC327731 CJS327731:CJY327731 CTO327731:CTU327731 DDK327731:DDQ327731 DNG327731:DNM327731 DXC327731:DXI327731 EGY327731:EHE327731 EQU327731:ERA327731 FAQ327731:FAW327731 FKM327731:FKS327731 FUI327731:FUO327731 GEE327731:GEK327731 GOA327731:GOG327731 GXW327731:GYC327731 HHS327731:HHY327731 HRO327731:HRU327731 IBK327731:IBQ327731 ILG327731:ILM327731 IVC327731:IVI327731 JEY327731:JFE327731 JOU327731:JPA327731 JYQ327731:JYW327731 KIM327731:KIS327731 KSI327731:KSO327731 LCE327731:LCK327731 LMA327731:LMG327731 LVW327731:LWC327731 MFS327731:MFY327731 MPO327731:MPU327731 MZK327731:MZQ327731 NJG327731:NJM327731 NTC327731:NTI327731 OCY327731:ODE327731 OMU327731:ONA327731 OWQ327731:OWW327731 PGM327731:PGS327731 PQI327731:PQO327731 QAE327731:QAK327731 QKA327731:QKG327731 QTW327731:QUC327731 RDS327731:RDY327731 RNO327731:RNU327731 RXK327731:RXQ327731 SHG327731:SHM327731 SRC327731:SRI327731 TAY327731:TBE327731 TKU327731:TLA327731 TUQ327731:TUW327731 UEM327731:UES327731 UOI327731:UOO327731 UYE327731:UYK327731 VIA327731:VIG327731 VRW327731:VSC327731 WBS327731:WBY327731 WLO327731:WLU327731 WVK327731:WVQ327731 C393267:I393267 IY393267:JE393267 SU393267:TA393267 ACQ393267:ACW393267 AMM393267:AMS393267 AWI393267:AWO393267 BGE393267:BGK393267 BQA393267:BQG393267 BZW393267:CAC393267 CJS393267:CJY393267 CTO393267:CTU393267 DDK393267:DDQ393267 DNG393267:DNM393267 DXC393267:DXI393267 EGY393267:EHE393267 EQU393267:ERA393267 FAQ393267:FAW393267 FKM393267:FKS393267 FUI393267:FUO393267 GEE393267:GEK393267 GOA393267:GOG393267 GXW393267:GYC393267 HHS393267:HHY393267 HRO393267:HRU393267 IBK393267:IBQ393267 ILG393267:ILM393267 IVC393267:IVI393267 JEY393267:JFE393267 JOU393267:JPA393267 JYQ393267:JYW393267 KIM393267:KIS393267 KSI393267:KSO393267 LCE393267:LCK393267 LMA393267:LMG393267 LVW393267:LWC393267 MFS393267:MFY393267 MPO393267:MPU393267 MZK393267:MZQ393267 NJG393267:NJM393267 NTC393267:NTI393267 OCY393267:ODE393267 OMU393267:ONA393267 OWQ393267:OWW393267 PGM393267:PGS393267 PQI393267:PQO393267 QAE393267:QAK393267 QKA393267:QKG393267 QTW393267:QUC393267 RDS393267:RDY393267 RNO393267:RNU393267 RXK393267:RXQ393267 SHG393267:SHM393267 SRC393267:SRI393267 TAY393267:TBE393267 TKU393267:TLA393267 TUQ393267:TUW393267 UEM393267:UES393267 UOI393267:UOO393267 UYE393267:UYK393267 VIA393267:VIG393267 VRW393267:VSC393267 WBS393267:WBY393267 WLO393267:WLU393267 WVK393267:WVQ393267 C458803:I458803 IY458803:JE458803 SU458803:TA458803 ACQ458803:ACW458803 AMM458803:AMS458803 AWI458803:AWO458803 BGE458803:BGK458803 BQA458803:BQG458803 BZW458803:CAC458803 CJS458803:CJY458803 CTO458803:CTU458803 DDK458803:DDQ458803 DNG458803:DNM458803 DXC458803:DXI458803 EGY458803:EHE458803 EQU458803:ERA458803 FAQ458803:FAW458803 FKM458803:FKS458803 FUI458803:FUO458803 GEE458803:GEK458803 GOA458803:GOG458803 GXW458803:GYC458803 HHS458803:HHY458803 HRO458803:HRU458803 IBK458803:IBQ458803 ILG458803:ILM458803 IVC458803:IVI458803 JEY458803:JFE458803 JOU458803:JPA458803 JYQ458803:JYW458803 KIM458803:KIS458803 KSI458803:KSO458803 LCE458803:LCK458803 LMA458803:LMG458803 LVW458803:LWC458803 MFS458803:MFY458803 MPO458803:MPU458803 MZK458803:MZQ458803 NJG458803:NJM458803 NTC458803:NTI458803 OCY458803:ODE458803 OMU458803:ONA458803 OWQ458803:OWW458803 PGM458803:PGS458803 PQI458803:PQO458803 QAE458803:QAK458803 QKA458803:QKG458803 QTW458803:QUC458803 RDS458803:RDY458803 RNO458803:RNU458803 RXK458803:RXQ458803 SHG458803:SHM458803 SRC458803:SRI458803 TAY458803:TBE458803 TKU458803:TLA458803 TUQ458803:TUW458803 UEM458803:UES458803 UOI458803:UOO458803 UYE458803:UYK458803 VIA458803:VIG458803 VRW458803:VSC458803 WBS458803:WBY458803 WLO458803:WLU458803 WVK458803:WVQ458803 C524339:I524339 IY524339:JE524339 SU524339:TA524339 ACQ524339:ACW524339 AMM524339:AMS524339 AWI524339:AWO524339 BGE524339:BGK524339 BQA524339:BQG524339 BZW524339:CAC524339 CJS524339:CJY524339 CTO524339:CTU524339 DDK524339:DDQ524339 DNG524339:DNM524339 DXC524339:DXI524339 EGY524339:EHE524339 EQU524339:ERA524339 FAQ524339:FAW524339 FKM524339:FKS524339 FUI524339:FUO524339 GEE524339:GEK524339 GOA524339:GOG524339 GXW524339:GYC524339 HHS524339:HHY524339 HRO524339:HRU524339 IBK524339:IBQ524339 ILG524339:ILM524339 IVC524339:IVI524339 JEY524339:JFE524339 JOU524339:JPA524339 JYQ524339:JYW524339 KIM524339:KIS524339 KSI524339:KSO524339 LCE524339:LCK524339 LMA524339:LMG524339 LVW524339:LWC524339 MFS524339:MFY524339 MPO524339:MPU524339 MZK524339:MZQ524339 NJG524339:NJM524339 NTC524339:NTI524339 OCY524339:ODE524339 OMU524339:ONA524339 OWQ524339:OWW524339 PGM524339:PGS524339 PQI524339:PQO524339 QAE524339:QAK524339 QKA524339:QKG524339 QTW524339:QUC524339 RDS524339:RDY524339 RNO524339:RNU524339 RXK524339:RXQ524339 SHG524339:SHM524339 SRC524339:SRI524339 TAY524339:TBE524339 TKU524339:TLA524339 TUQ524339:TUW524339 UEM524339:UES524339 UOI524339:UOO524339 UYE524339:UYK524339 VIA524339:VIG524339 VRW524339:VSC524339 WBS524339:WBY524339 WLO524339:WLU524339 WVK524339:WVQ524339 C589875:I589875 IY589875:JE589875 SU589875:TA589875 ACQ589875:ACW589875 AMM589875:AMS589875 AWI589875:AWO589875 BGE589875:BGK589875 BQA589875:BQG589875 BZW589875:CAC589875 CJS589875:CJY589875 CTO589875:CTU589875 DDK589875:DDQ589875 DNG589875:DNM589875 DXC589875:DXI589875 EGY589875:EHE589875 EQU589875:ERA589875 FAQ589875:FAW589875 FKM589875:FKS589875 FUI589875:FUO589875 GEE589875:GEK589875 GOA589875:GOG589875 GXW589875:GYC589875 HHS589875:HHY589875 HRO589875:HRU589875 IBK589875:IBQ589875 ILG589875:ILM589875 IVC589875:IVI589875 JEY589875:JFE589875 JOU589875:JPA589875 JYQ589875:JYW589875 KIM589875:KIS589875 KSI589875:KSO589875 LCE589875:LCK589875 LMA589875:LMG589875 LVW589875:LWC589875 MFS589875:MFY589875 MPO589875:MPU589875 MZK589875:MZQ589875 NJG589875:NJM589875 NTC589875:NTI589875 OCY589875:ODE589875 OMU589875:ONA589875 OWQ589875:OWW589875 PGM589875:PGS589875 PQI589875:PQO589875 QAE589875:QAK589875 QKA589875:QKG589875 QTW589875:QUC589875 RDS589875:RDY589875 RNO589875:RNU589875 RXK589875:RXQ589875 SHG589875:SHM589875 SRC589875:SRI589875 TAY589875:TBE589875 TKU589875:TLA589875 TUQ589875:TUW589875 UEM589875:UES589875 UOI589875:UOO589875 UYE589875:UYK589875 VIA589875:VIG589875 VRW589875:VSC589875 WBS589875:WBY589875 WLO589875:WLU589875 WVK589875:WVQ589875 C655411:I655411 IY655411:JE655411 SU655411:TA655411 ACQ655411:ACW655411 AMM655411:AMS655411 AWI655411:AWO655411 BGE655411:BGK655411 BQA655411:BQG655411 BZW655411:CAC655411 CJS655411:CJY655411 CTO655411:CTU655411 DDK655411:DDQ655411 DNG655411:DNM655411 DXC655411:DXI655411 EGY655411:EHE655411 EQU655411:ERA655411 FAQ655411:FAW655411 FKM655411:FKS655411 FUI655411:FUO655411 GEE655411:GEK655411 GOA655411:GOG655411 GXW655411:GYC655411 HHS655411:HHY655411 HRO655411:HRU655411 IBK655411:IBQ655411 ILG655411:ILM655411 IVC655411:IVI655411 JEY655411:JFE655411 JOU655411:JPA655411 JYQ655411:JYW655411 KIM655411:KIS655411 KSI655411:KSO655411 LCE655411:LCK655411 LMA655411:LMG655411 LVW655411:LWC655411 MFS655411:MFY655411 MPO655411:MPU655411 MZK655411:MZQ655411 NJG655411:NJM655411 NTC655411:NTI655411 OCY655411:ODE655411 OMU655411:ONA655411 OWQ655411:OWW655411 PGM655411:PGS655411 PQI655411:PQO655411 QAE655411:QAK655411 QKA655411:QKG655411 QTW655411:QUC655411 RDS655411:RDY655411 RNO655411:RNU655411 RXK655411:RXQ655411 SHG655411:SHM655411 SRC655411:SRI655411 TAY655411:TBE655411 TKU655411:TLA655411 TUQ655411:TUW655411 UEM655411:UES655411 UOI655411:UOO655411 UYE655411:UYK655411 VIA655411:VIG655411 VRW655411:VSC655411 WBS655411:WBY655411 WLO655411:WLU655411 WVK655411:WVQ655411 C720947:I720947 IY720947:JE720947 SU720947:TA720947 ACQ720947:ACW720947 AMM720947:AMS720947 AWI720947:AWO720947 BGE720947:BGK720947 BQA720947:BQG720947 BZW720947:CAC720947 CJS720947:CJY720947 CTO720947:CTU720947 DDK720947:DDQ720947 DNG720947:DNM720947 DXC720947:DXI720947 EGY720947:EHE720947 EQU720947:ERA720947 FAQ720947:FAW720947 FKM720947:FKS720947 FUI720947:FUO720947 GEE720947:GEK720947 GOA720947:GOG720947 GXW720947:GYC720947 HHS720947:HHY720947 HRO720947:HRU720947 IBK720947:IBQ720947 ILG720947:ILM720947 IVC720947:IVI720947 JEY720947:JFE720947 JOU720947:JPA720947 JYQ720947:JYW720947 KIM720947:KIS720947 KSI720947:KSO720947 LCE720947:LCK720947 LMA720947:LMG720947 LVW720947:LWC720947 MFS720947:MFY720947 MPO720947:MPU720947 MZK720947:MZQ720947 NJG720947:NJM720947 NTC720947:NTI720947 OCY720947:ODE720947 OMU720947:ONA720947 OWQ720947:OWW720947 PGM720947:PGS720947 PQI720947:PQO720947 QAE720947:QAK720947 QKA720947:QKG720947 QTW720947:QUC720947 RDS720947:RDY720947 RNO720947:RNU720947 RXK720947:RXQ720947 SHG720947:SHM720947 SRC720947:SRI720947 TAY720947:TBE720947 TKU720947:TLA720947 TUQ720947:TUW720947 UEM720947:UES720947 UOI720947:UOO720947 UYE720947:UYK720947 VIA720947:VIG720947 VRW720947:VSC720947 WBS720947:WBY720947 WLO720947:WLU720947 WVK720947:WVQ720947 C786483:I786483 IY786483:JE786483 SU786483:TA786483 ACQ786483:ACW786483 AMM786483:AMS786483 AWI786483:AWO786483 BGE786483:BGK786483 BQA786483:BQG786483 BZW786483:CAC786483 CJS786483:CJY786483 CTO786483:CTU786483 DDK786483:DDQ786483 DNG786483:DNM786483 DXC786483:DXI786483 EGY786483:EHE786483 EQU786483:ERA786483 FAQ786483:FAW786483 FKM786483:FKS786483 FUI786483:FUO786483 GEE786483:GEK786483 GOA786483:GOG786483 GXW786483:GYC786483 HHS786483:HHY786483 HRO786483:HRU786483 IBK786483:IBQ786483 ILG786483:ILM786483 IVC786483:IVI786483 JEY786483:JFE786483 JOU786483:JPA786483 JYQ786483:JYW786483 KIM786483:KIS786483 KSI786483:KSO786483 LCE786483:LCK786483 LMA786483:LMG786483 LVW786483:LWC786483 MFS786483:MFY786483 MPO786483:MPU786483 MZK786483:MZQ786483 NJG786483:NJM786483 NTC786483:NTI786483 OCY786483:ODE786483 OMU786483:ONA786483 OWQ786483:OWW786483 PGM786483:PGS786483 PQI786483:PQO786483 QAE786483:QAK786483 QKA786483:QKG786483 QTW786483:QUC786483 RDS786483:RDY786483 RNO786483:RNU786483 RXK786483:RXQ786483 SHG786483:SHM786483 SRC786483:SRI786483 TAY786483:TBE786483 TKU786483:TLA786483 TUQ786483:TUW786483 UEM786483:UES786483 UOI786483:UOO786483 UYE786483:UYK786483 VIA786483:VIG786483 VRW786483:VSC786483 WBS786483:WBY786483 WLO786483:WLU786483 WVK786483:WVQ786483 C852019:I852019 IY852019:JE852019 SU852019:TA852019 ACQ852019:ACW852019 AMM852019:AMS852019 AWI852019:AWO852019 BGE852019:BGK852019 BQA852019:BQG852019 BZW852019:CAC852019 CJS852019:CJY852019 CTO852019:CTU852019 DDK852019:DDQ852019 DNG852019:DNM852019 DXC852019:DXI852019 EGY852019:EHE852019 EQU852019:ERA852019 FAQ852019:FAW852019 FKM852019:FKS852019 FUI852019:FUO852019 GEE852019:GEK852019 GOA852019:GOG852019 GXW852019:GYC852019 HHS852019:HHY852019 HRO852019:HRU852019 IBK852019:IBQ852019 ILG852019:ILM852019 IVC852019:IVI852019 JEY852019:JFE852019 JOU852019:JPA852019 JYQ852019:JYW852019 KIM852019:KIS852019 KSI852019:KSO852019 LCE852019:LCK852019 LMA852019:LMG852019 LVW852019:LWC852019 MFS852019:MFY852019 MPO852019:MPU852019 MZK852019:MZQ852019 NJG852019:NJM852019 NTC852019:NTI852019 OCY852019:ODE852019 OMU852019:ONA852019 OWQ852019:OWW852019 PGM852019:PGS852019 PQI852019:PQO852019 QAE852019:QAK852019 QKA852019:QKG852019 QTW852019:QUC852019 RDS852019:RDY852019 RNO852019:RNU852019 RXK852019:RXQ852019 SHG852019:SHM852019 SRC852019:SRI852019 TAY852019:TBE852019 TKU852019:TLA852019 TUQ852019:TUW852019 UEM852019:UES852019 UOI852019:UOO852019 UYE852019:UYK852019 VIA852019:VIG852019 VRW852019:VSC852019 WBS852019:WBY852019 WLO852019:WLU852019 WVK852019:WVQ852019 C917555:I917555 IY917555:JE917555 SU917555:TA917555 ACQ917555:ACW917555 AMM917555:AMS917555 AWI917555:AWO917555 BGE917555:BGK917555 BQA917555:BQG917555 BZW917555:CAC917555 CJS917555:CJY917555 CTO917555:CTU917555 DDK917555:DDQ917555 DNG917555:DNM917555 DXC917555:DXI917555 EGY917555:EHE917555 EQU917555:ERA917555 FAQ917555:FAW917555 FKM917555:FKS917555 FUI917555:FUO917555 GEE917555:GEK917555 GOA917555:GOG917555 GXW917555:GYC917555 HHS917555:HHY917555 HRO917555:HRU917555 IBK917555:IBQ917555 ILG917555:ILM917555 IVC917555:IVI917555 JEY917555:JFE917555 JOU917555:JPA917555 JYQ917555:JYW917555 KIM917555:KIS917555 KSI917555:KSO917555 LCE917555:LCK917555 LMA917555:LMG917555 LVW917555:LWC917555 MFS917555:MFY917555 MPO917555:MPU917555 MZK917555:MZQ917555 NJG917555:NJM917555 NTC917555:NTI917555 OCY917555:ODE917555 OMU917555:ONA917555 OWQ917555:OWW917555 PGM917555:PGS917555 PQI917555:PQO917555 QAE917555:QAK917555 QKA917555:QKG917555 QTW917555:QUC917555 RDS917555:RDY917555 RNO917555:RNU917555 RXK917555:RXQ917555 SHG917555:SHM917555 SRC917555:SRI917555 TAY917555:TBE917555 TKU917555:TLA917555 TUQ917555:TUW917555 UEM917555:UES917555 UOI917555:UOO917555 UYE917555:UYK917555 VIA917555:VIG917555 VRW917555:VSC917555 WBS917555:WBY917555 WLO917555:WLU917555 WVK917555:WVQ917555 C983091:I983091 IY983091:JE983091 SU983091:TA983091 ACQ983091:ACW983091 AMM983091:AMS983091 AWI983091:AWO983091 BGE983091:BGK983091 BQA983091:BQG983091 BZW983091:CAC983091 CJS983091:CJY983091 CTO983091:CTU983091 DDK983091:DDQ983091 DNG983091:DNM983091 DXC983091:DXI983091 EGY983091:EHE983091 EQU983091:ERA983091 FAQ983091:FAW983091 FKM983091:FKS983091 FUI983091:FUO983091 GEE983091:GEK983091 GOA983091:GOG983091 GXW983091:GYC983091 HHS983091:HHY983091 HRO983091:HRU983091 IBK983091:IBQ983091 ILG983091:ILM983091 IVC983091:IVI983091 JEY983091:JFE983091 JOU983091:JPA983091 JYQ983091:JYW983091 KIM983091:KIS983091 KSI983091:KSO983091 LCE983091:LCK983091 LMA983091:LMG983091 LVW983091:LWC983091 MFS983091:MFY983091 MPO983091:MPU983091 MZK983091:MZQ983091 NJG983091:NJM983091 NTC983091:NTI983091 OCY983091:ODE983091 OMU983091:ONA983091 OWQ983091:OWW983091 PGM983091:PGS983091 PQI983091:PQO983091 QAE983091:QAK983091 QKA983091:QKG983091 QTW983091:QUC983091 RDS983091:RDY983091 RNO983091:RNU983091 RXK983091:RXQ983091 SHG983091:SHM983091 SRC983091:SRI983091 TAY983091:TBE983091 TKU983091:TLA983091 TUQ983091:TUW983091 UEM983091:UES983091 UOI983091:UOO983091 UYE983091:UYK983091 VIA983091:VIG983091 VRW983091:VSC983091 WBS983091:WBY983091 WLO983091:WLU983091 WVK983091:WVQ983091 C53:I53 IY53:JE53 SU53:TA53 ACQ53:ACW53 AMM53:AMS53 AWI53:AWO53 BGE53:BGK53 BQA53:BQG53 BZW53:CAC53 CJS53:CJY53 CTO53:CTU53 DDK53:DDQ53 DNG53:DNM53 DXC53:DXI53 EGY53:EHE53 EQU53:ERA53 FAQ53:FAW53 FKM53:FKS53 FUI53:FUO53 GEE53:GEK53 GOA53:GOG53 GXW53:GYC53 HHS53:HHY53 HRO53:HRU53 IBK53:IBQ53 ILG53:ILM53 IVC53:IVI53 JEY53:JFE53 JOU53:JPA53 JYQ53:JYW53 KIM53:KIS53 KSI53:KSO53 LCE53:LCK53 LMA53:LMG53 LVW53:LWC53 MFS53:MFY53 MPO53:MPU53 MZK53:MZQ53 NJG53:NJM53 NTC53:NTI53 OCY53:ODE53 OMU53:ONA53 OWQ53:OWW53 PGM53:PGS53 PQI53:PQO53 QAE53:QAK53 QKA53:QKG53 QTW53:QUC53 RDS53:RDY53 RNO53:RNU53 RXK53:RXQ53 SHG53:SHM53 SRC53:SRI53 TAY53:TBE53 TKU53:TLA53 TUQ53:TUW53 UEM53:UES53 UOI53:UOO53 UYE53:UYK53 VIA53:VIG53 VRW53:VSC53 WBS53:WBY53 WLO53:WLU53 WVK53:WVQ53 C65589:I65589 IY65589:JE65589 SU65589:TA65589 ACQ65589:ACW65589 AMM65589:AMS65589 AWI65589:AWO65589 BGE65589:BGK65589 BQA65589:BQG65589 BZW65589:CAC65589 CJS65589:CJY65589 CTO65589:CTU65589 DDK65589:DDQ65589 DNG65589:DNM65589 DXC65589:DXI65589 EGY65589:EHE65589 EQU65589:ERA65589 FAQ65589:FAW65589 FKM65589:FKS65589 FUI65589:FUO65589 GEE65589:GEK65589 GOA65589:GOG65589 GXW65589:GYC65589 HHS65589:HHY65589 HRO65589:HRU65589 IBK65589:IBQ65589 ILG65589:ILM65589 IVC65589:IVI65589 JEY65589:JFE65589 JOU65589:JPA65589 JYQ65589:JYW65589 KIM65589:KIS65589 KSI65589:KSO65589 LCE65589:LCK65589 LMA65589:LMG65589 LVW65589:LWC65589 MFS65589:MFY65589 MPO65589:MPU65589 MZK65589:MZQ65589 NJG65589:NJM65589 NTC65589:NTI65589 OCY65589:ODE65589 OMU65589:ONA65589 OWQ65589:OWW65589 PGM65589:PGS65589 PQI65589:PQO65589 QAE65589:QAK65589 QKA65589:QKG65589 QTW65589:QUC65589 RDS65589:RDY65589 RNO65589:RNU65589 RXK65589:RXQ65589 SHG65589:SHM65589 SRC65589:SRI65589 TAY65589:TBE65589 TKU65589:TLA65589 TUQ65589:TUW65589 UEM65589:UES65589 UOI65589:UOO65589 UYE65589:UYK65589 VIA65589:VIG65589 VRW65589:VSC65589 WBS65589:WBY65589 WLO65589:WLU65589 WVK65589:WVQ65589 C131125:I131125 IY131125:JE131125 SU131125:TA131125 ACQ131125:ACW131125 AMM131125:AMS131125 AWI131125:AWO131125 BGE131125:BGK131125 BQA131125:BQG131125 BZW131125:CAC131125 CJS131125:CJY131125 CTO131125:CTU131125 DDK131125:DDQ131125 DNG131125:DNM131125 DXC131125:DXI131125 EGY131125:EHE131125 EQU131125:ERA131125 FAQ131125:FAW131125 FKM131125:FKS131125 FUI131125:FUO131125 GEE131125:GEK131125 GOA131125:GOG131125 GXW131125:GYC131125 HHS131125:HHY131125 HRO131125:HRU131125 IBK131125:IBQ131125 ILG131125:ILM131125 IVC131125:IVI131125 JEY131125:JFE131125 JOU131125:JPA131125 JYQ131125:JYW131125 KIM131125:KIS131125 KSI131125:KSO131125 LCE131125:LCK131125 LMA131125:LMG131125 LVW131125:LWC131125 MFS131125:MFY131125 MPO131125:MPU131125 MZK131125:MZQ131125 NJG131125:NJM131125 NTC131125:NTI131125 OCY131125:ODE131125 OMU131125:ONA131125 OWQ131125:OWW131125 PGM131125:PGS131125 PQI131125:PQO131125 QAE131125:QAK131125 QKA131125:QKG131125 QTW131125:QUC131125 RDS131125:RDY131125 RNO131125:RNU131125 RXK131125:RXQ131125 SHG131125:SHM131125 SRC131125:SRI131125 TAY131125:TBE131125 TKU131125:TLA131125 TUQ131125:TUW131125 UEM131125:UES131125 UOI131125:UOO131125 UYE131125:UYK131125 VIA131125:VIG131125 VRW131125:VSC131125 WBS131125:WBY131125 WLO131125:WLU131125 WVK131125:WVQ131125 C196661:I196661 IY196661:JE196661 SU196661:TA196661 ACQ196661:ACW196661 AMM196661:AMS196661 AWI196661:AWO196661 BGE196661:BGK196661 BQA196661:BQG196661 BZW196661:CAC196661 CJS196661:CJY196661 CTO196661:CTU196661 DDK196661:DDQ196661 DNG196661:DNM196661 DXC196661:DXI196661 EGY196661:EHE196661 EQU196661:ERA196661 FAQ196661:FAW196661 FKM196661:FKS196661 FUI196661:FUO196661 GEE196661:GEK196661 GOA196661:GOG196661 GXW196661:GYC196661 HHS196661:HHY196661 HRO196661:HRU196661 IBK196661:IBQ196661 ILG196661:ILM196661 IVC196661:IVI196661 JEY196661:JFE196661 JOU196661:JPA196661 JYQ196661:JYW196661 KIM196661:KIS196661 KSI196661:KSO196661 LCE196661:LCK196661 LMA196661:LMG196661 LVW196661:LWC196661 MFS196661:MFY196661 MPO196661:MPU196661 MZK196661:MZQ196661 NJG196661:NJM196661 NTC196661:NTI196661 OCY196661:ODE196661 OMU196661:ONA196661 OWQ196661:OWW196661 PGM196661:PGS196661 PQI196661:PQO196661 QAE196661:QAK196661 QKA196661:QKG196661 QTW196661:QUC196661 RDS196661:RDY196661 RNO196661:RNU196661 RXK196661:RXQ196661 SHG196661:SHM196661 SRC196661:SRI196661 TAY196661:TBE196661 TKU196661:TLA196661 TUQ196661:TUW196661 UEM196661:UES196661 UOI196661:UOO196661 UYE196661:UYK196661 VIA196661:VIG196661 VRW196661:VSC196661 WBS196661:WBY196661 WLO196661:WLU196661 WVK196661:WVQ196661 C262197:I262197 IY262197:JE262197 SU262197:TA262197 ACQ262197:ACW262197 AMM262197:AMS262197 AWI262197:AWO262197 BGE262197:BGK262197 BQA262197:BQG262197 BZW262197:CAC262197 CJS262197:CJY262197 CTO262197:CTU262197 DDK262197:DDQ262197 DNG262197:DNM262197 DXC262197:DXI262197 EGY262197:EHE262197 EQU262197:ERA262197 FAQ262197:FAW262197 FKM262197:FKS262197 FUI262197:FUO262197 GEE262197:GEK262197 GOA262197:GOG262197 GXW262197:GYC262197 HHS262197:HHY262197 HRO262197:HRU262197 IBK262197:IBQ262197 ILG262197:ILM262197 IVC262197:IVI262197 JEY262197:JFE262197 JOU262197:JPA262197 JYQ262197:JYW262197 KIM262197:KIS262197 KSI262197:KSO262197 LCE262197:LCK262197 LMA262197:LMG262197 LVW262197:LWC262197 MFS262197:MFY262197 MPO262197:MPU262197 MZK262197:MZQ262197 NJG262197:NJM262197 NTC262197:NTI262197 OCY262197:ODE262197 OMU262197:ONA262197 OWQ262197:OWW262197 PGM262197:PGS262197 PQI262197:PQO262197 QAE262197:QAK262197 QKA262197:QKG262197 QTW262197:QUC262197 RDS262197:RDY262197 RNO262197:RNU262197 RXK262197:RXQ262197 SHG262197:SHM262197 SRC262197:SRI262197 TAY262197:TBE262197 TKU262197:TLA262197 TUQ262197:TUW262197 UEM262197:UES262197 UOI262197:UOO262197 UYE262197:UYK262197 VIA262197:VIG262197 VRW262197:VSC262197 WBS262197:WBY262197 WLO262197:WLU262197 WVK262197:WVQ262197 C327733:I327733 IY327733:JE327733 SU327733:TA327733 ACQ327733:ACW327733 AMM327733:AMS327733 AWI327733:AWO327733 BGE327733:BGK327733 BQA327733:BQG327733 BZW327733:CAC327733 CJS327733:CJY327733 CTO327733:CTU327733 DDK327733:DDQ327733 DNG327733:DNM327733 DXC327733:DXI327733 EGY327733:EHE327733 EQU327733:ERA327733 FAQ327733:FAW327733 FKM327733:FKS327733 FUI327733:FUO327733 GEE327733:GEK327733 GOA327733:GOG327733 GXW327733:GYC327733 HHS327733:HHY327733 HRO327733:HRU327733 IBK327733:IBQ327733 ILG327733:ILM327733 IVC327733:IVI327733 JEY327733:JFE327733 JOU327733:JPA327733 JYQ327733:JYW327733 KIM327733:KIS327733 KSI327733:KSO327733 LCE327733:LCK327733 LMA327733:LMG327733 LVW327733:LWC327733 MFS327733:MFY327733 MPO327733:MPU327733 MZK327733:MZQ327733 NJG327733:NJM327733 NTC327733:NTI327733 OCY327733:ODE327733 OMU327733:ONA327733 OWQ327733:OWW327733 PGM327733:PGS327733 PQI327733:PQO327733 QAE327733:QAK327733 QKA327733:QKG327733 QTW327733:QUC327733 RDS327733:RDY327733 RNO327733:RNU327733 RXK327733:RXQ327733 SHG327733:SHM327733 SRC327733:SRI327733 TAY327733:TBE327733 TKU327733:TLA327733 TUQ327733:TUW327733 UEM327733:UES327733 UOI327733:UOO327733 UYE327733:UYK327733 VIA327733:VIG327733 VRW327733:VSC327733 WBS327733:WBY327733 WLO327733:WLU327733 WVK327733:WVQ327733 C393269:I393269 IY393269:JE393269 SU393269:TA393269 ACQ393269:ACW393269 AMM393269:AMS393269 AWI393269:AWO393269 BGE393269:BGK393269 BQA393269:BQG393269 BZW393269:CAC393269 CJS393269:CJY393269 CTO393269:CTU393269 DDK393269:DDQ393269 DNG393269:DNM393269 DXC393269:DXI393269 EGY393269:EHE393269 EQU393269:ERA393269 FAQ393269:FAW393269 FKM393269:FKS393269 FUI393269:FUO393269 GEE393269:GEK393269 GOA393269:GOG393269 GXW393269:GYC393269 HHS393269:HHY393269 HRO393269:HRU393269 IBK393269:IBQ393269 ILG393269:ILM393269 IVC393269:IVI393269 JEY393269:JFE393269 JOU393269:JPA393269 JYQ393269:JYW393269 KIM393269:KIS393269 KSI393269:KSO393269 LCE393269:LCK393269 LMA393269:LMG393269 LVW393269:LWC393269 MFS393269:MFY393269 MPO393269:MPU393269 MZK393269:MZQ393269 NJG393269:NJM393269 NTC393269:NTI393269 OCY393269:ODE393269 OMU393269:ONA393269 OWQ393269:OWW393269 PGM393269:PGS393269 PQI393269:PQO393269 QAE393269:QAK393269 QKA393269:QKG393269 QTW393269:QUC393269 RDS393269:RDY393269 RNO393269:RNU393269 RXK393269:RXQ393269 SHG393269:SHM393269 SRC393269:SRI393269 TAY393269:TBE393269 TKU393269:TLA393269 TUQ393269:TUW393269 UEM393269:UES393269 UOI393269:UOO393269 UYE393269:UYK393269 VIA393269:VIG393269 VRW393269:VSC393269 WBS393269:WBY393269 WLO393269:WLU393269 WVK393269:WVQ393269 C458805:I458805 IY458805:JE458805 SU458805:TA458805 ACQ458805:ACW458805 AMM458805:AMS458805 AWI458805:AWO458805 BGE458805:BGK458805 BQA458805:BQG458805 BZW458805:CAC458805 CJS458805:CJY458805 CTO458805:CTU458805 DDK458805:DDQ458805 DNG458805:DNM458805 DXC458805:DXI458805 EGY458805:EHE458805 EQU458805:ERA458805 FAQ458805:FAW458805 FKM458805:FKS458805 FUI458805:FUO458805 GEE458805:GEK458805 GOA458805:GOG458805 GXW458805:GYC458805 HHS458805:HHY458805 HRO458805:HRU458805 IBK458805:IBQ458805 ILG458805:ILM458805 IVC458805:IVI458805 JEY458805:JFE458805 JOU458805:JPA458805 JYQ458805:JYW458805 KIM458805:KIS458805 KSI458805:KSO458805 LCE458805:LCK458805 LMA458805:LMG458805 LVW458805:LWC458805 MFS458805:MFY458805 MPO458805:MPU458805 MZK458805:MZQ458805 NJG458805:NJM458805 NTC458805:NTI458805 OCY458805:ODE458805 OMU458805:ONA458805 OWQ458805:OWW458805 PGM458805:PGS458805 PQI458805:PQO458805 QAE458805:QAK458805 QKA458805:QKG458805 QTW458805:QUC458805 RDS458805:RDY458805 RNO458805:RNU458805 RXK458805:RXQ458805 SHG458805:SHM458805 SRC458805:SRI458805 TAY458805:TBE458805 TKU458805:TLA458805 TUQ458805:TUW458805 UEM458805:UES458805 UOI458805:UOO458805 UYE458805:UYK458805 VIA458805:VIG458805 VRW458805:VSC458805 WBS458805:WBY458805 WLO458805:WLU458805 WVK458805:WVQ458805 C524341:I524341 IY524341:JE524341 SU524341:TA524341 ACQ524341:ACW524341 AMM524341:AMS524341 AWI524341:AWO524341 BGE524341:BGK524341 BQA524341:BQG524341 BZW524341:CAC524341 CJS524341:CJY524341 CTO524341:CTU524341 DDK524341:DDQ524341 DNG524341:DNM524341 DXC524341:DXI524341 EGY524341:EHE524341 EQU524341:ERA524341 FAQ524341:FAW524341 FKM524341:FKS524341 FUI524341:FUO524341 GEE524341:GEK524341 GOA524341:GOG524341 GXW524341:GYC524341 HHS524341:HHY524341 HRO524341:HRU524341 IBK524341:IBQ524341 ILG524341:ILM524341 IVC524341:IVI524341 JEY524341:JFE524341 JOU524341:JPA524341 JYQ524341:JYW524341 KIM524341:KIS524341 KSI524341:KSO524341 LCE524341:LCK524341 LMA524341:LMG524341 LVW524341:LWC524341 MFS524341:MFY524341 MPO524341:MPU524341 MZK524341:MZQ524341 NJG524341:NJM524341 NTC524341:NTI524341 OCY524341:ODE524341 OMU524341:ONA524341 OWQ524341:OWW524341 PGM524341:PGS524341 PQI524341:PQO524341 QAE524341:QAK524341 QKA524341:QKG524341 QTW524341:QUC524341 RDS524341:RDY524341 RNO524341:RNU524341 RXK524341:RXQ524341 SHG524341:SHM524341 SRC524341:SRI524341 TAY524341:TBE524341 TKU524341:TLA524341 TUQ524341:TUW524341 UEM524341:UES524341 UOI524341:UOO524341 UYE524341:UYK524341 VIA524341:VIG524341 VRW524341:VSC524341 WBS524341:WBY524341 WLO524341:WLU524341 WVK524341:WVQ524341 C589877:I589877 IY589877:JE589877 SU589877:TA589877 ACQ589877:ACW589877 AMM589877:AMS589877 AWI589877:AWO589877 BGE589877:BGK589877 BQA589877:BQG589877 BZW589877:CAC589877 CJS589877:CJY589877 CTO589877:CTU589877 DDK589877:DDQ589877 DNG589877:DNM589877 DXC589877:DXI589877 EGY589877:EHE589877 EQU589877:ERA589877 FAQ589877:FAW589877 FKM589877:FKS589877 FUI589877:FUO589877 GEE589877:GEK589877 GOA589877:GOG589877 GXW589877:GYC589877 HHS589877:HHY589877 HRO589877:HRU589877 IBK589877:IBQ589877 ILG589877:ILM589877 IVC589877:IVI589877 JEY589877:JFE589877 JOU589877:JPA589877 JYQ589877:JYW589877 KIM589877:KIS589877 KSI589877:KSO589877 LCE589877:LCK589877 LMA589877:LMG589877 LVW589877:LWC589877 MFS589877:MFY589877 MPO589877:MPU589877 MZK589877:MZQ589877 NJG589877:NJM589877 NTC589877:NTI589877 OCY589877:ODE589877 OMU589877:ONA589877 OWQ589877:OWW589877 PGM589877:PGS589877 PQI589877:PQO589877 QAE589877:QAK589877 QKA589877:QKG589877 QTW589877:QUC589877 RDS589877:RDY589877 RNO589877:RNU589877 RXK589877:RXQ589877 SHG589877:SHM589877 SRC589877:SRI589877 TAY589877:TBE589877 TKU589877:TLA589877 TUQ589877:TUW589877 UEM589877:UES589877 UOI589877:UOO589877 UYE589877:UYK589877 VIA589877:VIG589877 VRW589877:VSC589877 WBS589877:WBY589877 WLO589877:WLU589877 WVK589877:WVQ589877 C655413:I655413 IY655413:JE655413 SU655413:TA655413 ACQ655413:ACW655413 AMM655413:AMS655413 AWI655413:AWO655413 BGE655413:BGK655413 BQA655413:BQG655413 BZW655413:CAC655413 CJS655413:CJY655413 CTO655413:CTU655413 DDK655413:DDQ655413 DNG655413:DNM655413 DXC655413:DXI655413 EGY655413:EHE655413 EQU655413:ERA655413 FAQ655413:FAW655413 FKM655413:FKS655413 FUI655413:FUO655413 GEE655413:GEK655413 GOA655413:GOG655413 GXW655413:GYC655413 HHS655413:HHY655413 HRO655413:HRU655413 IBK655413:IBQ655413 ILG655413:ILM655413 IVC655413:IVI655413 JEY655413:JFE655413 JOU655413:JPA655413 JYQ655413:JYW655413 KIM655413:KIS655413 KSI655413:KSO655413 LCE655413:LCK655413 LMA655413:LMG655413 LVW655413:LWC655413 MFS655413:MFY655413 MPO655413:MPU655413 MZK655413:MZQ655413 NJG655413:NJM655413 NTC655413:NTI655413 OCY655413:ODE655413 OMU655413:ONA655413 OWQ655413:OWW655413 PGM655413:PGS655413 PQI655413:PQO655413 QAE655413:QAK655413 QKA655413:QKG655413 QTW655413:QUC655413 RDS655413:RDY655413 RNO655413:RNU655413 RXK655413:RXQ655413 SHG655413:SHM655413 SRC655413:SRI655413 TAY655413:TBE655413 TKU655413:TLA655413 TUQ655413:TUW655413 UEM655413:UES655413 UOI655413:UOO655413 UYE655413:UYK655413 VIA655413:VIG655413 VRW655413:VSC655413 WBS655413:WBY655413 WLO655413:WLU655413 WVK655413:WVQ655413 C720949:I720949 IY720949:JE720949 SU720949:TA720949 ACQ720949:ACW720949 AMM720949:AMS720949 AWI720949:AWO720949 BGE720949:BGK720949 BQA720949:BQG720949 BZW720949:CAC720949 CJS720949:CJY720949 CTO720949:CTU720949 DDK720949:DDQ720949 DNG720949:DNM720949 DXC720949:DXI720949 EGY720949:EHE720949 EQU720949:ERA720949 FAQ720949:FAW720949 FKM720949:FKS720949 FUI720949:FUO720949 GEE720949:GEK720949 GOA720949:GOG720949 GXW720949:GYC720949 HHS720949:HHY720949 HRO720949:HRU720949 IBK720949:IBQ720949 ILG720949:ILM720949 IVC720949:IVI720949 JEY720949:JFE720949 JOU720949:JPA720949 JYQ720949:JYW720949 KIM720949:KIS720949 KSI720949:KSO720949 LCE720949:LCK720949 LMA720949:LMG720949 LVW720949:LWC720949 MFS720949:MFY720949 MPO720949:MPU720949 MZK720949:MZQ720949 NJG720949:NJM720949 NTC720949:NTI720949 OCY720949:ODE720949 OMU720949:ONA720949 OWQ720949:OWW720949 PGM720949:PGS720949 PQI720949:PQO720949 QAE720949:QAK720949 QKA720949:QKG720949 QTW720949:QUC720949 RDS720949:RDY720949 RNO720949:RNU720949 RXK720949:RXQ720949 SHG720949:SHM720949 SRC720949:SRI720949 TAY720949:TBE720949 TKU720949:TLA720949 TUQ720949:TUW720949 UEM720949:UES720949 UOI720949:UOO720949 UYE720949:UYK720949 VIA720949:VIG720949 VRW720949:VSC720949 WBS720949:WBY720949 WLO720949:WLU720949 WVK720949:WVQ720949 C786485:I786485 IY786485:JE786485 SU786485:TA786485 ACQ786485:ACW786485 AMM786485:AMS786485 AWI786485:AWO786485 BGE786485:BGK786485 BQA786485:BQG786485 BZW786485:CAC786485 CJS786485:CJY786485 CTO786485:CTU786485 DDK786485:DDQ786485 DNG786485:DNM786485 DXC786485:DXI786485 EGY786485:EHE786485 EQU786485:ERA786485 FAQ786485:FAW786485 FKM786485:FKS786485 FUI786485:FUO786485 GEE786485:GEK786485 GOA786485:GOG786485 GXW786485:GYC786485 HHS786485:HHY786485 HRO786485:HRU786485 IBK786485:IBQ786485 ILG786485:ILM786485 IVC786485:IVI786485 JEY786485:JFE786485 JOU786485:JPA786485 JYQ786485:JYW786485 KIM786485:KIS786485 KSI786485:KSO786485 LCE786485:LCK786485 LMA786485:LMG786485 LVW786485:LWC786485 MFS786485:MFY786485 MPO786485:MPU786485 MZK786485:MZQ786485 NJG786485:NJM786485 NTC786485:NTI786485 OCY786485:ODE786485 OMU786485:ONA786485 OWQ786485:OWW786485 PGM786485:PGS786485 PQI786485:PQO786485 QAE786485:QAK786485 QKA786485:QKG786485 QTW786485:QUC786485 RDS786485:RDY786485 RNO786485:RNU786485 RXK786485:RXQ786485 SHG786485:SHM786485 SRC786485:SRI786485 TAY786485:TBE786485 TKU786485:TLA786485 TUQ786485:TUW786485 UEM786485:UES786485 UOI786485:UOO786485 UYE786485:UYK786485 VIA786485:VIG786485 VRW786485:VSC786485 WBS786485:WBY786485 WLO786485:WLU786485 WVK786485:WVQ786485 C852021:I852021 IY852021:JE852021 SU852021:TA852021 ACQ852021:ACW852021 AMM852021:AMS852021 AWI852021:AWO852021 BGE852021:BGK852021 BQA852021:BQG852021 BZW852021:CAC852021 CJS852021:CJY852021 CTO852021:CTU852021 DDK852021:DDQ852021 DNG852021:DNM852021 DXC852021:DXI852021 EGY852021:EHE852021 EQU852021:ERA852021 FAQ852021:FAW852021 FKM852021:FKS852021 FUI852021:FUO852021 GEE852021:GEK852021 GOA852021:GOG852021 GXW852021:GYC852021 HHS852021:HHY852021 HRO852021:HRU852021 IBK852021:IBQ852021 ILG852021:ILM852021 IVC852021:IVI852021 JEY852021:JFE852021 JOU852021:JPA852021 JYQ852021:JYW852021 KIM852021:KIS852021 KSI852021:KSO852021 LCE852021:LCK852021 LMA852021:LMG852021 LVW852021:LWC852021 MFS852021:MFY852021 MPO852021:MPU852021 MZK852021:MZQ852021 NJG852021:NJM852021 NTC852021:NTI852021 OCY852021:ODE852021 OMU852021:ONA852021 OWQ852021:OWW852021 PGM852021:PGS852021 PQI852021:PQO852021 QAE852021:QAK852021 QKA852021:QKG852021 QTW852021:QUC852021 RDS852021:RDY852021 RNO852021:RNU852021 RXK852021:RXQ852021 SHG852021:SHM852021 SRC852021:SRI852021 TAY852021:TBE852021 TKU852021:TLA852021 TUQ852021:TUW852021 UEM852021:UES852021 UOI852021:UOO852021 UYE852021:UYK852021 VIA852021:VIG852021 VRW852021:VSC852021 WBS852021:WBY852021 WLO852021:WLU852021 WVK852021:WVQ852021 C917557:I917557 IY917557:JE917557 SU917557:TA917557 ACQ917557:ACW917557 AMM917557:AMS917557 AWI917557:AWO917557 BGE917557:BGK917557 BQA917557:BQG917557 BZW917557:CAC917557 CJS917557:CJY917557 CTO917557:CTU917557 DDK917557:DDQ917557 DNG917557:DNM917557 DXC917557:DXI917557 EGY917557:EHE917557 EQU917557:ERA917557 FAQ917557:FAW917557 FKM917557:FKS917557 FUI917557:FUO917557 GEE917557:GEK917557 GOA917557:GOG917557 GXW917557:GYC917557 HHS917557:HHY917557 HRO917557:HRU917557 IBK917557:IBQ917557 ILG917557:ILM917557 IVC917557:IVI917557 JEY917557:JFE917557 JOU917557:JPA917557 JYQ917557:JYW917557 KIM917557:KIS917557 KSI917557:KSO917557 LCE917557:LCK917557 LMA917557:LMG917557 LVW917557:LWC917557 MFS917557:MFY917557 MPO917557:MPU917557 MZK917557:MZQ917557 NJG917557:NJM917557 NTC917557:NTI917557 OCY917557:ODE917557 OMU917557:ONA917557 OWQ917557:OWW917557 PGM917557:PGS917557 PQI917557:PQO917557 QAE917557:QAK917557 QKA917557:QKG917557 QTW917557:QUC917557 RDS917557:RDY917557 RNO917557:RNU917557 RXK917557:RXQ917557 SHG917557:SHM917557 SRC917557:SRI917557 TAY917557:TBE917557 TKU917557:TLA917557 TUQ917557:TUW917557 UEM917557:UES917557 UOI917557:UOO917557 UYE917557:UYK917557 VIA917557:VIG917557 VRW917557:VSC917557 WBS917557:WBY917557 WLO917557:WLU917557 WVK917557:WVQ917557 C983093:I983093 IY983093:JE983093 SU983093:TA983093 ACQ983093:ACW983093 AMM983093:AMS983093 AWI983093:AWO983093 BGE983093:BGK983093 BQA983093:BQG983093 BZW983093:CAC983093 CJS983093:CJY983093 CTO983093:CTU983093 DDK983093:DDQ983093 DNG983093:DNM983093 DXC983093:DXI983093 EGY983093:EHE983093 EQU983093:ERA983093 FAQ983093:FAW983093 FKM983093:FKS983093 FUI983093:FUO983093 GEE983093:GEK983093 GOA983093:GOG983093 GXW983093:GYC983093 HHS983093:HHY983093 HRO983093:HRU983093 IBK983093:IBQ983093 ILG983093:ILM983093 IVC983093:IVI983093 JEY983093:JFE983093 JOU983093:JPA983093 JYQ983093:JYW983093 KIM983093:KIS983093 KSI983093:KSO983093 LCE983093:LCK983093 LMA983093:LMG983093 LVW983093:LWC983093 MFS983093:MFY983093 MPO983093:MPU983093 MZK983093:MZQ983093 NJG983093:NJM983093 NTC983093:NTI983093 OCY983093:ODE983093 OMU983093:ONA983093 OWQ983093:OWW983093 PGM983093:PGS983093 PQI983093:PQO983093 QAE983093:QAK983093 QKA983093:QKG983093 QTW983093:QUC983093 RDS983093:RDY983093 RNO983093:RNU983093 RXK983093:RXQ983093 SHG983093:SHM983093 SRC983093:SRI983093 TAY983093:TBE983093 TKU983093:TLA983093 TUQ983093:TUW983093 UEM983093:UES983093 UOI983093:UOO983093 UYE983093:UYK983093 VIA983093:VIG983093 VRW983093:VSC983093 WBS983093:WBY983093 WLO983093:WLU983093 WVK983093:WVQ983093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9"/>
  </sheetPr>
  <dimension ref="A1:V162"/>
  <sheetViews>
    <sheetView view="pageBreakPreview" topLeftCell="A32" zoomScale="90" zoomScaleNormal="100" zoomScaleSheetLayoutView="90" workbookViewId="0">
      <selection activeCell="T44" sqref="T44"/>
    </sheetView>
  </sheetViews>
  <sheetFormatPr defaultRowHeight="13.2"/>
  <cols>
    <col min="1" max="1" width="5.6640625" style="185" customWidth="1" collapsed="1"/>
    <col min="2" max="16" width="5.109375" style="185" customWidth="1" collapsed="1"/>
    <col min="17" max="21" width="9.109375" style="185" customWidth="1" collapsed="1"/>
    <col min="22" max="256" width="9" style="185" collapsed="1"/>
    <col min="257" max="257" width="5.6640625" style="185" customWidth="1" collapsed="1"/>
    <col min="258" max="272" width="5.109375" style="185" customWidth="1" collapsed="1"/>
    <col min="273" max="277" width="9.109375" style="185" customWidth="1" collapsed="1"/>
    <col min="278" max="512" width="9" style="185" collapsed="1"/>
    <col min="513" max="513" width="5.6640625" style="185" customWidth="1" collapsed="1"/>
    <col min="514" max="528" width="5.109375" style="185" customWidth="1" collapsed="1"/>
    <col min="529" max="533" width="9.109375" style="185" customWidth="1" collapsed="1"/>
    <col min="534" max="768" width="9" style="185" collapsed="1"/>
    <col min="769" max="769" width="5.6640625" style="185" customWidth="1" collapsed="1"/>
    <col min="770" max="784" width="5.109375" style="185" customWidth="1" collapsed="1"/>
    <col min="785" max="789" width="9.109375" style="185" customWidth="1" collapsed="1"/>
    <col min="790" max="1024" width="9" style="185" collapsed="1"/>
    <col min="1025" max="1025" width="5.6640625" style="185" customWidth="1" collapsed="1"/>
    <col min="1026" max="1040" width="5.109375" style="185" customWidth="1" collapsed="1"/>
    <col min="1041" max="1045" width="9.109375" style="185" customWidth="1" collapsed="1"/>
    <col min="1046" max="1280" width="9" style="185" collapsed="1"/>
    <col min="1281" max="1281" width="5.6640625" style="185" customWidth="1" collapsed="1"/>
    <col min="1282" max="1296" width="5.109375" style="185" customWidth="1" collapsed="1"/>
    <col min="1297" max="1301" width="9.109375" style="185" customWidth="1" collapsed="1"/>
    <col min="1302" max="1536" width="9" style="185" collapsed="1"/>
    <col min="1537" max="1537" width="5.6640625" style="185" customWidth="1" collapsed="1"/>
    <col min="1538" max="1552" width="5.109375" style="185" customWidth="1" collapsed="1"/>
    <col min="1553" max="1557" width="9.109375" style="185" customWidth="1" collapsed="1"/>
    <col min="1558" max="1792" width="9" style="185" collapsed="1"/>
    <col min="1793" max="1793" width="5.6640625" style="185" customWidth="1" collapsed="1"/>
    <col min="1794" max="1808" width="5.109375" style="185" customWidth="1" collapsed="1"/>
    <col min="1809" max="1813" width="9.109375" style="185" customWidth="1" collapsed="1"/>
    <col min="1814" max="2048" width="9" style="185" collapsed="1"/>
    <col min="2049" max="2049" width="5.6640625" style="185" customWidth="1" collapsed="1"/>
    <col min="2050" max="2064" width="5.109375" style="185" customWidth="1" collapsed="1"/>
    <col min="2065" max="2069" width="9.109375" style="185" customWidth="1" collapsed="1"/>
    <col min="2070" max="2304" width="9" style="185" collapsed="1"/>
    <col min="2305" max="2305" width="5.6640625" style="185" customWidth="1" collapsed="1"/>
    <col min="2306" max="2320" width="5.109375" style="185" customWidth="1" collapsed="1"/>
    <col min="2321" max="2325" width="9.109375" style="185" customWidth="1" collapsed="1"/>
    <col min="2326" max="2560" width="9" style="185" collapsed="1"/>
    <col min="2561" max="2561" width="5.6640625" style="185" customWidth="1" collapsed="1"/>
    <col min="2562" max="2576" width="5.109375" style="185" customWidth="1" collapsed="1"/>
    <col min="2577" max="2581" width="9.109375" style="185" customWidth="1" collapsed="1"/>
    <col min="2582" max="2816" width="9" style="185" collapsed="1"/>
    <col min="2817" max="2817" width="5.6640625" style="185" customWidth="1" collapsed="1"/>
    <col min="2818" max="2832" width="5.109375" style="185" customWidth="1" collapsed="1"/>
    <col min="2833" max="2837" width="9.109375" style="185" customWidth="1" collapsed="1"/>
    <col min="2838" max="3072" width="9" style="185" collapsed="1"/>
    <col min="3073" max="3073" width="5.6640625" style="185" customWidth="1" collapsed="1"/>
    <col min="3074" max="3088" width="5.109375" style="185" customWidth="1" collapsed="1"/>
    <col min="3089" max="3093" width="9.109375" style="185" customWidth="1" collapsed="1"/>
    <col min="3094" max="3328" width="9" style="185" collapsed="1"/>
    <col min="3329" max="3329" width="5.6640625" style="185" customWidth="1" collapsed="1"/>
    <col min="3330" max="3344" width="5.109375" style="185" customWidth="1" collapsed="1"/>
    <col min="3345" max="3349" width="9.109375" style="185" customWidth="1" collapsed="1"/>
    <col min="3350" max="3584" width="9" style="185" collapsed="1"/>
    <col min="3585" max="3585" width="5.6640625" style="185" customWidth="1" collapsed="1"/>
    <col min="3586" max="3600" width="5.109375" style="185" customWidth="1" collapsed="1"/>
    <col min="3601" max="3605" width="9.109375" style="185" customWidth="1" collapsed="1"/>
    <col min="3606" max="3840" width="9" style="185" collapsed="1"/>
    <col min="3841" max="3841" width="5.6640625" style="185" customWidth="1" collapsed="1"/>
    <col min="3842" max="3856" width="5.109375" style="185" customWidth="1" collapsed="1"/>
    <col min="3857" max="3861" width="9.109375" style="185" customWidth="1" collapsed="1"/>
    <col min="3862" max="4096" width="9" style="185" collapsed="1"/>
    <col min="4097" max="4097" width="5.6640625" style="185" customWidth="1" collapsed="1"/>
    <col min="4098" max="4112" width="5.109375" style="185" customWidth="1" collapsed="1"/>
    <col min="4113" max="4117" width="9.109375" style="185" customWidth="1" collapsed="1"/>
    <col min="4118" max="4352" width="9" style="185" collapsed="1"/>
    <col min="4353" max="4353" width="5.6640625" style="185" customWidth="1" collapsed="1"/>
    <col min="4354" max="4368" width="5.109375" style="185" customWidth="1" collapsed="1"/>
    <col min="4369" max="4373" width="9.109375" style="185" customWidth="1" collapsed="1"/>
    <col min="4374" max="4608" width="9" style="185" collapsed="1"/>
    <col min="4609" max="4609" width="5.6640625" style="185" customWidth="1" collapsed="1"/>
    <col min="4610" max="4624" width="5.109375" style="185" customWidth="1" collapsed="1"/>
    <col min="4625" max="4629" width="9.109375" style="185" customWidth="1" collapsed="1"/>
    <col min="4630" max="4864" width="9" style="185" collapsed="1"/>
    <col min="4865" max="4865" width="5.6640625" style="185" customWidth="1" collapsed="1"/>
    <col min="4866" max="4880" width="5.109375" style="185" customWidth="1" collapsed="1"/>
    <col min="4881" max="4885" width="9.109375" style="185" customWidth="1" collapsed="1"/>
    <col min="4886" max="5120" width="9" style="185" collapsed="1"/>
    <col min="5121" max="5121" width="5.6640625" style="185" customWidth="1" collapsed="1"/>
    <col min="5122" max="5136" width="5.109375" style="185" customWidth="1" collapsed="1"/>
    <col min="5137" max="5141" width="9.109375" style="185" customWidth="1" collapsed="1"/>
    <col min="5142" max="5376" width="9" style="185" collapsed="1"/>
    <col min="5377" max="5377" width="5.6640625" style="185" customWidth="1" collapsed="1"/>
    <col min="5378" max="5392" width="5.109375" style="185" customWidth="1" collapsed="1"/>
    <col min="5393" max="5397" width="9.109375" style="185" customWidth="1" collapsed="1"/>
    <col min="5398" max="5632" width="9" style="185" collapsed="1"/>
    <col min="5633" max="5633" width="5.6640625" style="185" customWidth="1" collapsed="1"/>
    <col min="5634" max="5648" width="5.109375" style="185" customWidth="1" collapsed="1"/>
    <col min="5649" max="5653" width="9.109375" style="185" customWidth="1" collapsed="1"/>
    <col min="5654" max="5888" width="9" style="185" collapsed="1"/>
    <col min="5889" max="5889" width="5.6640625" style="185" customWidth="1" collapsed="1"/>
    <col min="5890" max="5904" width="5.109375" style="185" customWidth="1" collapsed="1"/>
    <col min="5905" max="5909" width="9.109375" style="185" customWidth="1" collapsed="1"/>
    <col min="5910" max="6144" width="9" style="185" collapsed="1"/>
    <col min="6145" max="6145" width="5.6640625" style="185" customWidth="1" collapsed="1"/>
    <col min="6146" max="6160" width="5.109375" style="185" customWidth="1" collapsed="1"/>
    <col min="6161" max="6165" width="9.109375" style="185" customWidth="1" collapsed="1"/>
    <col min="6166" max="6400" width="9" style="185" collapsed="1"/>
    <col min="6401" max="6401" width="5.6640625" style="185" customWidth="1" collapsed="1"/>
    <col min="6402" max="6416" width="5.109375" style="185" customWidth="1" collapsed="1"/>
    <col min="6417" max="6421" width="9.109375" style="185" customWidth="1" collapsed="1"/>
    <col min="6422" max="6656" width="9" style="185" collapsed="1"/>
    <col min="6657" max="6657" width="5.6640625" style="185" customWidth="1" collapsed="1"/>
    <col min="6658" max="6672" width="5.109375" style="185" customWidth="1" collapsed="1"/>
    <col min="6673" max="6677" width="9.109375" style="185" customWidth="1" collapsed="1"/>
    <col min="6678" max="6912" width="9" style="185" collapsed="1"/>
    <col min="6913" max="6913" width="5.6640625" style="185" customWidth="1" collapsed="1"/>
    <col min="6914" max="6928" width="5.109375" style="185" customWidth="1" collapsed="1"/>
    <col min="6929" max="6933" width="9.109375" style="185" customWidth="1" collapsed="1"/>
    <col min="6934" max="7168" width="9" style="185" collapsed="1"/>
    <col min="7169" max="7169" width="5.6640625" style="185" customWidth="1" collapsed="1"/>
    <col min="7170" max="7184" width="5.109375" style="185" customWidth="1" collapsed="1"/>
    <col min="7185" max="7189" width="9.109375" style="185" customWidth="1" collapsed="1"/>
    <col min="7190" max="7424" width="9" style="185" collapsed="1"/>
    <col min="7425" max="7425" width="5.6640625" style="185" customWidth="1" collapsed="1"/>
    <col min="7426" max="7440" width="5.109375" style="185" customWidth="1" collapsed="1"/>
    <col min="7441" max="7445" width="9.109375" style="185" customWidth="1" collapsed="1"/>
    <col min="7446" max="7680" width="9" style="185" collapsed="1"/>
    <col min="7681" max="7681" width="5.6640625" style="185" customWidth="1" collapsed="1"/>
    <col min="7682" max="7696" width="5.109375" style="185" customWidth="1" collapsed="1"/>
    <col min="7697" max="7701" width="9.109375" style="185" customWidth="1" collapsed="1"/>
    <col min="7702" max="7936" width="9" style="185" collapsed="1"/>
    <col min="7937" max="7937" width="5.6640625" style="185" customWidth="1" collapsed="1"/>
    <col min="7938" max="7952" width="5.109375" style="185" customWidth="1" collapsed="1"/>
    <col min="7953" max="7957" width="9.109375" style="185" customWidth="1" collapsed="1"/>
    <col min="7958" max="8192" width="9" style="185" collapsed="1"/>
    <col min="8193" max="8193" width="5.6640625" style="185" customWidth="1" collapsed="1"/>
    <col min="8194" max="8208" width="5.109375" style="185" customWidth="1" collapsed="1"/>
    <col min="8209" max="8213" width="9.109375" style="185" customWidth="1" collapsed="1"/>
    <col min="8214" max="8448" width="9" style="185" collapsed="1"/>
    <col min="8449" max="8449" width="5.6640625" style="185" customWidth="1" collapsed="1"/>
    <col min="8450" max="8464" width="5.109375" style="185" customWidth="1" collapsed="1"/>
    <col min="8465" max="8469" width="9.109375" style="185" customWidth="1" collapsed="1"/>
    <col min="8470" max="8704" width="9" style="185" collapsed="1"/>
    <col min="8705" max="8705" width="5.6640625" style="185" customWidth="1" collapsed="1"/>
    <col min="8706" max="8720" width="5.109375" style="185" customWidth="1" collapsed="1"/>
    <col min="8721" max="8725" width="9.109375" style="185" customWidth="1" collapsed="1"/>
    <col min="8726" max="8960" width="9" style="185" collapsed="1"/>
    <col min="8961" max="8961" width="5.6640625" style="185" customWidth="1" collapsed="1"/>
    <col min="8962" max="8976" width="5.109375" style="185" customWidth="1" collapsed="1"/>
    <col min="8977" max="8981" width="9.109375" style="185" customWidth="1" collapsed="1"/>
    <col min="8982" max="9216" width="9" style="185" collapsed="1"/>
    <col min="9217" max="9217" width="5.6640625" style="185" customWidth="1" collapsed="1"/>
    <col min="9218" max="9232" width="5.109375" style="185" customWidth="1" collapsed="1"/>
    <col min="9233" max="9237" width="9.109375" style="185" customWidth="1" collapsed="1"/>
    <col min="9238" max="9472" width="9" style="185" collapsed="1"/>
    <col min="9473" max="9473" width="5.6640625" style="185" customWidth="1" collapsed="1"/>
    <col min="9474" max="9488" width="5.109375" style="185" customWidth="1" collapsed="1"/>
    <col min="9489" max="9493" width="9.109375" style="185" customWidth="1" collapsed="1"/>
    <col min="9494" max="9728" width="9" style="185" collapsed="1"/>
    <col min="9729" max="9729" width="5.6640625" style="185" customWidth="1" collapsed="1"/>
    <col min="9730" max="9744" width="5.109375" style="185" customWidth="1" collapsed="1"/>
    <col min="9745" max="9749" width="9.109375" style="185" customWidth="1" collapsed="1"/>
    <col min="9750" max="9984" width="9" style="185" collapsed="1"/>
    <col min="9985" max="9985" width="5.6640625" style="185" customWidth="1" collapsed="1"/>
    <col min="9986" max="10000" width="5.109375" style="185" customWidth="1" collapsed="1"/>
    <col min="10001" max="10005" width="9.109375" style="185" customWidth="1" collapsed="1"/>
    <col min="10006" max="10240" width="9" style="185" collapsed="1"/>
    <col min="10241" max="10241" width="5.6640625" style="185" customWidth="1" collapsed="1"/>
    <col min="10242" max="10256" width="5.109375" style="185" customWidth="1" collapsed="1"/>
    <col min="10257" max="10261" width="9.109375" style="185" customWidth="1" collapsed="1"/>
    <col min="10262" max="10496" width="9" style="185" collapsed="1"/>
    <col min="10497" max="10497" width="5.6640625" style="185" customWidth="1" collapsed="1"/>
    <col min="10498" max="10512" width="5.109375" style="185" customWidth="1" collapsed="1"/>
    <col min="10513" max="10517" width="9.109375" style="185" customWidth="1" collapsed="1"/>
    <col min="10518" max="10752" width="9" style="185" collapsed="1"/>
    <col min="10753" max="10753" width="5.6640625" style="185" customWidth="1" collapsed="1"/>
    <col min="10754" max="10768" width="5.109375" style="185" customWidth="1" collapsed="1"/>
    <col min="10769" max="10773" width="9.109375" style="185" customWidth="1" collapsed="1"/>
    <col min="10774" max="11008" width="9" style="185" collapsed="1"/>
    <col min="11009" max="11009" width="5.6640625" style="185" customWidth="1" collapsed="1"/>
    <col min="11010" max="11024" width="5.109375" style="185" customWidth="1" collapsed="1"/>
    <col min="11025" max="11029" width="9.109375" style="185" customWidth="1" collapsed="1"/>
    <col min="11030" max="11264" width="9" style="185" collapsed="1"/>
    <col min="11265" max="11265" width="5.6640625" style="185" customWidth="1" collapsed="1"/>
    <col min="11266" max="11280" width="5.109375" style="185" customWidth="1" collapsed="1"/>
    <col min="11281" max="11285" width="9.109375" style="185" customWidth="1" collapsed="1"/>
    <col min="11286" max="11520" width="9" style="185" collapsed="1"/>
    <col min="11521" max="11521" width="5.6640625" style="185" customWidth="1" collapsed="1"/>
    <col min="11522" max="11536" width="5.109375" style="185" customWidth="1" collapsed="1"/>
    <col min="11537" max="11541" width="9.109375" style="185" customWidth="1" collapsed="1"/>
    <col min="11542" max="11776" width="9" style="185" collapsed="1"/>
    <col min="11777" max="11777" width="5.6640625" style="185" customWidth="1" collapsed="1"/>
    <col min="11778" max="11792" width="5.109375" style="185" customWidth="1" collapsed="1"/>
    <col min="11793" max="11797" width="9.109375" style="185" customWidth="1" collapsed="1"/>
    <col min="11798" max="12032" width="9" style="185" collapsed="1"/>
    <col min="12033" max="12033" width="5.6640625" style="185" customWidth="1" collapsed="1"/>
    <col min="12034" max="12048" width="5.109375" style="185" customWidth="1" collapsed="1"/>
    <col min="12049" max="12053" width="9.109375" style="185" customWidth="1" collapsed="1"/>
    <col min="12054" max="12288" width="9" style="185" collapsed="1"/>
    <col min="12289" max="12289" width="5.6640625" style="185" customWidth="1" collapsed="1"/>
    <col min="12290" max="12304" width="5.109375" style="185" customWidth="1" collapsed="1"/>
    <col min="12305" max="12309" width="9.109375" style="185" customWidth="1" collapsed="1"/>
    <col min="12310" max="12544" width="9" style="185" collapsed="1"/>
    <col min="12545" max="12545" width="5.6640625" style="185" customWidth="1" collapsed="1"/>
    <col min="12546" max="12560" width="5.109375" style="185" customWidth="1" collapsed="1"/>
    <col min="12561" max="12565" width="9.109375" style="185" customWidth="1" collapsed="1"/>
    <col min="12566" max="12800" width="9" style="185" collapsed="1"/>
    <col min="12801" max="12801" width="5.6640625" style="185" customWidth="1" collapsed="1"/>
    <col min="12802" max="12816" width="5.109375" style="185" customWidth="1" collapsed="1"/>
    <col min="12817" max="12821" width="9.109375" style="185" customWidth="1" collapsed="1"/>
    <col min="12822" max="13056" width="9" style="185" collapsed="1"/>
    <col min="13057" max="13057" width="5.6640625" style="185" customWidth="1" collapsed="1"/>
    <col min="13058" max="13072" width="5.109375" style="185" customWidth="1" collapsed="1"/>
    <col min="13073" max="13077" width="9.109375" style="185" customWidth="1" collapsed="1"/>
    <col min="13078" max="13312" width="9" style="185" collapsed="1"/>
    <col min="13313" max="13313" width="5.6640625" style="185" customWidth="1" collapsed="1"/>
    <col min="13314" max="13328" width="5.109375" style="185" customWidth="1" collapsed="1"/>
    <col min="13329" max="13333" width="9.109375" style="185" customWidth="1" collapsed="1"/>
    <col min="13334" max="13568" width="9" style="185" collapsed="1"/>
    <col min="13569" max="13569" width="5.6640625" style="185" customWidth="1" collapsed="1"/>
    <col min="13570" max="13584" width="5.109375" style="185" customWidth="1" collapsed="1"/>
    <col min="13585" max="13589" width="9.109375" style="185" customWidth="1" collapsed="1"/>
    <col min="13590" max="13824" width="9" style="185" collapsed="1"/>
    <col min="13825" max="13825" width="5.6640625" style="185" customWidth="1" collapsed="1"/>
    <col min="13826" max="13840" width="5.109375" style="185" customWidth="1" collapsed="1"/>
    <col min="13841" max="13845" width="9.109375" style="185" customWidth="1" collapsed="1"/>
    <col min="13846" max="14080" width="9" style="185" collapsed="1"/>
    <col min="14081" max="14081" width="5.6640625" style="185" customWidth="1" collapsed="1"/>
    <col min="14082" max="14096" width="5.109375" style="185" customWidth="1" collapsed="1"/>
    <col min="14097" max="14101" width="9.109375" style="185" customWidth="1" collapsed="1"/>
    <col min="14102" max="14336" width="9" style="185" collapsed="1"/>
    <col min="14337" max="14337" width="5.6640625" style="185" customWidth="1" collapsed="1"/>
    <col min="14338" max="14352" width="5.109375" style="185" customWidth="1" collapsed="1"/>
    <col min="14353" max="14357" width="9.109375" style="185" customWidth="1" collapsed="1"/>
    <col min="14358" max="14592" width="9" style="185" collapsed="1"/>
    <col min="14593" max="14593" width="5.6640625" style="185" customWidth="1" collapsed="1"/>
    <col min="14594" max="14608" width="5.109375" style="185" customWidth="1" collapsed="1"/>
    <col min="14609" max="14613" width="9.109375" style="185" customWidth="1" collapsed="1"/>
    <col min="14614" max="14848" width="9" style="185" collapsed="1"/>
    <col min="14849" max="14849" width="5.6640625" style="185" customWidth="1" collapsed="1"/>
    <col min="14850" max="14864" width="5.109375" style="185" customWidth="1" collapsed="1"/>
    <col min="14865" max="14869" width="9.109375" style="185" customWidth="1" collapsed="1"/>
    <col min="14870" max="15104" width="9" style="185" collapsed="1"/>
    <col min="15105" max="15105" width="5.6640625" style="185" customWidth="1" collapsed="1"/>
    <col min="15106" max="15120" width="5.109375" style="185" customWidth="1" collapsed="1"/>
    <col min="15121" max="15125" width="9.109375" style="185" customWidth="1" collapsed="1"/>
    <col min="15126" max="15360" width="9" style="185" collapsed="1"/>
    <col min="15361" max="15361" width="5.6640625" style="185" customWidth="1" collapsed="1"/>
    <col min="15362" max="15376" width="5.109375" style="185" customWidth="1" collapsed="1"/>
    <col min="15377" max="15381" width="9.109375" style="185" customWidth="1" collapsed="1"/>
    <col min="15382" max="15616" width="9" style="185" collapsed="1"/>
    <col min="15617" max="15617" width="5.6640625" style="185" customWidth="1" collapsed="1"/>
    <col min="15618" max="15632" width="5.109375" style="185" customWidth="1" collapsed="1"/>
    <col min="15633" max="15637" width="9.109375" style="185" customWidth="1" collapsed="1"/>
    <col min="15638" max="15872" width="9" style="185" collapsed="1"/>
    <col min="15873" max="15873" width="5.6640625" style="185" customWidth="1" collapsed="1"/>
    <col min="15874" max="15888" width="5.109375" style="185" customWidth="1" collapsed="1"/>
    <col min="15889" max="15893" width="9.109375" style="185" customWidth="1" collapsed="1"/>
    <col min="15894" max="16128" width="9" style="185" collapsed="1"/>
    <col min="16129" max="16129" width="5.6640625" style="185" customWidth="1" collapsed="1"/>
    <col min="16130" max="16144" width="5.109375" style="185" customWidth="1" collapsed="1"/>
    <col min="16145" max="16149" width="9.109375" style="185" customWidth="1" collapsed="1"/>
    <col min="16150" max="16384" width="9" style="185" collapsed="1"/>
  </cols>
  <sheetData>
    <row r="1" spans="1:21" ht="14.25" customHeight="1">
      <c r="A1" s="185" t="s">
        <v>400</v>
      </c>
    </row>
    <row r="2" spans="1:21" ht="14.25" customHeight="1"/>
    <row r="3" spans="1:21" ht="20.100000000000001" customHeight="1">
      <c r="A3" s="186"/>
      <c r="B3" s="186"/>
      <c r="C3" s="186"/>
      <c r="D3" s="186"/>
      <c r="E3" s="186"/>
      <c r="F3" s="548" t="s">
        <v>401</v>
      </c>
      <c r="G3" s="187"/>
      <c r="H3" s="188" t="s">
        <v>402</v>
      </c>
      <c r="I3" s="186"/>
      <c r="J3" s="186"/>
      <c r="K3" s="548" t="s">
        <v>403</v>
      </c>
      <c r="L3" s="549" t="s">
        <v>404</v>
      </c>
      <c r="M3" s="549"/>
      <c r="N3" s="549"/>
      <c r="O3" s="549"/>
      <c r="P3" s="186"/>
      <c r="Q3" s="186"/>
      <c r="R3" s="186"/>
      <c r="S3" s="186"/>
      <c r="T3" s="186"/>
      <c r="U3" s="186"/>
    </row>
    <row r="4" spans="1:21" ht="20.100000000000001" customHeight="1">
      <c r="A4" s="189"/>
      <c r="B4" s="189"/>
      <c r="C4" s="189"/>
      <c r="D4" s="189"/>
      <c r="E4" s="189"/>
      <c r="F4" s="548"/>
      <c r="G4" s="190"/>
      <c r="H4" s="191" t="s">
        <v>405</v>
      </c>
      <c r="I4" s="189"/>
      <c r="J4" s="189"/>
      <c r="K4" s="548"/>
      <c r="L4" s="549"/>
      <c r="M4" s="549"/>
      <c r="N4" s="549"/>
      <c r="O4" s="549"/>
      <c r="P4" s="189"/>
      <c r="Q4" s="189"/>
      <c r="R4" s="189"/>
      <c r="S4" s="189"/>
      <c r="T4" s="189"/>
      <c r="U4" s="189"/>
    </row>
    <row r="5" spans="1:21" ht="16.5" customHeight="1" thickBot="1">
      <c r="A5" s="192"/>
      <c r="B5" s="192" t="s">
        <v>406</v>
      </c>
      <c r="C5" s="192"/>
      <c r="D5" s="192"/>
      <c r="E5" s="192"/>
      <c r="F5" s="192"/>
      <c r="G5" s="192"/>
      <c r="H5" s="192"/>
      <c r="I5" s="192"/>
      <c r="J5" s="192"/>
      <c r="K5" s="192"/>
      <c r="L5" s="192"/>
      <c r="M5" s="192"/>
      <c r="N5" s="192"/>
      <c r="O5" s="192"/>
      <c r="P5" s="192"/>
      <c r="Q5" s="192"/>
      <c r="R5" s="192"/>
      <c r="S5" s="192"/>
      <c r="T5" s="192"/>
      <c r="U5" s="192"/>
    </row>
    <row r="6" spans="1:21" ht="16.5" customHeight="1" thickBot="1">
      <c r="A6" s="192"/>
      <c r="B6" s="193" t="s">
        <v>407</v>
      </c>
      <c r="C6" s="194"/>
      <c r="D6" s="195" t="s">
        <v>408</v>
      </c>
      <c r="E6" s="194"/>
      <c r="F6" s="195" t="s">
        <v>409</v>
      </c>
      <c r="G6" s="194"/>
      <c r="H6" s="196" t="s">
        <v>410</v>
      </c>
      <c r="I6" s="197" t="s">
        <v>411</v>
      </c>
      <c r="J6" s="193" t="s">
        <v>407</v>
      </c>
      <c r="K6" s="194"/>
      <c r="L6" s="195" t="s">
        <v>408</v>
      </c>
      <c r="M6" s="194"/>
      <c r="N6" s="195" t="s">
        <v>409</v>
      </c>
      <c r="O6" s="194"/>
      <c r="P6" s="196" t="s">
        <v>410</v>
      </c>
      <c r="Q6" s="192"/>
      <c r="R6" s="192"/>
      <c r="S6" s="192"/>
      <c r="T6" s="192"/>
      <c r="U6" s="192"/>
    </row>
    <row r="7" spans="1:21" ht="14.25" customHeight="1">
      <c r="A7" s="198"/>
      <c r="B7" s="198"/>
      <c r="C7" s="198"/>
      <c r="D7" s="198"/>
      <c r="E7" s="198"/>
      <c r="F7" s="198"/>
      <c r="G7" s="198"/>
      <c r="H7" s="198"/>
      <c r="I7" s="198"/>
      <c r="J7" s="198"/>
      <c r="K7" s="198"/>
      <c r="L7" s="198"/>
      <c r="M7" s="198"/>
      <c r="N7" s="198"/>
      <c r="O7" s="198"/>
      <c r="P7" s="198"/>
      <c r="Q7" s="199"/>
      <c r="R7" s="199"/>
      <c r="S7" s="199"/>
      <c r="T7" s="199"/>
      <c r="U7" s="199"/>
    </row>
    <row r="8" spans="1:21" s="200" customFormat="1" ht="18" customHeight="1">
      <c r="A8" s="550" t="s">
        <v>412</v>
      </c>
      <c r="B8" s="551"/>
      <c r="C8" s="551"/>
      <c r="D8" s="551"/>
      <c r="E8" s="551"/>
      <c r="F8" s="551"/>
      <c r="G8" s="551"/>
      <c r="H8" s="551"/>
      <c r="I8" s="551"/>
      <c r="J8" s="551"/>
      <c r="K8" s="551"/>
      <c r="L8" s="551"/>
      <c r="M8" s="551"/>
      <c r="N8" s="551"/>
      <c r="O8" s="551"/>
      <c r="P8" s="551"/>
      <c r="Q8" s="552"/>
      <c r="R8" s="553" t="s">
        <v>413</v>
      </c>
      <c r="S8" s="553" t="s">
        <v>414</v>
      </c>
      <c r="T8" s="585" t="s">
        <v>415</v>
      </c>
      <c r="U8" s="588" t="s">
        <v>416</v>
      </c>
    </row>
    <row r="9" spans="1:21" ht="24.9" customHeight="1">
      <c r="A9" s="591" t="s">
        <v>417</v>
      </c>
      <c r="B9" s="592"/>
      <c r="C9" s="592"/>
      <c r="D9" s="592"/>
      <c r="E9" s="592"/>
      <c r="F9" s="592"/>
      <c r="G9" s="593"/>
      <c r="H9" s="597" t="s">
        <v>418</v>
      </c>
      <c r="I9" s="598"/>
      <c r="J9" s="598"/>
      <c r="K9" s="598"/>
      <c r="L9" s="598"/>
      <c r="M9" s="598"/>
      <c r="N9" s="598"/>
      <c r="O9" s="598"/>
      <c r="P9" s="598"/>
      <c r="Q9" s="599"/>
      <c r="R9" s="554"/>
      <c r="S9" s="554"/>
      <c r="T9" s="586"/>
      <c r="U9" s="589"/>
    </row>
    <row r="10" spans="1:21" ht="24.9" customHeight="1">
      <c r="A10" s="594"/>
      <c r="B10" s="595"/>
      <c r="C10" s="595"/>
      <c r="D10" s="595"/>
      <c r="E10" s="595"/>
      <c r="F10" s="595"/>
      <c r="G10" s="596"/>
      <c r="H10" s="600"/>
      <c r="I10" s="601"/>
      <c r="J10" s="601"/>
      <c r="K10" s="601"/>
      <c r="L10" s="601"/>
      <c r="M10" s="601"/>
      <c r="N10" s="601"/>
      <c r="O10" s="601"/>
      <c r="P10" s="601"/>
      <c r="Q10" s="602"/>
      <c r="R10" s="555"/>
      <c r="S10" s="555"/>
      <c r="T10" s="587"/>
      <c r="U10" s="590"/>
    </row>
    <row r="11" spans="1:21" ht="19.95" customHeight="1">
      <c r="A11" s="556">
        <v>1</v>
      </c>
      <c r="B11" s="559">
        <f>dataSheet!AO12</f>
        <v>0</v>
      </c>
      <c r="C11" s="560"/>
      <c r="D11" s="560"/>
      <c r="E11" s="560"/>
      <c r="F11" s="560"/>
      <c r="G11" s="561"/>
      <c r="H11" s="568"/>
      <c r="I11" s="569"/>
      <c r="J11" s="569"/>
      <c r="K11" s="574" t="s">
        <v>419</v>
      </c>
      <c r="L11" s="569"/>
      <c r="M11" s="569"/>
      <c r="N11" s="569"/>
      <c r="O11" s="569"/>
      <c r="P11" s="577" t="s">
        <v>263</v>
      </c>
      <c r="Q11" s="580"/>
      <c r="R11" s="201"/>
      <c r="S11" s="201"/>
      <c r="T11" s="202"/>
      <c r="U11" s="203"/>
    </row>
    <row r="12" spans="1:21" ht="10.199999999999999" customHeight="1">
      <c r="A12" s="557"/>
      <c r="B12" s="562"/>
      <c r="C12" s="604"/>
      <c r="D12" s="604"/>
      <c r="E12" s="604"/>
      <c r="F12" s="604"/>
      <c r="G12" s="564"/>
      <c r="H12" s="570"/>
      <c r="I12" s="571"/>
      <c r="J12" s="571"/>
      <c r="K12" s="575"/>
      <c r="L12" s="571"/>
      <c r="M12" s="571"/>
      <c r="N12" s="571"/>
      <c r="O12" s="571"/>
      <c r="P12" s="578"/>
      <c r="Q12" s="581"/>
      <c r="R12" s="583"/>
      <c r="S12" s="583"/>
      <c r="T12" s="605"/>
      <c r="U12" s="607"/>
    </row>
    <row r="13" spans="1:21" ht="10.199999999999999" customHeight="1">
      <c r="A13" s="558"/>
      <c r="B13" s="565"/>
      <c r="C13" s="566"/>
      <c r="D13" s="566"/>
      <c r="E13" s="566"/>
      <c r="F13" s="566"/>
      <c r="G13" s="567"/>
      <c r="H13" s="572"/>
      <c r="I13" s="573"/>
      <c r="J13" s="573"/>
      <c r="K13" s="576"/>
      <c r="L13" s="573"/>
      <c r="M13" s="573"/>
      <c r="N13" s="573"/>
      <c r="O13" s="573"/>
      <c r="P13" s="579"/>
      <c r="Q13" s="582"/>
      <c r="R13" s="584"/>
      <c r="S13" s="584"/>
      <c r="T13" s="606"/>
      <c r="U13" s="608"/>
    </row>
    <row r="14" spans="1:21" ht="19.95" customHeight="1">
      <c r="A14" s="556">
        <v>2</v>
      </c>
      <c r="B14" s="559">
        <f>dataSheet!AO13</f>
        <v>0</v>
      </c>
      <c r="C14" s="560"/>
      <c r="D14" s="560"/>
      <c r="E14" s="560"/>
      <c r="F14" s="560"/>
      <c r="G14" s="561"/>
      <c r="H14" s="568"/>
      <c r="I14" s="569"/>
      <c r="J14" s="569"/>
      <c r="K14" s="574" t="s">
        <v>263</v>
      </c>
      <c r="L14" s="569"/>
      <c r="M14" s="569"/>
      <c r="N14" s="569"/>
      <c r="O14" s="569"/>
      <c r="P14" s="577" t="s">
        <v>263</v>
      </c>
      <c r="Q14" s="580"/>
      <c r="R14" s="201"/>
      <c r="S14" s="201"/>
      <c r="T14" s="202"/>
      <c r="U14" s="203"/>
    </row>
    <row r="15" spans="1:21" ht="10.199999999999999" customHeight="1">
      <c r="A15" s="557"/>
      <c r="B15" s="562"/>
      <c r="C15" s="563"/>
      <c r="D15" s="563"/>
      <c r="E15" s="563"/>
      <c r="F15" s="563"/>
      <c r="G15" s="564"/>
      <c r="H15" s="570"/>
      <c r="I15" s="571"/>
      <c r="J15" s="571"/>
      <c r="K15" s="575"/>
      <c r="L15" s="571"/>
      <c r="M15" s="571"/>
      <c r="N15" s="571"/>
      <c r="O15" s="571"/>
      <c r="P15" s="578"/>
      <c r="Q15" s="581"/>
      <c r="R15" s="583"/>
      <c r="S15" s="583"/>
      <c r="T15" s="605"/>
      <c r="U15" s="607"/>
    </row>
    <row r="16" spans="1:21" ht="10.199999999999999" customHeight="1">
      <c r="A16" s="558"/>
      <c r="B16" s="565"/>
      <c r="C16" s="566"/>
      <c r="D16" s="566"/>
      <c r="E16" s="566"/>
      <c r="F16" s="566"/>
      <c r="G16" s="567"/>
      <c r="H16" s="572"/>
      <c r="I16" s="573"/>
      <c r="J16" s="573"/>
      <c r="K16" s="576"/>
      <c r="L16" s="573"/>
      <c r="M16" s="573"/>
      <c r="N16" s="573"/>
      <c r="O16" s="573"/>
      <c r="P16" s="579"/>
      <c r="Q16" s="582"/>
      <c r="R16" s="584"/>
      <c r="S16" s="584"/>
      <c r="T16" s="606"/>
      <c r="U16" s="608"/>
    </row>
    <row r="17" spans="1:21" ht="19.95" customHeight="1">
      <c r="A17" s="556">
        <v>3</v>
      </c>
      <c r="B17" s="559">
        <f>dataSheet!AO14</f>
        <v>0</v>
      </c>
      <c r="C17" s="560"/>
      <c r="D17" s="560"/>
      <c r="E17" s="560"/>
      <c r="F17" s="560"/>
      <c r="G17" s="561"/>
      <c r="H17" s="568"/>
      <c r="I17" s="569"/>
      <c r="J17" s="569"/>
      <c r="K17" s="574" t="s">
        <v>263</v>
      </c>
      <c r="L17" s="569"/>
      <c r="M17" s="569"/>
      <c r="N17" s="569"/>
      <c r="O17" s="569"/>
      <c r="P17" s="577" t="s">
        <v>263</v>
      </c>
      <c r="Q17" s="580"/>
      <c r="R17" s="201"/>
      <c r="S17" s="201"/>
      <c r="T17" s="202"/>
      <c r="U17" s="203"/>
    </row>
    <row r="18" spans="1:21" ht="10.199999999999999" customHeight="1">
      <c r="A18" s="557"/>
      <c r="B18" s="562"/>
      <c r="C18" s="563"/>
      <c r="D18" s="563"/>
      <c r="E18" s="563"/>
      <c r="F18" s="563"/>
      <c r="G18" s="564"/>
      <c r="H18" s="570"/>
      <c r="I18" s="571"/>
      <c r="J18" s="571"/>
      <c r="K18" s="575"/>
      <c r="L18" s="571"/>
      <c r="M18" s="571"/>
      <c r="N18" s="571"/>
      <c r="O18" s="571"/>
      <c r="P18" s="578"/>
      <c r="Q18" s="581"/>
      <c r="R18" s="583"/>
      <c r="S18" s="583"/>
      <c r="T18" s="605"/>
      <c r="U18" s="607"/>
    </row>
    <row r="19" spans="1:21" ht="10.199999999999999" customHeight="1">
      <c r="A19" s="558"/>
      <c r="B19" s="565"/>
      <c r="C19" s="566"/>
      <c r="D19" s="566"/>
      <c r="E19" s="566"/>
      <c r="F19" s="566"/>
      <c r="G19" s="567"/>
      <c r="H19" s="572"/>
      <c r="I19" s="573"/>
      <c r="J19" s="573"/>
      <c r="K19" s="576"/>
      <c r="L19" s="573"/>
      <c r="M19" s="573"/>
      <c r="N19" s="573"/>
      <c r="O19" s="573"/>
      <c r="P19" s="579"/>
      <c r="Q19" s="582"/>
      <c r="R19" s="584"/>
      <c r="S19" s="584"/>
      <c r="T19" s="606"/>
      <c r="U19" s="608"/>
    </row>
    <row r="20" spans="1:21" ht="19.95" customHeight="1">
      <c r="A20" s="556">
        <v>4</v>
      </c>
      <c r="B20" s="559">
        <f>dataSheet!AO15</f>
        <v>0</v>
      </c>
      <c r="C20" s="560"/>
      <c r="D20" s="560"/>
      <c r="E20" s="560"/>
      <c r="F20" s="560"/>
      <c r="G20" s="561"/>
      <c r="H20" s="568"/>
      <c r="I20" s="569"/>
      <c r="J20" s="569"/>
      <c r="K20" s="574" t="s">
        <v>263</v>
      </c>
      <c r="L20" s="569"/>
      <c r="M20" s="569"/>
      <c r="N20" s="569"/>
      <c r="O20" s="569"/>
      <c r="P20" s="577" t="s">
        <v>263</v>
      </c>
      <c r="Q20" s="580"/>
      <c r="R20" s="201"/>
      <c r="S20" s="201"/>
      <c r="T20" s="202"/>
      <c r="U20" s="203"/>
    </row>
    <row r="21" spans="1:21" ht="10.199999999999999" customHeight="1">
      <c r="A21" s="557"/>
      <c r="B21" s="562"/>
      <c r="C21" s="563"/>
      <c r="D21" s="563"/>
      <c r="E21" s="563"/>
      <c r="F21" s="563"/>
      <c r="G21" s="564"/>
      <c r="H21" s="570"/>
      <c r="I21" s="571"/>
      <c r="J21" s="571"/>
      <c r="K21" s="575"/>
      <c r="L21" s="571"/>
      <c r="M21" s="571"/>
      <c r="N21" s="571"/>
      <c r="O21" s="571"/>
      <c r="P21" s="578"/>
      <c r="Q21" s="581"/>
      <c r="R21" s="583"/>
      <c r="S21" s="583"/>
      <c r="T21" s="605"/>
      <c r="U21" s="607"/>
    </row>
    <row r="22" spans="1:21" ht="10.199999999999999" customHeight="1">
      <c r="A22" s="558"/>
      <c r="B22" s="565"/>
      <c r="C22" s="566"/>
      <c r="D22" s="566"/>
      <c r="E22" s="566"/>
      <c r="F22" s="566"/>
      <c r="G22" s="567"/>
      <c r="H22" s="572"/>
      <c r="I22" s="573"/>
      <c r="J22" s="573"/>
      <c r="K22" s="576"/>
      <c r="L22" s="573"/>
      <c r="M22" s="573"/>
      <c r="N22" s="573"/>
      <c r="O22" s="573"/>
      <c r="P22" s="579"/>
      <c r="Q22" s="582"/>
      <c r="R22" s="584"/>
      <c r="S22" s="584"/>
      <c r="T22" s="606"/>
      <c r="U22" s="608"/>
    </row>
    <row r="23" spans="1:21" ht="19.95" customHeight="1">
      <c r="A23" s="556">
        <v>5</v>
      </c>
      <c r="B23" s="559">
        <f>dataSheet!AO16</f>
        <v>0</v>
      </c>
      <c r="C23" s="560"/>
      <c r="D23" s="560"/>
      <c r="E23" s="560"/>
      <c r="F23" s="560"/>
      <c r="G23" s="561"/>
      <c r="H23" s="568"/>
      <c r="I23" s="569"/>
      <c r="J23" s="569"/>
      <c r="K23" s="574" t="s">
        <v>263</v>
      </c>
      <c r="L23" s="569"/>
      <c r="M23" s="569"/>
      <c r="N23" s="569"/>
      <c r="O23" s="569"/>
      <c r="P23" s="577" t="s">
        <v>263</v>
      </c>
      <c r="Q23" s="580"/>
      <c r="R23" s="201"/>
      <c r="S23" s="201"/>
      <c r="T23" s="202"/>
      <c r="U23" s="203"/>
    </row>
    <row r="24" spans="1:21" ht="10.199999999999999" customHeight="1">
      <c r="A24" s="557"/>
      <c r="B24" s="562"/>
      <c r="C24" s="563"/>
      <c r="D24" s="563"/>
      <c r="E24" s="563"/>
      <c r="F24" s="563"/>
      <c r="G24" s="564"/>
      <c r="H24" s="570"/>
      <c r="I24" s="571"/>
      <c r="J24" s="571"/>
      <c r="K24" s="575"/>
      <c r="L24" s="571"/>
      <c r="M24" s="571"/>
      <c r="N24" s="571"/>
      <c r="O24" s="571"/>
      <c r="P24" s="578"/>
      <c r="Q24" s="581"/>
      <c r="R24" s="583"/>
      <c r="S24" s="583"/>
      <c r="T24" s="605"/>
      <c r="U24" s="607"/>
    </row>
    <row r="25" spans="1:21" ht="10.199999999999999" customHeight="1">
      <c r="A25" s="558"/>
      <c r="B25" s="565"/>
      <c r="C25" s="566"/>
      <c r="D25" s="566"/>
      <c r="E25" s="566"/>
      <c r="F25" s="566"/>
      <c r="G25" s="567"/>
      <c r="H25" s="572"/>
      <c r="I25" s="573"/>
      <c r="J25" s="573"/>
      <c r="K25" s="576"/>
      <c r="L25" s="573"/>
      <c r="M25" s="573"/>
      <c r="N25" s="573"/>
      <c r="O25" s="573"/>
      <c r="P25" s="579"/>
      <c r="Q25" s="582"/>
      <c r="R25" s="584"/>
      <c r="S25" s="584"/>
      <c r="T25" s="606"/>
      <c r="U25" s="608"/>
    </row>
    <row r="26" spans="1:21" ht="19.95" customHeight="1">
      <c r="A26" s="556">
        <v>6</v>
      </c>
      <c r="B26" s="559">
        <f>dataSheet!AO17</f>
        <v>0</v>
      </c>
      <c r="C26" s="560"/>
      <c r="D26" s="560"/>
      <c r="E26" s="560"/>
      <c r="F26" s="560"/>
      <c r="G26" s="561"/>
      <c r="H26" s="568"/>
      <c r="I26" s="569"/>
      <c r="J26" s="569"/>
      <c r="K26" s="574" t="s">
        <v>263</v>
      </c>
      <c r="L26" s="569"/>
      <c r="M26" s="569"/>
      <c r="N26" s="569"/>
      <c r="O26" s="569"/>
      <c r="P26" s="577" t="s">
        <v>263</v>
      </c>
      <c r="Q26" s="580"/>
      <c r="R26" s="201"/>
      <c r="S26" s="201"/>
      <c r="T26" s="202"/>
      <c r="U26" s="203"/>
    </row>
    <row r="27" spans="1:21" ht="10.199999999999999" customHeight="1">
      <c r="A27" s="557"/>
      <c r="B27" s="562"/>
      <c r="C27" s="563"/>
      <c r="D27" s="563"/>
      <c r="E27" s="563"/>
      <c r="F27" s="563"/>
      <c r="G27" s="564"/>
      <c r="H27" s="570"/>
      <c r="I27" s="571"/>
      <c r="J27" s="571"/>
      <c r="K27" s="575"/>
      <c r="L27" s="571"/>
      <c r="M27" s="571"/>
      <c r="N27" s="571"/>
      <c r="O27" s="571"/>
      <c r="P27" s="578"/>
      <c r="Q27" s="581"/>
      <c r="R27" s="583"/>
      <c r="S27" s="583"/>
      <c r="T27" s="605"/>
      <c r="U27" s="607"/>
    </row>
    <row r="28" spans="1:21" ht="10.199999999999999" customHeight="1">
      <c r="A28" s="558"/>
      <c r="B28" s="565"/>
      <c r="C28" s="566"/>
      <c r="D28" s="566"/>
      <c r="E28" s="566"/>
      <c r="F28" s="566"/>
      <c r="G28" s="567"/>
      <c r="H28" s="572"/>
      <c r="I28" s="573"/>
      <c r="J28" s="573"/>
      <c r="K28" s="576"/>
      <c r="L28" s="573"/>
      <c r="M28" s="573"/>
      <c r="N28" s="573"/>
      <c r="O28" s="573"/>
      <c r="P28" s="579"/>
      <c r="Q28" s="582"/>
      <c r="R28" s="584"/>
      <c r="S28" s="584"/>
      <c r="T28" s="606"/>
      <c r="U28" s="608"/>
    </row>
    <row r="29" spans="1:21" ht="19.95" customHeight="1">
      <c r="A29" s="556">
        <v>7</v>
      </c>
      <c r="B29" s="559">
        <f>dataSheet!AO18</f>
        <v>0</v>
      </c>
      <c r="C29" s="560"/>
      <c r="D29" s="560"/>
      <c r="E29" s="560"/>
      <c r="F29" s="560"/>
      <c r="G29" s="561"/>
      <c r="H29" s="568"/>
      <c r="I29" s="569"/>
      <c r="J29" s="569"/>
      <c r="K29" s="574" t="s">
        <v>263</v>
      </c>
      <c r="L29" s="569"/>
      <c r="M29" s="569"/>
      <c r="N29" s="569"/>
      <c r="O29" s="569"/>
      <c r="P29" s="577" t="s">
        <v>263</v>
      </c>
      <c r="Q29" s="580"/>
      <c r="R29" s="201"/>
      <c r="S29" s="201"/>
      <c r="T29" s="202"/>
      <c r="U29" s="203"/>
    </row>
    <row r="30" spans="1:21" ht="10.199999999999999" customHeight="1">
      <c r="A30" s="557"/>
      <c r="B30" s="562"/>
      <c r="C30" s="563"/>
      <c r="D30" s="563"/>
      <c r="E30" s="563"/>
      <c r="F30" s="563"/>
      <c r="G30" s="564"/>
      <c r="H30" s="570"/>
      <c r="I30" s="571"/>
      <c r="J30" s="571"/>
      <c r="K30" s="575"/>
      <c r="L30" s="571"/>
      <c r="M30" s="571"/>
      <c r="N30" s="571"/>
      <c r="O30" s="571"/>
      <c r="P30" s="578"/>
      <c r="Q30" s="581"/>
      <c r="R30" s="583"/>
      <c r="S30" s="583"/>
      <c r="T30" s="605"/>
      <c r="U30" s="607"/>
    </row>
    <row r="31" spans="1:21" ht="10.199999999999999" customHeight="1">
      <c r="A31" s="558"/>
      <c r="B31" s="565"/>
      <c r="C31" s="566"/>
      <c r="D31" s="566"/>
      <c r="E31" s="566"/>
      <c r="F31" s="566"/>
      <c r="G31" s="567"/>
      <c r="H31" s="572"/>
      <c r="I31" s="573"/>
      <c r="J31" s="573"/>
      <c r="K31" s="576"/>
      <c r="L31" s="573"/>
      <c r="M31" s="573"/>
      <c r="N31" s="573"/>
      <c r="O31" s="573"/>
      <c r="P31" s="579"/>
      <c r="Q31" s="582"/>
      <c r="R31" s="584"/>
      <c r="S31" s="584"/>
      <c r="T31" s="606"/>
      <c r="U31" s="608"/>
    </row>
    <row r="32" spans="1:21" ht="19.95" customHeight="1">
      <c r="A32" s="556">
        <v>8</v>
      </c>
      <c r="B32" s="559">
        <f>dataSheet!AO19</f>
        <v>0</v>
      </c>
      <c r="C32" s="560"/>
      <c r="D32" s="560"/>
      <c r="E32" s="560"/>
      <c r="F32" s="560"/>
      <c r="G32" s="561"/>
      <c r="H32" s="568"/>
      <c r="I32" s="569"/>
      <c r="J32" s="569"/>
      <c r="K32" s="574" t="s">
        <v>263</v>
      </c>
      <c r="L32" s="569"/>
      <c r="M32" s="569"/>
      <c r="N32" s="569"/>
      <c r="O32" s="569"/>
      <c r="P32" s="577" t="s">
        <v>263</v>
      </c>
      <c r="Q32" s="580"/>
      <c r="R32" s="201"/>
      <c r="S32" s="201"/>
      <c r="T32" s="202"/>
      <c r="U32" s="203"/>
    </row>
    <row r="33" spans="1:22" ht="10.199999999999999" customHeight="1">
      <c r="A33" s="557"/>
      <c r="B33" s="562"/>
      <c r="C33" s="563"/>
      <c r="D33" s="563"/>
      <c r="E33" s="563"/>
      <c r="F33" s="563"/>
      <c r="G33" s="564"/>
      <c r="H33" s="570"/>
      <c r="I33" s="571"/>
      <c r="J33" s="571"/>
      <c r="K33" s="575"/>
      <c r="L33" s="571"/>
      <c r="M33" s="571"/>
      <c r="N33" s="571"/>
      <c r="O33" s="571"/>
      <c r="P33" s="578"/>
      <c r="Q33" s="581"/>
      <c r="R33" s="583"/>
      <c r="S33" s="583"/>
      <c r="T33" s="605"/>
      <c r="U33" s="607"/>
    </row>
    <row r="34" spans="1:22" ht="10.199999999999999" customHeight="1">
      <c r="A34" s="558"/>
      <c r="B34" s="565"/>
      <c r="C34" s="566"/>
      <c r="D34" s="566"/>
      <c r="E34" s="566"/>
      <c r="F34" s="566"/>
      <c r="G34" s="567"/>
      <c r="H34" s="572"/>
      <c r="I34" s="573"/>
      <c r="J34" s="573"/>
      <c r="K34" s="576"/>
      <c r="L34" s="573"/>
      <c r="M34" s="573"/>
      <c r="N34" s="573"/>
      <c r="O34" s="573"/>
      <c r="P34" s="579"/>
      <c r="Q34" s="582"/>
      <c r="R34" s="584"/>
      <c r="S34" s="584"/>
      <c r="T34" s="606"/>
      <c r="U34" s="608"/>
    </row>
    <row r="35" spans="1:22" ht="19.95" customHeight="1">
      <c r="A35" s="556">
        <v>9</v>
      </c>
      <c r="B35" s="559">
        <f>dataSheet!AO20</f>
        <v>0</v>
      </c>
      <c r="C35" s="560"/>
      <c r="D35" s="560"/>
      <c r="E35" s="560"/>
      <c r="F35" s="560"/>
      <c r="G35" s="561"/>
      <c r="H35" s="568"/>
      <c r="I35" s="569"/>
      <c r="J35" s="569"/>
      <c r="K35" s="574" t="s">
        <v>263</v>
      </c>
      <c r="L35" s="569"/>
      <c r="M35" s="569"/>
      <c r="N35" s="569"/>
      <c r="O35" s="569"/>
      <c r="P35" s="577" t="s">
        <v>263</v>
      </c>
      <c r="Q35" s="580"/>
      <c r="R35" s="201"/>
      <c r="S35" s="201"/>
      <c r="T35" s="202"/>
      <c r="U35" s="203"/>
    </row>
    <row r="36" spans="1:22" ht="10.199999999999999" customHeight="1">
      <c r="A36" s="557"/>
      <c r="B36" s="562"/>
      <c r="C36" s="563"/>
      <c r="D36" s="563"/>
      <c r="E36" s="563"/>
      <c r="F36" s="563"/>
      <c r="G36" s="564"/>
      <c r="H36" s="570"/>
      <c r="I36" s="571"/>
      <c r="J36" s="571"/>
      <c r="K36" s="575"/>
      <c r="L36" s="571"/>
      <c r="M36" s="571"/>
      <c r="N36" s="571"/>
      <c r="O36" s="571"/>
      <c r="P36" s="578"/>
      <c r="Q36" s="581"/>
      <c r="R36" s="583"/>
      <c r="S36" s="583"/>
      <c r="T36" s="605"/>
      <c r="U36" s="607"/>
    </row>
    <row r="37" spans="1:22" ht="10.199999999999999" customHeight="1">
      <c r="A37" s="558"/>
      <c r="B37" s="565"/>
      <c r="C37" s="566"/>
      <c r="D37" s="566"/>
      <c r="E37" s="566"/>
      <c r="F37" s="566"/>
      <c r="G37" s="567"/>
      <c r="H37" s="572"/>
      <c r="I37" s="573"/>
      <c r="J37" s="573"/>
      <c r="K37" s="576"/>
      <c r="L37" s="573"/>
      <c r="M37" s="573"/>
      <c r="N37" s="573"/>
      <c r="O37" s="573"/>
      <c r="P37" s="579"/>
      <c r="Q37" s="582"/>
      <c r="R37" s="584"/>
      <c r="S37" s="584"/>
      <c r="T37" s="606"/>
      <c r="U37" s="608"/>
    </row>
    <row r="38" spans="1:22" ht="19.95" customHeight="1">
      <c r="A38" s="556">
        <v>10</v>
      </c>
      <c r="B38" s="559">
        <f>dataSheet!AO21</f>
        <v>0</v>
      </c>
      <c r="C38" s="560"/>
      <c r="D38" s="560"/>
      <c r="E38" s="560"/>
      <c r="F38" s="560"/>
      <c r="G38" s="561"/>
      <c r="H38" s="568"/>
      <c r="I38" s="569"/>
      <c r="J38" s="569"/>
      <c r="K38" s="574" t="s">
        <v>263</v>
      </c>
      <c r="L38" s="569"/>
      <c r="M38" s="569"/>
      <c r="N38" s="569"/>
      <c r="O38" s="569"/>
      <c r="P38" s="577" t="s">
        <v>263</v>
      </c>
      <c r="Q38" s="580"/>
      <c r="R38" s="201"/>
      <c r="S38" s="201"/>
      <c r="T38" s="202"/>
      <c r="U38" s="203"/>
    </row>
    <row r="39" spans="1:22" ht="10.199999999999999" customHeight="1">
      <c r="A39" s="557"/>
      <c r="B39" s="562"/>
      <c r="C39" s="563"/>
      <c r="D39" s="563"/>
      <c r="E39" s="563"/>
      <c r="F39" s="563"/>
      <c r="G39" s="564"/>
      <c r="H39" s="570"/>
      <c r="I39" s="571"/>
      <c r="J39" s="571"/>
      <c r="K39" s="575"/>
      <c r="L39" s="571"/>
      <c r="M39" s="571"/>
      <c r="N39" s="571"/>
      <c r="O39" s="571"/>
      <c r="P39" s="578"/>
      <c r="Q39" s="581"/>
      <c r="R39" s="583"/>
      <c r="S39" s="583"/>
      <c r="T39" s="605"/>
      <c r="U39" s="607"/>
    </row>
    <row r="40" spans="1:22" ht="10.199999999999999" customHeight="1">
      <c r="A40" s="558"/>
      <c r="B40" s="565"/>
      <c r="C40" s="566"/>
      <c r="D40" s="566"/>
      <c r="E40" s="566"/>
      <c r="F40" s="566"/>
      <c r="G40" s="567"/>
      <c r="H40" s="572"/>
      <c r="I40" s="573"/>
      <c r="J40" s="573"/>
      <c r="K40" s="576"/>
      <c r="L40" s="573"/>
      <c r="M40" s="573"/>
      <c r="N40" s="573"/>
      <c r="O40" s="573"/>
      <c r="P40" s="579"/>
      <c r="Q40" s="582"/>
      <c r="R40" s="584"/>
      <c r="S40" s="584"/>
      <c r="T40" s="606"/>
      <c r="U40" s="608"/>
    </row>
    <row r="41" spans="1:22" ht="13.2" customHeight="1" thickBot="1">
      <c r="A41" s="612"/>
      <c r="B41" s="613"/>
      <c r="C41" s="613"/>
      <c r="D41" s="613"/>
      <c r="E41" s="613"/>
      <c r="F41" s="613"/>
      <c r="G41" s="613"/>
      <c r="H41" s="613"/>
      <c r="I41" s="613"/>
      <c r="J41" s="613"/>
      <c r="K41" s="613"/>
      <c r="L41" s="613"/>
      <c r="M41" s="613"/>
      <c r="N41" s="613"/>
      <c r="O41" s="613"/>
      <c r="P41" s="613"/>
      <c r="Q41" s="613"/>
      <c r="R41" s="613"/>
      <c r="S41" s="613"/>
      <c r="T41" s="613"/>
      <c r="U41" s="613"/>
    </row>
    <row r="42" spans="1:22" ht="20.100000000000001" customHeight="1" thickTop="1">
      <c r="A42" s="204" t="s">
        <v>420</v>
      </c>
      <c r="B42" s="205"/>
      <c r="C42" s="205"/>
      <c r="D42" s="205"/>
      <c r="E42" s="205"/>
      <c r="F42" s="205"/>
      <c r="G42" s="205"/>
      <c r="H42" s="205"/>
      <c r="I42" s="205"/>
      <c r="J42" s="205"/>
      <c r="K42" s="205"/>
      <c r="L42" s="205"/>
      <c r="M42" s="205"/>
      <c r="N42" s="206"/>
      <c r="O42" s="207"/>
      <c r="P42" s="208"/>
      <c r="Q42" s="209"/>
      <c r="R42" s="210" t="s">
        <v>421</v>
      </c>
      <c r="S42" s="210" t="s">
        <v>422</v>
      </c>
      <c r="T42" s="211" t="s">
        <v>423</v>
      </c>
      <c r="U42" s="210" t="s">
        <v>424</v>
      </c>
    </row>
    <row r="43" spans="1:22" ht="20.100000000000001" customHeight="1">
      <c r="A43" s="614" t="s">
        <v>425</v>
      </c>
      <c r="B43" s="615"/>
      <c r="C43" s="615"/>
      <c r="D43" s="615"/>
      <c r="E43" s="615"/>
      <c r="F43" s="615"/>
      <c r="G43" s="615"/>
      <c r="H43" s="615"/>
      <c r="I43" s="615"/>
      <c r="J43" s="615"/>
      <c r="K43" s="615"/>
      <c r="L43" s="616"/>
      <c r="M43" s="617"/>
      <c r="N43" s="618"/>
      <c r="O43" s="207"/>
      <c r="P43" s="619" t="s">
        <v>426</v>
      </c>
      <c r="Q43" s="620"/>
      <c r="R43" s="212" t="str">
        <f>IF(SUM(R11,R14,R17,R20,R23,R26,R29,R32,R35,R38)=0,"",SUM(R11,R14,R17,R20,R23,R26,R29,R32,R35,R38))</f>
        <v/>
      </c>
      <c r="S43" s="212" t="str">
        <f>IF(SUM(S11,S14,S17,S20,S23,S26,S29,S32,S35,S38)=0,"",SUM(S11,S14,S17,S20,S23,S26,S29,S32,S35,S38))</f>
        <v/>
      </c>
      <c r="T43" s="213" t="str">
        <f>IF(SUM(T11,T14,T17,T20,T23,T26,T29,T32,T35,T38)=0,"",SUM(T11,T14,T17,T20,T23,T26,T29,T32,T35,T38))</f>
        <v/>
      </c>
      <c r="U43" s="213" t="str">
        <f>IF(SUM(U11,U14,U17,U20,U23,U26,U29,U32,U35,U38)=0,"",SUM(U11,U14,U17,U20,U23,U26,U29,U32,U35,U38))</f>
        <v/>
      </c>
    </row>
    <row r="44" spans="1:22" ht="20.100000000000001" customHeight="1" thickBot="1">
      <c r="A44" s="621" t="s">
        <v>427</v>
      </c>
      <c r="B44" s="621"/>
      <c r="C44" s="621"/>
      <c r="D44" s="621"/>
      <c r="E44" s="621"/>
      <c r="F44" s="621"/>
      <c r="G44" s="621"/>
      <c r="H44" s="621"/>
      <c r="I44" s="621"/>
      <c r="J44" s="621"/>
      <c r="K44" s="621"/>
      <c r="L44" s="621"/>
      <c r="M44" s="621"/>
      <c r="N44" s="621"/>
      <c r="O44" s="621"/>
      <c r="P44" s="622" t="s">
        <v>428</v>
      </c>
      <c r="Q44" s="623"/>
      <c r="R44" s="214">
        <f>R11+R14+R17+R20+R23+R26+R29+R32+R35+R38+'様式特第９号休業一覧表（新型コロナウイルス感染症関係）'!R44</f>
        <v>0</v>
      </c>
      <c r="S44" s="214">
        <f>S11+S14+S17+S20+S23+S26+S29+S32+S35+S38+'様式特第９号休業一覧表（新型コロナウイルス感染症関係）'!S44</f>
        <v>0</v>
      </c>
      <c r="T44" s="215">
        <f>T11+T14+T17+T20+T23+T26+T29+T32+T35+T38+'様式特第９号休業一覧表（新型コロナウイルス感染症関係）'!T44</f>
        <v>0</v>
      </c>
      <c r="U44" s="214">
        <f>U11+U14+U17+U20+U23+U26+U29+U32+U35+U38+'様式特第９号休業一覧表（新型コロナウイルス感染症関係）'!U44</f>
        <v>0</v>
      </c>
    </row>
    <row r="45" spans="1:22" ht="20.100000000000001" customHeight="1" thickTop="1" thickBot="1">
      <c r="A45" s="621"/>
      <c r="B45" s="621"/>
      <c r="C45" s="621"/>
      <c r="D45" s="621"/>
      <c r="E45" s="621"/>
      <c r="F45" s="621"/>
      <c r="G45" s="621"/>
      <c r="H45" s="621"/>
      <c r="I45" s="621"/>
      <c r="J45" s="621"/>
      <c r="K45" s="621"/>
      <c r="L45" s="621"/>
      <c r="M45" s="621"/>
      <c r="N45" s="621"/>
      <c r="O45" s="621"/>
      <c r="P45" s="192"/>
      <c r="Q45" s="192"/>
      <c r="R45" s="192"/>
      <c r="S45" s="192"/>
      <c r="T45" s="192"/>
      <c r="U45" s="192"/>
    </row>
    <row r="46" spans="1:22" ht="58.5" customHeight="1" thickTop="1" thickBot="1">
      <c r="A46" s="621"/>
      <c r="B46" s="621"/>
      <c r="C46" s="621"/>
      <c r="D46" s="621"/>
      <c r="E46" s="621"/>
      <c r="F46" s="621"/>
      <c r="G46" s="621"/>
      <c r="H46" s="621"/>
      <c r="I46" s="621"/>
      <c r="J46" s="621"/>
      <c r="K46" s="621"/>
      <c r="L46" s="621"/>
      <c r="M46" s="621"/>
      <c r="N46" s="621"/>
      <c r="O46" s="621"/>
      <c r="P46" s="624" t="s">
        <v>429</v>
      </c>
      <c r="Q46" s="625"/>
      <c r="R46" s="216"/>
      <c r="S46" s="217" t="s">
        <v>430</v>
      </c>
      <c r="T46" s="218" t="str">
        <f>IF(R46="","",ROUNDUP(T44/R46,0))</f>
        <v/>
      </c>
      <c r="V46" s="219"/>
    </row>
    <row r="47" spans="1:22" ht="16.5" customHeight="1" thickTop="1">
      <c r="A47" s="220"/>
      <c r="B47" s="220"/>
      <c r="C47" s="220"/>
      <c r="D47" s="220"/>
      <c r="E47" s="220"/>
      <c r="F47" s="220"/>
      <c r="G47" s="220"/>
      <c r="H47" s="220"/>
      <c r="I47" s="220"/>
      <c r="J47" s="220"/>
      <c r="K47" s="220"/>
      <c r="L47" s="220"/>
      <c r="M47" s="220"/>
      <c r="N47" s="220"/>
      <c r="O47" s="220"/>
      <c r="P47" s="221"/>
      <c r="Q47" s="222"/>
      <c r="R47" s="223"/>
      <c r="S47" s="223"/>
      <c r="T47" s="223"/>
      <c r="U47" s="222"/>
    </row>
    <row r="48" spans="1:22" ht="13.5" customHeight="1">
      <c r="A48" s="185" t="s">
        <v>407</v>
      </c>
      <c r="B48" s="224"/>
      <c r="C48" s="200" t="s">
        <v>408</v>
      </c>
      <c r="D48" s="224"/>
      <c r="E48" s="200" t="s">
        <v>431</v>
      </c>
      <c r="F48" s="225"/>
      <c r="G48" s="226" t="s">
        <v>432</v>
      </c>
      <c r="H48" s="227"/>
      <c r="I48" s="200"/>
      <c r="J48" s="227"/>
      <c r="L48" s="227"/>
      <c r="M48" s="200"/>
      <c r="N48" s="227"/>
      <c r="O48" s="227"/>
      <c r="P48" s="198"/>
      <c r="Q48" s="198"/>
      <c r="R48" s="198"/>
      <c r="S48" s="198"/>
      <c r="T48" s="198"/>
      <c r="U48" s="198"/>
    </row>
    <row r="49" spans="1:21" ht="15" customHeight="1">
      <c r="B49" s="192"/>
      <c r="C49" s="609" t="str">
        <f>"（名称）"&amp;dataSheet!H2</f>
        <v>（名称）</v>
      </c>
      <c r="D49" s="609"/>
      <c r="E49" s="609"/>
      <c r="F49" s="609"/>
      <c r="G49" s="609"/>
      <c r="H49" s="609"/>
      <c r="I49" s="609"/>
      <c r="J49" s="609"/>
      <c r="K49" s="192"/>
      <c r="L49" s="192"/>
      <c r="M49" s="192"/>
      <c r="N49" s="192"/>
      <c r="O49" s="228" t="s">
        <v>433</v>
      </c>
      <c r="P49" s="229"/>
      <c r="Q49" s="229"/>
      <c r="R49" s="229"/>
      <c r="S49" s="229"/>
      <c r="T49" s="230"/>
      <c r="U49" s="231"/>
    </row>
    <row r="50" spans="1:21" ht="15" customHeight="1">
      <c r="A50" s="192" t="s">
        <v>434</v>
      </c>
      <c r="B50" s="192"/>
      <c r="C50" s="192"/>
      <c r="D50" s="227" t="s">
        <v>435</v>
      </c>
      <c r="E50" s="227"/>
      <c r="F50" s="610">
        <f>dataSheet!L2</f>
        <v>0</v>
      </c>
      <c r="G50" s="610"/>
      <c r="H50" s="232" t="s">
        <v>436</v>
      </c>
      <c r="I50" s="610">
        <f>dataSheet!M2</f>
        <v>0</v>
      </c>
      <c r="J50" s="610"/>
      <c r="K50" s="232" t="s">
        <v>436</v>
      </c>
      <c r="L50" s="355">
        <f>dataSheet!N2</f>
        <v>0</v>
      </c>
      <c r="M50" s="227" t="s">
        <v>437</v>
      </c>
      <c r="N50" s="227"/>
      <c r="O50" s="233" t="s">
        <v>438</v>
      </c>
      <c r="P50" s="234"/>
      <c r="Q50" s="234"/>
      <c r="R50" s="234"/>
      <c r="S50" s="234"/>
      <c r="T50" s="235"/>
      <c r="U50" s="236"/>
    </row>
    <row r="51" spans="1:21" ht="15" customHeight="1">
      <c r="C51" s="609" t="str">
        <f>"（氏名）"&amp;dataSheet!J2&amp;"　"&amp;dataSheet!K2</f>
        <v>（氏名）　</v>
      </c>
      <c r="D51" s="609"/>
      <c r="E51" s="609"/>
      <c r="F51" s="609"/>
      <c r="G51" s="609"/>
      <c r="H51" s="609"/>
      <c r="I51" s="609"/>
      <c r="J51" s="224" t="s">
        <v>439</v>
      </c>
      <c r="K51" s="192"/>
      <c r="L51" s="192"/>
      <c r="M51" s="192"/>
      <c r="N51" s="192"/>
      <c r="O51" s="237" t="s">
        <v>440</v>
      </c>
      <c r="P51" s="238"/>
      <c r="Q51" s="238"/>
      <c r="R51" s="238"/>
      <c r="S51" s="238"/>
      <c r="T51" s="239"/>
      <c r="U51" s="240">
        <f>dataSheet!AN2</f>
        <v>0</v>
      </c>
    </row>
    <row r="52" spans="1:21" ht="21.75" customHeight="1" thickBot="1">
      <c r="A52" s="192" t="s">
        <v>441</v>
      </c>
      <c r="B52" s="192"/>
      <c r="C52" s="192"/>
      <c r="D52" s="192"/>
      <c r="E52" s="192"/>
      <c r="F52" s="192"/>
      <c r="G52" s="192"/>
      <c r="H52" s="192"/>
      <c r="I52" s="192"/>
      <c r="J52" s="192"/>
      <c r="K52" s="192"/>
      <c r="L52" s="192"/>
      <c r="M52" s="192"/>
      <c r="N52" s="192"/>
      <c r="O52" s="241"/>
      <c r="P52" s="242" t="s">
        <v>442</v>
      </c>
      <c r="Q52" s="241"/>
      <c r="R52" s="241"/>
      <c r="S52" s="241"/>
      <c r="T52" s="241"/>
      <c r="U52" s="241"/>
    </row>
    <row r="53" spans="1:21" ht="18" customHeight="1" thickBot="1">
      <c r="A53" s="192"/>
      <c r="B53" s="192"/>
      <c r="C53" s="609" t="s">
        <v>443</v>
      </c>
      <c r="D53" s="609"/>
      <c r="E53" s="609"/>
      <c r="F53" s="609"/>
      <c r="G53" s="609"/>
      <c r="H53" s="609"/>
      <c r="I53" s="609"/>
      <c r="J53" s="224" t="s">
        <v>439</v>
      </c>
      <c r="K53" s="192"/>
      <c r="L53" s="192"/>
      <c r="M53" s="192"/>
      <c r="N53" s="192"/>
      <c r="O53" s="192"/>
      <c r="P53" s="192"/>
      <c r="Q53" s="243"/>
      <c r="R53" s="195" t="s">
        <v>444</v>
      </c>
      <c r="S53" s="194"/>
      <c r="T53" s="244" t="s">
        <v>445</v>
      </c>
      <c r="U53" s="245"/>
    </row>
    <row r="54" spans="1:21" ht="12.75" customHeight="1"/>
    <row r="55" spans="1:21" ht="14.25" customHeight="1">
      <c r="A55" s="246"/>
      <c r="B55" s="246"/>
      <c r="C55" s="246"/>
      <c r="D55" s="246"/>
      <c r="E55" s="246"/>
      <c r="F55" s="246"/>
      <c r="G55" s="246"/>
      <c r="H55" s="246"/>
      <c r="I55" s="246"/>
      <c r="J55" s="246"/>
      <c r="K55" s="246"/>
      <c r="L55" s="246"/>
      <c r="M55" s="246"/>
      <c r="N55" s="246"/>
      <c r="O55" s="246"/>
      <c r="P55" s="246"/>
      <c r="Q55" s="246"/>
      <c r="R55" s="246"/>
      <c r="S55" s="246"/>
      <c r="T55" s="246"/>
      <c r="U55" s="246"/>
    </row>
    <row r="56" spans="1:21" ht="20.100000000000001" customHeight="1">
      <c r="A56" s="247"/>
      <c r="B56" s="611" t="s">
        <v>446</v>
      </c>
      <c r="C56" s="611"/>
      <c r="D56" s="611"/>
      <c r="E56" s="248"/>
      <c r="F56" s="248"/>
      <c r="G56" s="248"/>
      <c r="H56" s="248"/>
      <c r="I56" s="248"/>
      <c r="J56" s="248"/>
      <c r="K56" s="248"/>
      <c r="L56" s="248"/>
      <c r="M56" s="248"/>
      <c r="N56" s="248"/>
      <c r="O56" s="248"/>
      <c r="P56" s="248"/>
      <c r="Q56" s="248"/>
      <c r="R56" s="248"/>
      <c r="S56" s="248"/>
      <c r="T56" s="248"/>
      <c r="U56" s="248"/>
    </row>
    <row r="57" spans="1:21" ht="20.100000000000001" customHeight="1">
      <c r="A57" s="247"/>
      <c r="B57" s="248"/>
      <c r="C57" s="248"/>
      <c r="D57" s="248"/>
      <c r="E57" s="248"/>
      <c r="F57" s="248"/>
      <c r="G57" s="248"/>
      <c r="H57" s="248"/>
      <c r="I57" s="248"/>
      <c r="J57" s="248"/>
      <c r="K57" s="248"/>
      <c r="L57" s="248"/>
      <c r="M57" s="248"/>
      <c r="N57" s="248"/>
      <c r="O57" s="248"/>
      <c r="P57" s="248"/>
      <c r="Q57" s="248"/>
      <c r="R57" s="248"/>
      <c r="S57" s="248"/>
      <c r="T57" s="248"/>
      <c r="U57" s="248"/>
    </row>
    <row r="58" spans="1:21" ht="20.100000000000001" customHeight="1">
      <c r="A58" s="247">
        <v>1</v>
      </c>
      <c r="B58" s="626" t="s">
        <v>447</v>
      </c>
      <c r="C58" s="626"/>
      <c r="D58" s="626"/>
      <c r="E58" s="626"/>
      <c r="F58" s="626"/>
      <c r="G58" s="626"/>
      <c r="H58" s="626"/>
      <c r="I58" s="626"/>
      <c r="J58" s="626"/>
      <c r="K58" s="626"/>
      <c r="L58" s="626"/>
      <c r="M58" s="247">
        <v>6</v>
      </c>
      <c r="N58" s="626" t="s">
        <v>448</v>
      </c>
      <c r="O58" s="626"/>
      <c r="P58" s="626"/>
      <c r="Q58" s="626"/>
      <c r="R58" s="626"/>
      <c r="S58" s="626"/>
      <c r="T58" s="626"/>
      <c r="U58" s="626"/>
    </row>
    <row r="59" spans="1:21" ht="20.100000000000001" customHeight="1">
      <c r="A59" s="247"/>
      <c r="B59" s="626"/>
      <c r="C59" s="626"/>
      <c r="D59" s="626"/>
      <c r="E59" s="626"/>
      <c r="F59" s="626"/>
      <c r="G59" s="626"/>
      <c r="H59" s="626"/>
      <c r="I59" s="626"/>
      <c r="J59" s="626"/>
      <c r="K59" s="626"/>
      <c r="L59" s="626"/>
      <c r="M59" s="247"/>
      <c r="N59" s="626"/>
      <c r="O59" s="626"/>
      <c r="P59" s="626"/>
      <c r="Q59" s="626"/>
      <c r="R59" s="626"/>
      <c r="S59" s="626"/>
      <c r="T59" s="626"/>
      <c r="U59" s="626"/>
    </row>
    <row r="60" spans="1:21" ht="20.100000000000001" customHeight="1">
      <c r="A60" s="247"/>
      <c r="B60" s="626"/>
      <c r="C60" s="626"/>
      <c r="D60" s="626"/>
      <c r="E60" s="626"/>
      <c r="F60" s="626"/>
      <c r="G60" s="626"/>
      <c r="H60" s="626"/>
      <c r="I60" s="626"/>
      <c r="J60" s="626"/>
      <c r="K60" s="626"/>
      <c r="L60" s="626"/>
      <c r="M60" s="247"/>
      <c r="N60" s="626"/>
      <c r="O60" s="626"/>
      <c r="P60" s="626"/>
      <c r="Q60" s="626"/>
      <c r="R60" s="626"/>
      <c r="S60" s="626"/>
      <c r="T60" s="626"/>
      <c r="U60" s="626"/>
    </row>
    <row r="61" spans="1:21" ht="20.100000000000001" customHeight="1">
      <c r="A61" s="247"/>
      <c r="B61" s="247"/>
      <c r="C61" s="247"/>
      <c r="D61" s="247"/>
      <c r="E61" s="247"/>
      <c r="F61" s="247"/>
      <c r="G61" s="247"/>
      <c r="H61" s="247"/>
      <c r="I61" s="247"/>
      <c r="J61" s="247"/>
      <c r="K61" s="247"/>
      <c r="L61" s="247"/>
      <c r="M61" s="247"/>
      <c r="N61" s="626"/>
      <c r="O61" s="626"/>
      <c r="P61" s="626"/>
      <c r="Q61" s="626"/>
      <c r="R61" s="626"/>
      <c r="S61" s="626"/>
      <c r="T61" s="626"/>
      <c r="U61" s="626"/>
    </row>
    <row r="62" spans="1:21" ht="20.100000000000001" customHeight="1">
      <c r="A62" s="247">
        <v>2</v>
      </c>
      <c r="B62" s="626" t="s">
        <v>449</v>
      </c>
      <c r="C62" s="626"/>
      <c r="D62" s="626"/>
      <c r="E62" s="626"/>
      <c r="F62" s="626"/>
      <c r="G62" s="626"/>
      <c r="H62" s="626"/>
      <c r="I62" s="626"/>
      <c r="J62" s="626"/>
      <c r="K62" s="626"/>
      <c r="L62" s="626"/>
      <c r="M62" s="247"/>
      <c r="N62" s="626"/>
      <c r="O62" s="626"/>
      <c r="P62" s="626"/>
      <c r="Q62" s="626"/>
      <c r="R62" s="626"/>
      <c r="S62" s="626"/>
      <c r="T62" s="626"/>
      <c r="U62" s="626"/>
    </row>
    <row r="63" spans="1:21" ht="20.100000000000001" customHeight="1">
      <c r="A63" s="247"/>
      <c r="B63" s="626"/>
      <c r="C63" s="626"/>
      <c r="D63" s="626"/>
      <c r="E63" s="626"/>
      <c r="F63" s="626"/>
      <c r="G63" s="626"/>
      <c r="H63" s="626"/>
      <c r="I63" s="626"/>
      <c r="J63" s="626"/>
      <c r="K63" s="626"/>
      <c r="L63" s="626"/>
      <c r="M63" s="247"/>
      <c r="N63" s="626"/>
      <c r="O63" s="626"/>
      <c r="P63" s="626"/>
      <c r="Q63" s="626"/>
      <c r="R63" s="626"/>
      <c r="S63" s="626"/>
      <c r="T63" s="626"/>
      <c r="U63" s="626"/>
    </row>
    <row r="64" spans="1:21" ht="20.100000000000001" customHeight="1">
      <c r="A64" s="247"/>
      <c r="B64" s="626"/>
      <c r="C64" s="626"/>
      <c r="D64" s="626"/>
      <c r="E64" s="626"/>
      <c r="F64" s="626"/>
      <c r="G64" s="626"/>
      <c r="H64" s="626"/>
      <c r="I64" s="626"/>
      <c r="J64" s="626"/>
      <c r="K64" s="626"/>
      <c r="L64" s="626"/>
      <c r="M64" s="247"/>
      <c r="N64" s="247"/>
      <c r="O64" s="247"/>
      <c r="P64" s="247"/>
      <c r="Q64" s="247"/>
      <c r="R64" s="247"/>
      <c r="S64" s="247"/>
      <c r="T64" s="247"/>
      <c r="U64" s="247"/>
    </row>
    <row r="65" spans="1:21" ht="20.100000000000001" customHeight="1">
      <c r="A65" s="247"/>
      <c r="B65" s="247"/>
      <c r="C65" s="247"/>
      <c r="D65" s="247"/>
      <c r="E65" s="247"/>
      <c r="F65" s="247"/>
      <c r="G65" s="247"/>
      <c r="H65" s="247"/>
      <c r="I65" s="247"/>
      <c r="J65" s="247"/>
      <c r="K65" s="247"/>
      <c r="L65" s="247"/>
      <c r="M65" s="247">
        <v>7</v>
      </c>
      <c r="N65" s="626" t="s">
        <v>450</v>
      </c>
      <c r="O65" s="626"/>
      <c r="P65" s="626"/>
      <c r="Q65" s="626"/>
      <c r="R65" s="626"/>
      <c r="S65" s="626"/>
      <c r="T65" s="626"/>
      <c r="U65" s="626"/>
    </row>
    <row r="66" spans="1:21" ht="20.100000000000001" customHeight="1">
      <c r="A66" s="247">
        <v>3</v>
      </c>
      <c r="B66" s="626" t="s">
        <v>451</v>
      </c>
      <c r="C66" s="626"/>
      <c r="D66" s="626"/>
      <c r="E66" s="626"/>
      <c r="F66" s="626"/>
      <c r="G66" s="626"/>
      <c r="H66" s="626"/>
      <c r="I66" s="626"/>
      <c r="J66" s="626"/>
      <c r="K66" s="626"/>
      <c r="L66" s="626"/>
      <c r="M66" s="247"/>
      <c r="N66" s="626"/>
      <c r="O66" s="626"/>
      <c r="P66" s="626"/>
      <c r="Q66" s="626"/>
      <c r="R66" s="626"/>
      <c r="S66" s="626"/>
      <c r="T66" s="626"/>
      <c r="U66" s="626"/>
    </row>
    <row r="67" spans="1:21" ht="20.100000000000001" customHeight="1">
      <c r="A67" s="247"/>
      <c r="B67" s="626"/>
      <c r="C67" s="626"/>
      <c r="D67" s="626"/>
      <c r="E67" s="626"/>
      <c r="F67" s="626"/>
      <c r="G67" s="626"/>
      <c r="H67" s="626"/>
      <c r="I67" s="626"/>
      <c r="J67" s="626"/>
      <c r="K67" s="626"/>
      <c r="L67" s="626"/>
      <c r="M67" s="247"/>
      <c r="N67" s="626"/>
      <c r="O67" s="626"/>
      <c r="P67" s="626"/>
      <c r="Q67" s="626"/>
      <c r="R67" s="626"/>
      <c r="S67" s="626"/>
      <c r="T67" s="626"/>
      <c r="U67" s="626"/>
    </row>
    <row r="68" spans="1:21" ht="20.100000000000001" customHeight="1">
      <c r="A68" s="247"/>
      <c r="B68" s="247"/>
      <c r="C68" s="247"/>
      <c r="D68" s="247"/>
      <c r="E68" s="247"/>
      <c r="F68" s="247"/>
      <c r="G68" s="247"/>
      <c r="H68" s="247"/>
      <c r="I68" s="247"/>
      <c r="J68" s="247"/>
      <c r="K68" s="247"/>
      <c r="L68" s="247"/>
      <c r="M68" s="247"/>
      <c r="N68" s="247"/>
      <c r="O68" s="247"/>
      <c r="P68" s="247"/>
      <c r="Q68" s="247"/>
      <c r="R68" s="247"/>
      <c r="S68" s="247"/>
      <c r="T68" s="247"/>
      <c r="U68" s="247"/>
    </row>
    <row r="69" spans="1:21" ht="20.100000000000001" customHeight="1">
      <c r="A69" s="249">
        <v>4</v>
      </c>
      <c r="B69" s="626" t="s">
        <v>452</v>
      </c>
      <c r="C69" s="626"/>
      <c r="D69" s="626"/>
      <c r="E69" s="626"/>
      <c r="F69" s="626"/>
      <c r="G69" s="626"/>
      <c r="H69" s="626"/>
      <c r="I69" s="626"/>
      <c r="J69" s="626"/>
      <c r="K69" s="626"/>
      <c r="L69" s="626"/>
      <c r="M69" s="247">
        <v>8</v>
      </c>
      <c r="N69" s="626" t="s">
        <v>453</v>
      </c>
      <c r="O69" s="626"/>
      <c r="P69" s="626"/>
      <c r="Q69" s="626"/>
      <c r="R69" s="626"/>
      <c r="S69" s="626"/>
      <c r="T69" s="626"/>
      <c r="U69" s="626"/>
    </row>
    <row r="70" spans="1:21" ht="20.100000000000001" customHeight="1">
      <c r="A70" s="249"/>
      <c r="B70" s="626"/>
      <c r="C70" s="626"/>
      <c r="D70" s="626"/>
      <c r="E70" s="626"/>
      <c r="F70" s="626"/>
      <c r="G70" s="626"/>
      <c r="H70" s="626"/>
      <c r="I70" s="626"/>
      <c r="J70" s="626"/>
      <c r="K70" s="626"/>
      <c r="L70" s="626"/>
      <c r="M70" s="247"/>
      <c r="N70" s="626"/>
      <c r="O70" s="626"/>
      <c r="P70" s="626"/>
      <c r="Q70" s="626"/>
      <c r="R70" s="626"/>
      <c r="S70" s="626"/>
      <c r="T70" s="626"/>
      <c r="U70" s="626"/>
    </row>
    <row r="71" spans="1:21" ht="20.100000000000001" customHeight="1">
      <c r="A71" s="247"/>
      <c r="B71" s="626"/>
      <c r="C71" s="626"/>
      <c r="D71" s="626"/>
      <c r="E71" s="626"/>
      <c r="F71" s="626"/>
      <c r="G71" s="626"/>
      <c r="H71" s="626"/>
      <c r="I71" s="626"/>
      <c r="J71" s="626"/>
      <c r="K71" s="626"/>
      <c r="L71" s="626"/>
      <c r="M71" s="247"/>
      <c r="N71" s="626"/>
      <c r="O71" s="626"/>
      <c r="P71" s="626"/>
      <c r="Q71" s="626"/>
      <c r="R71" s="626"/>
      <c r="S71" s="626"/>
      <c r="T71" s="626"/>
      <c r="U71" s="626"/>
    </row>
    <row r="72" spans="1:21" ht="20.100000000000001" customHeight="1">
      <c r="A72" s="247"/>
      <c r="B72" s="626"/>
      <c r="C72" s="626"/>
      <c r="D72" s="626"/>
      <c r="E72" s="626"/>
      <c r="F72" s="626"/>
      <c r="G72" s="626"/>
      <c r="H72" s="626"/>
      <c r="I72" s="626"/>
      <c r="J72" s="626"/>
      <c r="K72" s="626"/>
      <c r="L72" s="626"/>
      <c r="M72" s="247"/>
      <c r="N72" s="626"/>
      <c r="O72" s="626"/>
      <c r="P72" s="626"/>
      <c r="Q72" s="626"/>
      <c r="R72" s="626"/>
      <c r="S72" s="626"/>
      <c r="T72" s="626"/>
      <c r="U72" s="626"/>
    </row>
    <row r="73" spans="1:21" ht="20.100000000000001" customHeight="1">
      <c r="A73" s="247"/>
      <c r="B73" s="626"/>
      <c r="C73" s="626"/>
      <c r="D73" s="626"/>
      <c r="E73" s="626"/>
      <c r="F73" s="626"/>
      <c r="G73" s="626"/>
      <c r="H73" s="626"/>
      <c r="I73" s="626"/>
      <c r="J73" s="626"/>
      <c r="K73" s="626"/>
      <c r="L73" s="626"/>
      <c r="M73" s="247"/>
      <c r="N73" s="247"/>
      <c r="O73" s="247"/>
      <c r="P73" s="247"/>
      <c r="Q73" s="247"/>
      <c r="R73" s="247"/>
      <c r="S73" s="247"/>
      <c r="T73" s="247"/>
      <c r="U73" s="247"/>
    </row>
    <row r="74" spans="1:21" ht="20.100000000000001" customHeight="1">
      <c r="A74" s="247"/>
      <c r="B74" s="247"/>
      <c r="C74" s="247"/>
      <c r="D74" s="247"/>
      <c r="E74" s="247"/>
      <c r="F74" s="247"/>
      <c r="G74" s="247"/>
      <c r="H74" s="247"/>
      <c r="I74" s="247"/>
      <c r="J74" s="247"/>
      <c r="K74" s="247"/>
      <c r="L74" s="247"/>
      <c r="M74" s="247">
        <v>9</v>
      </c>
      <c r="N74" s="626" t="s">
        <v>454</v>
      </c>
      <c r="O74" s="626"/>
      <c r="P74" s="626"/>
      <c r="Q74" s="626"/>
      <c r="R74" s="626"/>
      <c r="S74" s="626"/>
      <c r="T74" s="626"/>
      <c r="U74" s="626"/>
    </row>
    <row r="75" spans="1:21" ht="20.100000000000001" customHeight="1">
      <c r="A75" s="249">
        <v>5</v>
      </c>
      <c r="B75" s="626" t="s">
        <v>455</v>
      </c>
      <c r="C75" s="626"/>
      <c r="D75" s="626"/>
      <c r="E75" s="626"/>
      <c r="F75" s="626"/>
      <c r="G75" s="626"/>
      <c r="H75" s="626"/>
      <c r="I75" s="626"/>
      <c r="J75" s="626"/>
      <c r="K75" s="626"/>
      <c r="L75" s="626"/>
      <c r="M75" s="247"/>
      <c r="N75" s="626"/>
      <c r="O75" s="626"/>
      <c r="P75" s="626"/>
      <c r="Q75" s="626"/>
      <c r="R75" s="626"/>
      <c r="S75" s="626"/>
      <c r="T75" s="626"/>
      <c r="U75" s="626"/>
    </row>
    <row r="76" spans="1:21" ht="20.100000000000001" customHeight="1">
      <c r="A76" s="249"/>
      <c r="B76" s="626"/>
      <c r="C76" s="626"/>
      <c r="D76" s="626"/>
      <c r="E76" s="626"/>
      <c r="F76" s="626"/>
      <c r="G76" s="626"/>
      <c r="H76" s="626"/>
      <c r="I76" s="626"/>
      <c r="J76" s="626"/>
      <c r="K76" s="626"/>
      <c r="L76" s="626"/>
      <c r="M76" s="247"/>
      <c r="N76" s="247"/>
      <c r="O76" s="247"/>
      <c r="P76" s="247"/>
      <c r="Q76" s="247"/>
      <c r="R76" s="247"/>
      <c r="S76" s="247"/>
      <c r="T76" s="247"/>
      <c r="U76" s="247"/>
    </row>
    <row r="77" spans="1:21" ht="20.100000000000001" customHeight="1">
      <c r="A77" s="247"/>
      <c r="B77" s="626"/>
      <c r="C77" s="626"/>
      <c r="D77" s="626"/>
      <c r="E77" s="626"/>
      <c r="F77" s="626"/>
      <c r="G77" s="626"/>
      <c r="H77" s="626"/>
      <c r="I77" s="626"/>
      <c r="J77" s="626"/>
      <c r="K77" s="626"/>
      <c r="L77" s="626"/>
      <c r="M77" s="250">
        <v>10</v>
      </c>
      <c r="N77" s="626" t="s">
        <v>456</v>
      </c>
      <c r="O77" s="626"/>
      <c r="P77" s="626"/>
      <c r="Q77" s="626"/>
      <c r="R77" s="626"/>
      <c r="S77" s="626"/>
      <c r="T77" s="626"/>
      <c r="U77" s="626"/>
    </row>
    <row r="78" spans="1:21" ht="20.100000000000001" customHeight="1">
      <c r="A78" s="251"/>
      <c r="B78" s="626"/>
      <c r="C78" s="626"/>
      <c r="D78" s="626"/>
      <c r="E78" s="626"/>
      <c r="F78" s="626"/>
      <c r="G78" s="626"/>
      <c r="H78" s="626"/>
      <c r="I78" s="626"/>
      <c r="J78" s="626"/>
      <c r="K78" s="626"/>
      <c r="L78" s="626"/>
      <c r="M78" s="250"/>
      <c r="N78" s="626"/>
      <c r="O78" s="626"/>
      <c r="P78" s="626"/>
      <c r="Q78" s="626"/>
      <c r="R78" s="626"/>
      <c r="S78" s="626"/>
      <c r="T78" s="626"/>
      <c r="U78" s="626"/>
    </row>
    <row r="79" spans="1:21" ht="20.100000000000001" customHeight="1">
      <c r="A79" s="251"/>
      <c r="B79" s="626"/>
      <c r="C79" s="626"/>
      <c r="D79" s="626"/>
      <c r="E79" s="626"/>
      <c r="F79" s="626"/>
      <c r="G79" s="626"/>
      <c r="H79" s="626"/>
      <c r="I79" s="626"/>
      <c r="J79" s="626"/>
      <c r="K79" s="626"/>
      <c r="L79" s="626"/>
      <c r="M79" s="250"/>
      <c r="N79" s="626"/>
      <c r="O79" s="626"/>
      <c r="P79" s="626"/>
      <c r="Q79" s="626"/>
      <c r="R79" s="626"/>
      <c r="S79" s="626"/>
      <c r="T79" s="626"/>
      <c r="U79" s="626"/>
    </row>
    <row r="80" spans="1:21" ht="20.100000000000001" customHeight="1">
      <c r="A80" s="247"/>
      <c r="B80" s="247"/>
      <c r="C80" s="247"/>
      <c r="D80" s="247"/>
      <c r="E80" s="247"/>
      <c r="F80" s="247"/>
      <c r="G80" s="247"/>
      <c r="H80" s="247"/>
      <c r="I80" s="247"/>
      <c r="J80" s="247"/>
      <c r="K80" s="247"/>
      <c r="L80" s="247"/>
      <c r="M80" s="247"/>
      <c r="N80" s="626"/>
      <c r="O80" s="626"/>
      <c r="P80" s="626"/>
      <c r="Q80" s="626"/>
      <c r="R80" s="626"/>
      <c r="S80" s="626"/>
      <c r="T80" s="626"/>
      <c r="U80" s="626"/>
    </row>
    <row r="81" spans="1:21" ht="20.100000000000001" customHeight="1">
      <c r="A81" s="247"/>
      <c r="B81" s="247"/>
      <c r="C81" s="247"/>
      <c r="D81" s="247"/>
      <c r="E81" s="247"/>
      <c r="F81" s="247"/>
      <c r="G81" s="247"/>
      <c r="H81" s="247"/>
      <c r="I81" s="247"/>
      <c r="J81" s="247"/>
      <c r="K81" s="247"/>
      <c r="L81" s="247"/>
      <c r="M81" s="247">
        <v>11</v>
      </c>
      <c r="N81" s="626" t="s">
        <v>457</v>
      </c>
      <c r="O81" s="626"/>
      <c r="P81" s="626"/>
      <c r="Q81" s="626"/>
      <c r="R81" s="626"/>
      <c r="S81" s="626"/>
      <c r="T81" s="626"/>
      <c r="U81" s="626"/>
    </row>
    <row r="82" spans="1:21" ht="20.100000000000001" customHeight="1">
      <c r="A82" s="247"/>
      <c r="B82" s="247"/>
      <c r="C82" s="247"/>
      <c r="D82" s="247"/>
      <c r="E82" s="247"/>
      <c r="F82" s="247"/>
      <c r="G82" s="247"/>
      <c r="H82" s="247"/>
      <c r="I82" s="247"/>
      <c r="J82" s="247"/>
      <c r="K82" s="247"/>
      <c r="L82" s="247"/>
      <c r="M82" s="247"/>
      <c r="N82" s="626"/>
      <c r="O82" s="626"/>
      <c r="P82" s="626"/>
      <c r="Q82" s="626"/>
      <c r="R82" s="626"/>
      <c r="S82" s="626"/>
      <c r="T82" s="626"/>
      <c r="U82" s="626"/>
    </row>
    <row r="83" spans="1:21" ht="20.100000000000001" customHeight="1">
      <c r="A83" s="247"/>
      <c r="B83" s="247"/>
      <c r="C83" s="247"/>
      <c r="D83" s="247"/>
      <c r="E83" s="247"/>
      <c r="F83" s="247"/>
      <c r="G83" s="247"/>
      <c r="H83" s="247"/>
      <c r="I83" s="247"/>
      <c r="J83" s="247"/>
      <c r="K83" s="247"/>
      <c r="L83" s="247"/>
      <c r="M83" s="247"/>
      <c r="N83" s="626"/>
      <c r="O83" s="626"/>
      <c r="P83" s="626"/>
      <c r="Q83" s="626"/>
      <c r="R83" s="626"/>
      <c r="S83" s="626"/>
      <c r="T83" s="626"/>
      <c r="U83" s="626"/>
    </row>
    <row r="84" spans="1:21" ht="20.100000000000001" customHeight="1">
      <c r="A84" s="249"/>
      <c r="B84" s="247"/>
      <c r="C84" s="247"/>
      <c r="D84" s="247"/>
      <c r="E84" s="247"/>
      <c r="F84" s="247"/>
      <c r="G84" s="247"/>
      <c r="H84" s="247"/>
      <c r="I84" s="247"/>
      <c r="J84" s="247"/>
      <c r="K84" s="247"/>
      <c r="L84" s="247"/>
      <c r="M84" s="247"/>
      <c r="N84" s="247"/>
      <c r="O84" s="247"/>
      <c r="P84" s="247"/>
      <c r="Q84" s="247"/>
      <c r="R84" s="247"/>
      <c r="S84" s="247"/>
      <c r="T84" s="247"/>
      <c r="U84" s="247"/>
    </row>
    <row r="85" spans="1:21" ht="20.100000000000001" customHeight="1">
      <c r="A85" s="249"/>
      <c r="B85" s="247"/>
      <c r="C85" s="247"/>
      <c r="D85" s="247"/>
      <c r="E85" s="247"/>
      <c r="F85" s="247"/>
      <c r="G85" s="247"/>
      <c r="H85" s="247"/>
      <c r="I85" s="247"/>
      <c r="J85" s="247"/>
      <c r="K85" s="247"/>
      <c r="L85" s="247"/>
      <c r="M85" s="247"/>
      <c r="N85" s="247"/>
      <c r="O85" s="247"/>
      <c r="P85" s="247"/>
      <c r="Q85" s="247"/>
      <c r="R85" s="247"/>
      <c r="S85" s="247"/>
      <c r="T85" s="247"/>
      <c r="U85" s="247"/>
    </row>
    <row r="86" spans="1:21">
      <c r="A86" s="252"/>
      <c r="B86" s="252"/>
      <c r="C86" s="252"/>
      <c r="D86" s="252"/>
      <c r="E86" s="252"/>
      <c r="F86" s="252"/>
      <c r="G86" s="252"/>
      <c r="H86" s="252"/>
      <c r="I86" s="252"/>
      <c r="J86" s="252"/>
      <c r="K86" s="252"/>
      <c r="L86" s="252"/>
      <c r="M86" s="252"/>
      <c r="N86" s="252"/>
      <c r="O86" s="252"/>
      <c r="P86" s="252"/>
      <c r="Q86" s="252"/>
      <c r="R86" s="252"/>
      <c r="S86" s="252"/>
      <c r="T86" s="252"/>
      <c r="U86" s="252"/>
    </row>
    <row r="87" spans="1:21">
      <c r="A87" s="252"/>
      <c r="B87" s="252"/>
      <c r="C87" s="252"/>
      <c r="D87" s="252"/>
      <c r="E87" s="252"/>
      <c r="F87" s="252"/>
      <c r="G87" s="252"/>
      <c r="H87" s="252"/>
      <c r="I87" s="252"/>
      <c r="J87" s="252"/>
      <c r="K87" s="252"/>
      <c r="L87" s="252"/>
      <c r="M87" s="252"/>
      <c r="N87" s="252"/>
      <c r="O87" s="252"/>
      <c r="P87" s="252"/>
      <c r="Q87" s="252"/>
      <c r="R87" s="252"/>
      <c r="S87" s="252"/>
      <c r="T87" s="252"/>
      <c r="U87" s="252"/>
    </row>
    <row r="88" spans="1:21">
      <c r="A88" s="252"/>
      <c r="B88" s="252"/>
      <c r="C88" s="252"/>
      <c r="D88" s="252"/>
      <c r="E88" s="252"/>
      <c r="F88" s="252"/>
      <c r="G88" s="252"/>
      <c r="H88" s="252"/>
      <c r="I88" s="252"/>
      <c r="J88" s="252"/>
      <c r="K88" s="252"/>
      <c r="L88" s="252"/>
      <c r="M88" s="252"/>
      <c r="N88" s="252"/>
      <c r="O88" s="252"/>
      <c r="P88" s="252"/>
      <c r="Q88" s="252"/>
      <c r="R88" s="252"/>
      <c r="S88" s="252"/>
      <c r="T88" s="252"/>
      <c r="U88" s="252"/>
    </row>
    <row r="89" spans="1:21" ht="13.5" customHeight="1">
      <c r="A89" s="252"/>
      <c r="B89" s="252"/>
      <c r="C89" s="252"/>
      <c r="D89" s="252"/>
      <c r="E89" s="252"/>
      <c r="F89" s="252"/>
      <c r="G89" s="252"/>
      <c r="H89" s="252"/>
      <c r="I89" s="252"/>
      <c r="J89" s="252"/>
      <c r="K89" s="252"/>
      <c r="L89" s="252"/>
      <c r="M89" s="252"/>
      <c r="N89" s="252"/>
      <c r="O89" s="252"/>
      <c r="P89" s="252"/>
      <c r="Q89" s="252"/>
      <c r="R89" s="252"/>
      <c r="S89" s="252"/>
      <c r="T89" s="252"/>
      <c r="U89" s="252"/>
    </row>
    <row r="90" spans="1:21">
      <c r="B90" s="252"/>
      <c r="C90" s="252"/>
      <c r="D90" s="252"/>
      <c r="E90" s="252"/>
      <c r="F90" s="252"/>
      <c r="G90" s="252"/>
      <c r="H90" s="252"/>
      <c r="I90" s="252"/>
      <c r="J90" s="252"/>
      <c r="K90" s="252"/>
      <c r="L90" s="252"/>
      <c r="M90" s="252"/>
      <c r="N90" s="252"/>
      <c r="O90" s="252"/>
      <c r="P90" s="252"/>
      <c r="Q90" s="252"/>
      <c r="R90" s="252"/>
      <c r="S90" s="252"/>
      <c r="T90" s="252"/>
      <c r="U90" s="252"/>
    </row>
    <row r="91" spans="1:21" ht="13.5" customHeight="1">
      <c r="B91" s="252"/>
      <c r="C91" s="252"/>
      <c r="D91" s="252"/>
      <c r="E91" s="252"/>
      <c r="F91" s="252"/>
      <c r="G91" s="252"/>
      <c r="H91" s="252"/>
      <c r="I91" s="252"/>
      <c r="J91" s="252"/>
      <c r="K91" s="252"/>
      <c r="L91" s="252"/>
      <c r="M91" s="252"/>
      <c r="N91" s="252"/>
      <c r="O91" s="252"/>
      <c r="P91" s="252"/>
      <c r="Q91" s="252"/>
      <c r="R91" s="252"/>
      <c r="S91" s="252"/>
      <c r="T91" s="252"/>
      <c r="U91" s="252"/>
    </row>
    <row r="92" spans="1:21">
      <c r="A92" s="252"/>
      <c r="B92" s="252"/>
      <c r="C92" s="252"/>
      <c r="D92" s="252"/>
      <c r="E92" s="252"/>
      <c r="F92" s="252"/>
      <c r="G92" s="252"/>
      <c r="H92" s="252"/>
      <c r="I92" s="252"/>
      <c r="J92" s="252"/>
      <c r="K92" s="252"/>
      <c r="L92" s="252"/>
      <c r="M92" s="252"/>
      <c r="N92" s="252"/>
      <c r="O92" s="252"/>
      <c r="P92" s="252"/>
      <c r="Q92" s="252"/>
      <c r="R92" s="252"/>
      <c r="S92" s="252"/>
      <c r="T92" s="252"/>
      <c r="U92" s="252"/>
    </row>
    <row r="93" spans="1:21">
      <c r="A93" s="252"/>
      <c r="B93" s="252"/>
      <c r="C93" s="252"/>
      <c r="D93" s="252"/>
      <c r="E93" s="252"/>
      <c r="F93" s="252"/>
      <c r="G93" s="252"/>
      <c r="H93" s="252"/>
      <c r="I93" s="252"/>
      <c r="J93" s="252"/>
      <c r="K93" s="252"/>
      <c r="L93" s="252"/>
      <c r="M93" s="252"/>
      <c r="N93" s="252"/>
      <c r="O93" s="252"/>
      <c r="P93" s="252"/>
      <c r="Q93" s="252"/>
      <c r="R93" s="252"/>
      <c r="S93" s="252"/>
      <c r="T93" s="252"/>
      <c r="U93" s="252"/>
    </row>
    <row r="94" spans="1:21" ht="13.5" customHeight="1">
      <c r="A94" s="252"/>
      <c r="B94" s="252"/>
      <c r="C94" s="252"/>
      <c r="D94" s="252"/>
      <c r="E94" s="252"/>
      <c r="F94" s="252"/>
      <c r="G94" s="252"/>
      <c r="H94" s="252"/>
      <c r="I94" s="252"/>
      <c r="J94" s="252"/>
      <c r="K94" s="252"/>
      <c r="L94" s="252"/>
      <c r="M94" s="252"/>
      <c r="N94" s="252"/>
      <c r="O94" s="252"/>
      <c r="P94" s="252"/>
      <c r="Q94" s="252"/>
      <c r="R94" s="252"/>
      <c r="S94" s="252"/>
      <c r="T94" s="252"/>
      <c r="U94" s="252"/>
    </row>
    <row r="95" spans="1:21">
      <c r="A95" s="252"/>
      <c r="B95" s="252"/>
      <c r="C95" s="252"/>
      <c r="D95" s="252"/>
      <c r="E95" s="252"/>
      <c r="F95" s="252"/>
      <c r="G95" s="252"/>
      <c r="H95" s="252"/>
      <c r="I95" s="252"/>
      <c r="J95" s="252"/>
      <c r="K95" s="252"/>
      <c r="L95" s="252"/>
      <c r="M95" s="252"/>
      <c r="N95" s="252"/>
      <c r="O95" s="252"/>
      <c r="P95" s="252"/>
      <c r="Q95" s="252"/>
      <c r="R95" s="252"/>
      <c r="S95" s="252"/>
      <c r="T95" s="252"/>
      <c r="U95" s="252"/>
    </row>
    <row r="96" spans="1:21">
      <c r="A96" s="252"/>
      <c r="B96" s="252"/>
      <c r="C96" s="252"/>
      <c r="D96" s="252"/>
      <c r="E96" s="252"/>
      <c r="F96" s="252"/>
      <c r="G96" s="252"/>
      <c r="H96" s="252"/>
      <c r="I96" s="252"/>
      <c r="J96" s="252"/>
      <c r="K96" s="252"/>
      <c r="L96" s="252"/>
      <c r="M96" s="252"/>
      <c r="N96" s="252"/>
      <c r="O96" s="252"/>
      <c r="P96" s="252"/>
      <c r="Q96" s="252"/>
      <c r="R96" s="252"/>
      <c r="S96" s="252"/>
      <c r="T96" s="252"/>
      <c r="U96" s="252"/>
    </row>
    <row r="97" spans="1:21">
      <c r="A97" s="252"/>
      <c r="B97" s="252"/>
      <c r="C97" s="252"/>
      <c r="D97" s="252"/>
      <c r="E97" s="252"/>
      <c r="F97" s="252"/>
      <c r="G97" s="252"/>
      <c r="H97" s="252"/>
      <c r="I97" s="252"/>
      <c r="J97" s="252"/>
      <c r="K97" s="252"/>
      <c r="L97" s="252"/>
      <c r="M97" s="252"/>
      <c r="N97" s="252"/>
      <c r="O97" s="252"/>
      <c r="P97" s="252"/>
      <c r="Q97" s="252"/>
      <c r="R97" s="252"/>
      <c r="S97" s="252"/>
      <c r="T97" s="252"/>
      <c r="U97" s="252"/>
    </row>
    <row r="98" spans="1:21">
      <c r="A98" s="252"/>
      <c r="B98" s="252"/>
      <c r="C98" s="252"/>
      <c r="D98" s="252"/>
      <c r="E98" s="252"/>
      <c r="F98" s="252"/>
      <c r="G98" s="252"/>
      <c r="H98" s="252"/>
      <c r="I98" s="252"/>
      <c r="J98" s="252"/>
      <c r="K98" s="252"/>
      <c r="L98" s="252"/>
      <c r="M98" s="252"/>
      <c r="N98" s="252"/>
      <c r="O98" s="252"/>
      <c r="P98" s="252"/>
      <c r="Q98" s="252"/>
      <c r="R98" s="252"/>
      <c r="S98" s="252"/>
      <c r="T98" s="252"/>
      <c r="U98" s="252"/>
    </row>
    <row r="99" spans="1:21">
      <c r="A99" s="252"/>
      <c r="B99" s="252"/>
      <c r="C99" s="252"/>
      <c r="D99" s="252"/>
      <c r="E99" s="252"/>
      <c r="F99" s="252"/>
      <c r="G99" s="252"/>
      <c r="H99" s="252"/>
      <c r="I99" s="252"/>
      <c r="J99" s="252"/>
      <c r="K99" s="252"/>
      <c r="L99" s="252"/>
      <c r="M99" s="252"/>
      <c r="N99" s="252"/>
      <c r="O99" s="252"/>
      <c r="P99" s="252"/>
      <c r="Q99" s="252"/>
      <c r="R99" s="252"/>
      <c r="S99" s="252"/>
      <c r="T99" s="252"/>
      <c r="U99" s="252"/>
    </row>
    <row r="100" spans="1:21" ht="13.5" customHeight="1">
      <c r="A100" s="252"/>
      <c r="B100" s="252"/>
      <c r="C100" s="252"/>
      <c r="D100" s="252"/>
      <c r="E100" s="252"/>
      <c r="F100" s="252"/>
      <c r="G100" s="252"/>
      <c r="H100" s="252"/>
      <c r="I100" s="252"/>
      <c r="J100" s="252"/>
      <c r="K100" s="252"/>
      <c r="L100" s="252"/>
      <c r="M100" s="252"/>
      <c r="N100" s="252"/>
      <c r="O100" s="252"/>
      <c r="P100" s="252"/>
      <c r="Q100" s="252"/>
      <c r="R100" s="252"/>
      <c r="S100" s="252"/>
      <c r="T100" s="252"/>
      <c r="U100" s="252"/>
    </row>
    <row r="101" spans="1:21">
      <c r="A101" s="252"/>
      <c r="B101" s="252"/>
      <c r="C101" s="252"/>
      <c r="D101" s="252"/>
      <c r="E101" s="252"/>
      <c r="F101" s="252"/>
      <c r="G101" s="252"/>
      <c r="H101" s="252"/>
      <c r="I101" s="252"/>
      <c r="J101" s="252"/>
      <c r="K101" s="252"/>
      <c r="L101" s="252"/>
      <c r="M101" s="252"/>
      <c r="N101" s="252"/>
      <c r="O101" s="252"/>
      <c r="P101" s="252"/>
      <c r="Q101" s="252"/>
      <c r="R101" s="252"/>
      <c r="S101" s="252"/>
      <c r="T101" s="252"/>
      <c r="U101" s="252"/>
    </row>
    <row r="102" spans="1:21">
      <c r="A102" s="252"/>
      <c r="B102" s="252"/>
      <c r="C102" s="252"/>
      <c r="D102" s="252"/>
      <c r="E102" s="252"/>
      <c r="F102" s="252"/>
      <c r="G102" s="252"/>
      <c r="H102" s="252"/>
      <c r="I102" s="252"/>
      <c r="J102" s="252"/>
      <c r="K102" s="252"/>
      <c r="L102" s="252"/>
      <c r="M102" s="252"/>
      <c r="N102" s="252"/>
      <c r="O102" s="252"/>
      <c r="P102" s="252"/>
      <c r="Q102" s="252"/>
      <c r="R102" s="252"/>
      <c r="S102" s="252"/>
      <c r="T102" s="252"/>
      <c r="U102" s="252"/>
    </row>
    <row r="103" spans="1:21">
      <c r="A103" s="252"/>
      <c r="B103" s="252"/>
      <c r="C103" s="252"/>
      <c r="D103" s="252"/>
      <c r="E103" s="252"/>
      <c r="F103" s="252"/>
      <c r="G103" s="252"/>
      <c r="H103" s="252"/>
      <c r="I103" s="252"/>
      <c r="J103" s="252"/>
      <c r="K103" s="252"/>
      <c r="L103" s="252"/>
      <c r="M103" s="252"/>
      <c r="N103" s="252"/>
      <c r="O103" s="252"/>
      <c r="P103" s="252"/>
      <c r="Q103" s="252"/>
      <c r="R103" s="252"/>
      <c r="S103" s="252"/>
      <c r="T103" s="252"/>
      <c r="U103" s="252"/>
    </row>
    <row r="104" spans="1:21" ht="13.5" customHeight="1">
      <c r="A104" s="252"/>
      <c r="B104" s="252"/>
      <c r="C104" s="252"/>
      <c r="D104" s="252"/>
      <c r="E104" s="252"/>
      <c r="F104" s="252"/>
      <c r="G104" s="252"/>
      <c r="H104" s="252"/>
      <c r="I104" s="252"/>
      <c r="J104" s="252"/>
      <c r="K104" s="252"/>
      <c r="L104" s="252"/>
      <c r="M104" s="252"/>
      <c r="N104" s="252"/>
      <c r="O104" s="252"/>
      <c r="P104" s="252"/>
      <c r="Q104" s="252"/>
      <c r="R104" s="252"/>
      <c r="S104" s="252"/>
      <c r="T104" s="252"/>
      <c r="U104" s="252"/>
    </row>
    <row r="105" spans="1:21">
      <c r="B105" s="252"/>
      <c r="C105" s="252"/>
      <c r="D105" s="252"/>
      <c r="E105" s="252"/>
      <c r="F105" s="252"/>
      <c r="G105" s="252"/>
      <c r="H105" s="252"/>
      <c r="I105" s="252"/>
      <c r="J105" s="252"/>
      <c r="K105" s="252"/>
      <c r="L105" s="252"/>
      <c r="M105" s="252"/>
      <c r="N105" s="252"/>
      <c r="O105" s="252"/>
      <c r="P105" s="252"/>
      <c r="Q105" s="252"/>
      <c r="R105" s="252"/>
      <c r="S105" s="252"/>
      <c r="T105" s="252"/>
      <c r="U105" s="252"/>
    </row>
    <row r="106" spans="1:21">
      <c r="B106" s="252"/>
      <c r="C106" s="252"/>
      <c r="D106" s="252"/>
      <c r="E106" s="252"/>
      <c r="F106" s="252"/>
      <c r="G106" s="252"/>
      <c r="H106" s="252"/>
      <c r="I106" s="252"/>
      <c r="J106" s="252"/>
      <c r="K106" s="252"/>
      <c r="L106" s="252"/>
      <c r="M106" s="252"/>
      <c r="N106" s="252"/>
      <c r="O106" s="252"/>
      <c r="P106" s="252"/>
      <c r="Q106" s="252"/>
      <c r="R106" s="252"/>
      <c r="S106" s="252"/>
      <c r="T106" s="252"/>
      <c r="U106" s="252"/>
    </row>
    <row r="107" spans="1:21">
      <c r="B107" s="252"/>
      <c r="C107" s="252"/>
      <c r="D107" s="252"/>
      <c r="E107" s="252"/>
      <c r="F107" s="252"/>
      <c r="G107" s="252"/>
      <c r="H107" s="252"/>
      <c r="I107" s="252"/>
      <c r="J107" s="252"/>
      <c r="K107" s="252"/>
      <c r="L107" s="252"/>
      <c r="M107" s="252"/>
      <c r="N107" s="252"/>
      <c r="O107" s="252"/>
      <c r="P107" s="252"/>
      <c r="Q107" s="252"/>
      <c r="R107" s="252"/>
      <c r="S107" s="252"/>
      <c r="T107" s="252"/>
      <c r="U107" s="252"/>
    </row>
    <row r="157" spans="1:21">
      <c r="A157" s="252">
        <v>6</v>
      </c>
      <c r="B157" s="627"/>
      <c r="C157" s="628"/>
      <c r="D157" s="628"/>
      <c r="E157" s="628"/>
      <c r="F157" s="628"/>
      <c r="G157" s="628"/>
      <c r="H157" s="628"/>
      <c r="I157" s="628"/>
      <c r="J157" s="628"/>
      <c r="K157" s="628"/>
      <c r="L157" s="628"/>
      <c r="M157" s="628"/>
      <c r="N157" s="628"/>
      <c r="O157" s="628"/>
      <c r="P157" s="628"/>
      <c r="Q157" s="628"/>
      <c r="R157" s="628"/>
      <c r="S157" s="628"/>
      <c r="T157" s="628"/>
      <c r="U157" s="628"/>
    </row>
    <row r="158" spans="1:21">
      <c r="A158" s="252"/>
      <c r="B158" s="628"/>
      <c r="C158" s="628"/>
      <c r="D158" s="628"/>
      <c r="E158" s="628"/>
      <c r="F158" s="628"/>
      <c r="G158" s="628"/>
      <c r="H158" s="628"/>
      <c r="I158" s="628"/>
      <c r="J158" s="628"/>
      <c r="K158" s="628"/>
      <c r="L158" s="628"/>
      <c r="M158" s="628"/>
      <c r="N158" s="628"/>
      <c r="O158" s="628"/>
      <c r="P158" s="628"/>
      <c r="Q158" s="628"/>
      <c r="R158" s="628"/>
      <c r="S158" s="628"/>
      <c r="T158" s="628"/>
      <c r="U158" s="628"/>
    </row>
    <row r="159" spans="1:21">
      <c r="A159" s="252"/>
      <c r="B159" s="628"/>
      <c r="C159" s="628"/>
      <c r="D159" s="628"/>
      <c r="E159" s="628"/>
      <c r="F159" s="628"/>
      <c r="G159" s="628"/>
      <c r="H159" s="628"/>
      <c r="I159" s="628"/>
      <c r="J159" s="628"/>
      <c r="K159" s="628"/>
      <c r="L159" s="628"/>
      <c r="M159" s="628"/>
      <c r="N159" s="628"/>
      <c r="O159" s="628"/>
      <c r="P159" s="628"/>
      <c r="Q159" s="628"/>
      <c r="R159" s="628"/>
      <c r="S159" s="628"/>
      <c r="T159" s="628"/>
      <c r="U159" s="628"/>
    </row>
    <row r="160" spans="1:21">
      <c r="A160" s="252"/>
      <c r="B160" s="628"/>
      <c r="C160" s="628"/>
      <c r="D160" s="628"/>
      <c r="E160" s="628"/>
      <c r="F160" s="628"/>
      <c r="G160" s="628"/>
      <c r="H160" s="628"/>
      <c r="I160" s="628"/>
      <c r="J160" s="628"/>
      <c r="K160" s="628"/>
      <c r="L160" s="628"/>
      <c r="M160" s="628"/>
      <c r="N160" s="628"/>
      <c r="O160" s="628"/>
      <c r="P160" s="628"/>
      <c r="Q160" s="628"/>
      <c r="R160" s="628"/>
      <c r="S160" s="628"/>
      <c r="T160" s="628"/>
      <c r="U160" s="628"/>
    </row>
    <row r="161" spans="2:21">
      <c r="B161" s="629"/>
      <c r="C161" s="629"/>
      <c r="D161" s="629"/>
      <c r="E161" s="629"/>
      <c r="F161" s="629"/>
      <c r="G161" s="629"/>
      <c r="H161" s="629"/>
      <c r="I161" s="629"/>
      <c r="J161" s="629"/>
      <c r="K161" s="629"/>
      <c r="L161" s="629"/>
      <c r="M161" s="629"/>
      <c r="N161" s="629"/>
      <c r="O161" s="629"/>
      <c r="P161" s="629"/>
      <c r="Q161" s="629"/>
      <c r="R161" s="629"/>
      <c r="S161" s="629"/>
      <c r="T161" s="629"/>
      <c r="U161" s="629"/>
    </row>
    <row r="162" spans="2:21">
      <c r="B162" s="629"/>
      <c r="C162" s="629"/>
      <c r="D162" s="629"/>
      <c r="E162" s="629"/>
      <c r="F162" s="629"/>
      <c r="G162" s="629"/>
      <c r="H162" s="629"/>
      <c r="I162" s="629"/>
      <c r="J162" s="629"/>
      <c r="K162" s="629"/>
      <c r="L162" s="629"/>
      <c r="M162" s="629"/>
      <c r="N162" s="629"/>
      <c r="O162" s="629"/>
      <c r="P162" s="629"/>
      <c r="Q162" s="629"/>
      <c r="R162" s="629"/>
      <c r="S162" s="629"/>
      <c r="T162" s="629"/>
      <c r="U162" s="629"/>
    </row>
  </sheetData>
  <sheetProtection password="CC7D" sheet="1" formatCells="0" selectLockedCells="1"/>
  <mergeCells count="145">
    <mergeCell ref="N74:U75"/>
    <mergeCell ref="B75:L79"/>
    <mergeCell ref="N77:U80"/>
    <mergeCell ref="N81:U83"/>
    <mergeCell ref="B157:U162"/>
    <mergeCell ref="B58:L60"/>
    <mergeCell ref="N58:U63"/>
    <mergeCell ref="B62:L64"/>
    <mergeCell ref="N65:U67"/>
    <mergeCell ref="B66:L67"/>
    <mergeCell ref="B69:L73"/>
    <mergeCell ref="N69:U72"/>
    <mergeCell ref="C49:J49"/>
    <mergeCell ref="F50:G50"/>
    <mergeCell ref="I50:J50"/>
    <mergeCell ref="C51:I51"/>
    <mergeCell ref="C53:I53"/>
    <mergeCell ref="B56:D56"/>
    <mergeCell ref="A41:U41"/>
    <mergeCell ref="A43:L43"/>
    <mergeCell ref="M43:N43"/>
    <mergeCell ref="P43:Q43"/>
    <mergeCell ref="A44:O46"/>
    <mergeCell ref="P44:Q44"/>
    <mergeCell ref="P46:Q46"/>
    <mergeCell ref="Q38:Q40"/>
    <mergeCell ref="R39:R40"/>
    <mergeCell ref="S39:S40"/>
    <mergeCell ref="T39:T40"/>
    <mergeCell ref="U39:U40"/>
    <mergeCell ref="Q35:Q37"/>
    <mergeCell ref="R36:R37"/>
    <mergeCell ref="S36:S37"/>
    <mergeCell ref="T36:T37"/>
    <mergeCell ref="U36:U37"/>
    <mergeCell ref="P29:P31"/>
    <mergeCell ref="A38:A40"/>
    <mergeCell ref="B38:G40"/>
    <mergeCell ref="H38:J40"/>
    <mergeCell ref="K38:K40"/>
    <mergeCell ref="L38:O40"/>
    <mergeCell ref="A35:A37"/>
    <mergeCell ref="B35:G37"/>
    <mergeCell ref="H35:J37"/>
    <mergeCell ref="K35:K37"/>
    <mergeCell ref="L35:O37"/>
    <mergeCell ref="P38:P40"/>
    <mergeCell ref="P35:P37"/>
    <mergeCell ref="T24:T25"/>
    <mergeCell ref="U24:U25"/>
    <mergeCell ref="P23:P25"/>
    <mergeCell ref="A32:A34"/>
    <mergeCell ref="B32:G34"/>
    <mergeCell ref="H32:J34"/>
    <mergeCell ref="K32:K34"/>
    <mergeCell ref="L32:O34"/>
    <mergeCell ref="A29:A31"/>
    <mergeCell ref="B29:G31"/>
    <mergeCell ref="H29:J31"/>
    <mergeCell ref="K29:K31"/>
    <mergeCell ref="L29:O31"/>
    <mergeCell ref="P32:P34"/>
    <mergeCell ref="Q32:Q34"/>
    <mergeCell ref="R33:R34"/>
    <mergeCell ref="S33:S34"/>
    <mergeCell ref="T33:T34"/>
    <mergeCell ref="U33:U34"/>
    <mergeCell ref="Q29:Q31"/>
    <mergeCell ref="R30:R31"/>
    <mergeCell ref="S30:S31"/>
    <mergeCell ref="T30:T31"/>
    <mergeCell ref="U30:U31"/>
    <mergeCell ref="R18:R19"/>
    <mergeCell ref="S18:S19"/>
    <mergeCell ref="T18:T19"/>
    <mergeCell ref="U18:U19"/>
    <mergeCell ref="P17:P19"/>
    <mergeCell ref="A26:A28"/>
    <mergeCell ref="B26:G28"/>
    <mergeCell ref="H26:J28"/>
    <mergeCell ref="K26:K28"/>
    <mergeCell ref="L26:O28"/>
    <mergeCell ref="A23:A25"/>
    <mergeCell ref="B23:G25"/>
    <mergeCell ref="H23:J25"/>
    <mergeCell ref="K23:K25"/>
    <mergeCell ref="L23:O25"/>
    <mergeCell ref="P26:P28"/>
    <mergeCell ref="Q26:Q28"/>
    <mergeCell ref="R27:R28"/>
    <mergeCell ref="S27:S28"/>
    <mergeCell ref="T27:T28"/>
    <mergeCell ref="U27:U28"/>
    <mergeCell ref="Q23:Q25"/>
    <mergeCell ref="R24:R25"/>
    <mergeCell ref="S24:S25"/>
    <mergeCell ref="T15:T16"/>
    <mergeCell ref="U15:U16"/>
    <mergeCell ref="Q11:Q13"/>
    <mergeCell ref="R12:R13"/>
    <mergeCell ref="S12:S13"/>
    <mergeCell ref="T12:T13"/>
    <mergeCell ref="U12:U13"/>
    <mergeCell ref="A20:A22"/>
    <mergeCell ref="B20:G22"/>
    <mergeCell ref="H20:J22"/>
    <mergeCell ref="K20:K22"/>
    <mergeCell ref="L20:O22"/>
    <mergeCell ref="A17:A19"/>
    <mergeCell ref="B17:G19"/>
    <mergeCell ref="H17:J19"/>
    <mergeCell ref="K17:K19"/>
    <mergeCell ref="L17:O19"/>
    <mergeCell ref="P20:P22"/>
    <mergeCell ref="Q20:Q22"/>
    <mergeCell ref="R21:R22"/>
    <mergeCell ref="S21:S22"/>
    <mergeCell ref="T21:T22"/>
    <mergeCell ref="U21:U22"/>
    <mergeCell ref="Q17:Q19"/>
    <mergeCell ref="T8:T10"/>
    <mergeCell ref="U8:U10"/>
    <mergeCell ref="A9:G10"/>
    <mergeCell ref="H9:Q10"/>
    <mergeCell ref="A11:A13"/>
    <mergeCell ref="B11:G13"/>
    <mergeCell ref="H11:J13"/>
    <mergeCell ref="K11:K13"/>
    <mergeCell ref="L11:O13"/>
    <mergeCell ref="P11:P13"/>
    <mergeCell ref="F3:F4"/>
    <mergeCell ref="K3:K4"/>
    <mergeCell ref="L3:O4"/>
    <mergeCell ref="A8:Q8"/>
    <mergeCell ref="R8:R10"/>
    <mergeCell ref="S8:S10"/>
    <mergeCell ref="A14:A16"/>
    <mergeCell ref="B14:G16"/>
    <mergeCell ref="H14:J16"/>
    <mergeCell ref="K14:K16"/>
    <mergeCell ref="L14:O16"/>
    <mergeCell ref="P14:P16"/>
    <mergeCell ref="Q14:Q16"/>
    <mergeCell ref="R15:R16"/>
    <mergeCell ref="S15:S16"/>
  </mergeCells>
  <phoneticPr fontId="2"/>
  <dataValidations count="1">
    <dataValidation imeMode="halfAlpha" allowBlank="1" showInputMessage="1" showErrorMessage="1" sqref="M48:O48 JI48:JK48 TE48:TG48 ADA48:ADC48 AMW48:AMY48 AWS48:AWU48 BGO48:BGQ48 BQK48:BQM48 CAG48:CAI48 CKC48:CKE48 CTY48:CUA48 DDU48:DDW48 DNQ48:DNS48 DXM48:DXO48 EHI48:EHK48 ERE48:ERG48 FBA48:FBC48 FKW48:FKY48 FUS48:FUU48 GEO48:GEQ48 GOK48:GOM48 GYG48:GYI48 HIC48:HIE48 HRY48:HSA48 IBU48:IBW48 ILQ48:ILS48 IVM48:IVO48 JFI48:JFK48 JPE48:JPG48 JZA48:JZC48 KIW48:KIY48 KSS48:KSU48 LCO48:LCQ48 LMK48:LMM48 LWG48:LWI48 MGC48:MGE48 MPY48:MQA48 MZU48:MZW48 NJQ48:NJS48 NTM48:NTO48 ODI48:ODK48 ONE48:ONG48 OXA48:OXC48 PGW48:PGY48 PQS48:PQU48 QAO48:QAQ48 QKK48:QKM48 QUG48:QUI48 REC48:REE48 RNY48:ROA48 RXU48:RXW48 SHQ48:SHS48 SRM48:SRO48 TBI48:TBK48 TLE48:TLG48 TVA48:TVC48 UEW48:UEY48 UOS48:UOU48 UYO48:UYQ48 VIK48:VIM48 VSG48:VSI48 WCC48:WCE48 WLY48:WMA48 WVU48:WVW48 M65584:O65584 JI65584:JK65584 TE65584:TG65584 ADA65584:ADC65584 AMW65584:AMY65584 AWS65584:AWU65584 BGO65584:BGQ65584 BQK65584:BQM65584 CAG65584:CAI65584 CKC65584:CKE65584 CTY65584:CUA65584 DDU65584:DDW65584 DNQ65584:DNS65584 DXM65584:DXO65584 EHI65584:EHK65584 ERE65584:ERG65584 FBA65584:FBC65584 FKW65584:FKY65584 FUS65584:FUU65584 GEO65584:GEQ65584 GOK65584:GOM65584 GYG65584:GYI65584 HIC65584:HIE65584 HRY65584:HSA65584 IBU65584:IBW65584 ILQ65584:ILS65584 IVM65584:IVO65584 JFI65584:JFK65584 JPE65584:JPG65584 JZA65584:JZC65584 KIW65584:KIY65584 KSS65584:KSU65584 LCO65584:LCQ65584 LMK65584:LMM65584 LWG65584:LWI65584 MGC65584:MGE65584 MPY65584:MQA65584 MZU65584:MZW65584 NJQ65584:NJS65584 NTM65584:NTO65584 ODI65584:ODK65584 ONE65584:ONG65584 OXA65584:OXC65584 PGW65584:PGY65584 PQS65584:PQU65584 QAO65584:QAQ65584 QKK65584:QKM65584 QUG65584:QUI65584 REC65584:REE65584 RNY65584:ROA65584 RXU65584:RXW65584 SHQ65584:SHS65584 SRM65584:SRO65584 TBI65584:TBK65584 TLE65584:TLG65584 TVA65584:TVC65584 UEW65584:UEY65584 UOS65584:UOU65584 UYO65584:UYQ65584 VIK65584:VIM65584 VSG65584:VSI65584 WCC65584:WCE65584 WLY65584:WMA65584 WVU65584:WVW65584 M131120:O131120 JI131120:JK131120 TE131120:TG131120 ADA131120:ADC131120 AMW131120:AMY131120 AWS131120:AWU131120 BGO131120:BGQ131120 BQK131120:BQM131120 CAG131120:CAI131120 CKC131120:CKE131120 CTY131120:CUA131120 DDU131120:DDW131120 DNQ131120:DNS131120 DXM131120:DXO131120 EHI131120:EHK131120 ERE131120:ERG131120 FBA131120:FBC131120 FKW131120:FKY131120 FUS131120:FUU131120 GEO131120:GEQ131120 GOK131120:GOM131120 GYG131120:GYI131120 HIC131120:HIE131120 HRY131120:HSA131120 IBU131120:IBW131120 ILQ131120:ILS131120 IVM131120:IVO131120 JFI131120:JFK131120 JPE131120:JPG131120 JZA131120:JZC131120 KIW131120:KIY131120 KSS131120:KSU131120 LCO131120:LCQ131120 LMK131120:LMM131120 LWG131120:LWI131120 MGC131120:MGE131120 MPY131120:MQA131120 MZU131120:MZW131120 NJQ131120:NJS131120 NTM131120:NTO131120 ODI131120:ODK131120 ONE131120:ONG131120 OXA131120:OXC131120 PGW131120:PGY131120 PQS131120:PQU131120 QAO131120:QAQ131120 QKK131120:QKM131120 QUG131120:QUI131120 REC131120:REE131120 RNY131120:ROA131120 RXU131120:RXW131120 SHQ131120:SHS131120 SRM131120:SRO131120 TBI131120:TBK131120 TLE131120:TLG131120 TVA131120:TVC131120 UEW131120:UEY131120 UOS131120:UOU131120 UYO131120:UYQ131120 VIK131120:VIM131120 VSG131120:VSI131120 WCC131120:WCE131120 WLY131120:WMA131120 WVU131120:WVW131120 M196656:O196656 JI196656:JK196656 TE196656:TG196656 ADA196656:ADC196656 AMW196656:AMY196656 AWS196656:AWU196656 BGO196656:BGQ196656 BQK196656:BQM196656 CAG196656:CAI196656 CKC196656:CKE196656 CTY196656:CUA196656 DDU196656:DDW196656 DNQ196656:DNS196656 DXM196656:DXO196656 EHI196656:EHK196656 ERE196656:ERG196656 FBA196656:FBC196656 FKW196656:FKY196656 FUS196656:FUU196656 GEO196656:GEQ196656 GOK196656:GOM196656 GYG196656:GYI196656 HIC196656:HIE196656 HRY196656:HSA196656 IBU196656:IBW196656 ILQ196656:ILS196656 IVM196656:IVO196656 JFI196656:JFK196656 JPE196656:JPG196656 JZA196656:JZC196656 KIW196656:KIY196656 KSS196656:KSU196656 LCO196656:LCQ196656 LMK196656:LMM196656 LWG196656:LWI196656 MGC196656:MGE196656 MPY196656:MQA196656 MZU196656:MZW196656 NJQ196656:NJS196656 NTM196656:NTO196656 ODI196656:ODK196656 ONE196656:ONG196656 OXA196656:OXC196656 PGW196656:PGY196656 PQS196656:PQU196656 QAO196656:QAQ196656 QKK196656:QKM196656 QUG196656:QUI196656 REC196656:REE196656 RNY196656:ROA196656 RXU196656:RXW196656 SHQ196656:SHS196656 SRM196656:SRO196656 TBI196656:TBK196656 TLE196656:TLG196656 TVA196656:TVC196656 UEW196656:UEY196656 UOS196656:UOU196656 UYO196656:UYQ196656 VIK196656:VIM196656 VSG196656:VSI196656 WCC196656:WCE196656 WLY196656:WMA196656 WVU196656:WVW196656 M262192:O262192 JI262192:JK262192 TE262192:TG262192 ADA262192:ADC262192 AMW262192:AMY262192 AWS262192:AWU262192 BGO262192:BGQ262192 BQK262192:BQM262192 CAG262192:CAI262192 CKC262192:CKE262192 CTY262192:CUA262192 DDU262192:DDW262192 DNQ262192:DNS262192 DXM262192:DXO262192 EHI262192:EHK262192 ERE262192:ERG262192 FBA262192:FBC262192 FKW262192:FKY262192 FUS262192:FUU262192 GEO262192:GEQ262192 GOK262192:GOM262192 GYG262192:GYI262192 HIC262192:HIE262192 HRY262192:HSA262192 IBU262192:IBW262192 ILQ262192:ILS262192 IVM262192:IVO262192 JFI262192:JFK262192 JPE262192:JPG262192 JZA262192:JZC262192 KIW262192:KIY262192 KSS262192:KSU262192 LCO262192:LCQ262192 LMK262192:LMM262192 LWG262192:LWI262192 MGC262192:MGE262192 MPY262192:MQA262192 MZU262192:MZW262192 NJQ262192:NJS262192 NTM262192:NTO262192 ODI262192:ODK262192 ONE262192:ONG262192 OXA262192:OXC262192 PGW262192:PGY262192 PQS262192:PQU262192 QAO262192:QAQ262192 QKK262192:QKM262192 QUG262192:QUI262192 REC262192:REE262192 RNY262192:ROA262192 RXU262192:RXW262192 SHQ262192:SHS262192 SRM262192:SRO262192 TBI262192:TBK262192 TLE262192:TLG262192 TVA262192:TVC262192 UEW262192:UEY262192 UOS262192:UOU262192 UYO262192:UYQ262192 VIK262192:VIM262192 VSG262192:VSI262192 WCC262192:WCE262192 WLY262192:WMA262192 WVU262192:WVW262192 M327728:O327728 JI327728:JK327728 TE327728:TG327728 ADA327728:ADC327728 AMW327728:AMY327728 AWS327728:AWU327728 BGO327728:BGQ327728 BQK327728:BQM327728 CAG327728:CAI327728 CKC327728:CKE327728 CTY327728:CUA327728 DDU327728:DDW327728 DNQ327728:DNS327728 DXM327728:DXO327728 EHI327728:EHK327728 ERE327728:ERG327728 FBA327728:FBC327728 FKW327728:FKY327728 FUS327728:FUU327728 GEO327728:GEQ327728 GOK327728:GOM327728 GYG327728:GYI327728 HIC327728:HIE327728 HRY327728:HSA327728 IBU327728:IBW327728 ILQ327728:ILS327728 IVM327728:IVO327728 JFI327728:JFK327728 JPE327728:JPG327728 JZA327728:JZC327728 KIW327728:KIY327728 KSS327728:KSU327728 LCO327728:LCQ327728 LMK327728:LMM327728 LWG327728:LWI327728 MGC327728:MGE327728 MPY327728:MQA327728 MZU327728:MZW327728 NJQ327728:NJS327728 NTM327728:NTO327728 ODI327728:ODK327728 ONE327728:ONG327728 OXA327728:OXC327728 PGW327728:PGY327728 PQS327728:PQU327728 QAO327728:QAQ327728 QKK327728:QKM327728 QUG327728:QUI327728 REC327728:REE327728 RNY327728:ROA327728 RXU327728:RXW327728 SHQ327728:SHS327728 SRM327728:SRO327728 TBI327728:TBK327728 TLE327728:TLG327728 TVA327728:TVC327728 UEW327728:UEY327728 UOS327728:UOU327728 UYO327728:UYQ327728 VIK327728:VIM327728 VSG327728:VSI327728 WCC327728:WCE327728 WLY327728:WMA327728 WVU327728:WVW327728 M393264:O393264 JI393264:JK393264 TE393264:TG393264 ADA393264:ADC393264 AMW393264:AMY393264 AWS393264:AWU393264 BGO393264:BGQ393264 BQK393264:BQM393264 CAG393264:CAI393264 CKC393264:CKE393264 CTY393264:CUA393264 DDU393264:DDW393264 DNQ393264:DNS393264 DXM393264:DXO393264 EHI393264:EHK393264 ERE393264:ERG393264 FBA393264:FBC393264 FKW393264:FKY393264 FUS393264:FUU393264 GEO393264:GEQ393264 GOK393264:GOM393264 GYG393264:GYI393264 HIC393264:HIE393264 HRY393264:HSA393264 IBU393264:IBW393264 ILQ393264:ILS393264 IVM393264:IVO393264 JFI393264:JFK393264 JPE393264:JPG393264 JZA393264:JZC393264 KIW393264:KIY393264 KSS393264:KSU393264 LCO393264:LCQ393264 LMK393264:LMM393264 LWG393264:LWI393264 MGC393264:MGE393264 MPY393264:MQA393264 MZU393264:MZW393264 NJQ393264:NJS393264 NTM393264:NTO393264 ODI393264:ODK393264 ONE393264:ONG393264 OXA393264:OXC393264 PGW393264:PGY393264 PQS393264:PQU393264 QAO393264:QAQ393264 QKK393264:QKM393264 QUG393264:QUI393264 REC393264:REE393264 RNY393264:ROA393264 RXU393264:RXW393264 SHQ393264:SHS393264 SRM393264:SRO393264 TBI393264:TBK393264 TLE393264:TLG393264 TVA393264:TVC393264 UEW393264:UEY393264 UOS393264:UOU393264 UYO393264:UYQ393264 VIK393264:VIM393264 VSG393264:VSI393264 WCC393264:WCE393264 WLY393264:WMA393264 WVU393264:WVW393264 M458800:O458800 JI458800:JK458800 TE458800:TG458800 ADA458800:ADC458800 AMW458800:AMY458800 AWS458800:AWU458800 BGO458800:BGQ458800 BQK458800:BQM458800 CAG458800:CAI458800 CKC458800:CKE458800 CTY458800:CUA458800 DDU458800:DDW458800 DNQ458800:DNS458800 DXM458800:DXO458800 EHI458800:EHK458800 ERE458800:ERG458800 FBA458800:FBC458800 FKW458800:FKY458800 FUS458800:FUU458800 GEO458800:GEQ458800 GOK458800:GOM458800 GYG458800:GYI458800 HIC458800:HIE458800 HRY458800:HSA458800 IBU458800:IBW458800 ILQ458800:ILS458800 IVM458800:IVO458800 JFI458800:JFK458800 JPE458800:JPG458800 JZA458800:JZC458800 KIW458800:KIY458800 KSS458800:KSU458800 LCO458800:LCQ458800 LMK458800:LMM458800 LWG458800:LWI458800 MGC458800:MGE458800 MPY458800:MQA458800 MZU458800:MZW458800 NJQ458800:NJS458800 NTM458800:NTO458800 ODI458800:ODK458800 ONE458800:ONG458800 OXA458800:OXC458800 PGW458800:PGY458800 PQS458800:PQU458800 QAO458800:QAQ458800 QKK458800:QKM458800 QUG458800:QUI458800 REC458800:REE458800 RNY458800:ROA458800 RXU458800:RXW458800 SHQ458800:SHS458800 SRM458800:SRO458800 TBI458800:TBK458800 TLE458800:TLG458800 TVA458800:TVC458800 UEW458800:UEY458800 UOS458800:UOU458800 UYO458800:UYQ458800 VIK458800:VIM458800 VSG458800:VSI458800 WCC458800:WCE458800 WLY458800:WMA458800 WVU458800:WVW458800 M524336:O524336 JI524336:JK524336 TE524336:TG524336 ADA524336:ADC524336 AMW524336:AMY524336 AWS524336:AWU524336 BGO524336:BGQ524336 BQK524336:BQM524336 CAG524336:CAI524336 CKC524336:CKE524336 CTY524336:CUA524336 DDU524336:DDW524336 DNQ524336:DNS524336 DXM524336:DXO524336 EHI524336:EHK524336 ERE524336:ERG524336 FBA524336:FBC524336 FKW524336:FKY524336 FUS524336:FUU524336 GEO524336:GEQ524336 GOK524336:GOM524336 GYG524336:GYI524336 HIC524336:HIE524336 HRY524336:HSA524336 IBU524336:IBW524336 ILQ524336:ILS524336 IVM524336:IVO524336 JFI524336:JFK524336 JPE524336:JPG524336 JZA524336:JZC524336 KIW524336:KIY524336 KSS524336:KSU524336 LCO524336:LCQ524336 LMK524336:LMM524336 LWG524336:LWI524336 MGC524336:MGE524336 MPY524336:MQA524336 MZU524336:MZW524336 NJQ524336:NJS524336 NTM524336:NTO524336 ODI524336:ODK524336 ONE524336:ONG524336 OXA524336:OXC524336 PGW524336:PGY524336 PQS524336:PQU524336 QAO524336:QAQ524336 QKK524336:QKM524336 QUG524336:QUI524336 REC524336:REE524336 RNY524336:ROA524336 RXU524336:RXW524336 SHQ524336:SHS524336 SRM524336:SRO524336 TBI524336:TBK524336 TLE524336:TLG524336 TVA524336:TVC524336 UEW524336:UEY524336 UOS524336:UOU524336 UYO524336:UYQ524336 VIK524336:VIM524336 VSG524336:VSI524336 WCC524336:WCE524336 WLY524336:WMA524336 WVU524336:WVW524336 M589872:O589872 JI589872:JK589872 TE589872:TG589872 ADA589872:ADC589872 AMW589872:AMY589872 AWS589872:AWU589872 BGO589872:BGQ589872 BQK589872:BQM589872 CAG589872:CAI589872 CKC589872:CKE589872 CTY589872:CUA589872 DDU589872:DDW589872 DNQ589872:DNS589872 DXM589872:DXO589872 EHI589872:EHK589872 ERE589872:ERG589872 FBA589872:FBC589872 FKW589872:FKY589872 FUS589872:FUU589872 GEO589872:GEQ589872 GOK589872:GOM589872 GYG589872:GYI589872 HIC589872:HIE589872 HRY589872:HSA589872 IBU589872:IBW589872 ILQ589872:ILS589872 IVM589872:IVO589872 JFI589872:JFK589872 JPE589872:JPG589872 JZA589872:JZC589872 KIW589872:KIY589872 KSS589872:KSU589872 LCO589872:LCQ589872 LMK589872:LMM589872 LWG589872:LWI589872 MGC589872:MGE589872 MPY589872:MQA589872 MZU589872:MZW589872 NJQ589872:NJS589872 NTM589872:NTO589872 ODI589872:ODK589872 ONE589872:ONG589872 OXA589872:OXC589872 PGW589872:PGY589872 PQS589872:PQU589872 QAO589872:QAQ589872 QKK589872:QKM589872 QUG589872:QUI589872 REC589872:REE589872 RNY589872:ROA589872 RXU589872:RXW589872 SHQ589872:SHS589872 SRM589872:SRO589872 TBI589872:TBK589872 TLE589872:TLG589872 TVA589872:TVC589872 UEW589872:UEY589872 UOS589872:UOU589872 UYO589872:UYQ589872 VIK589872:VIM589872 VSG589872:VSI589872 WCC589872:WCE589872 WLY589872:WMA589872 WVU589872:WVW589872 M655408:O655408 JI655408:JK655408 TE655408:TG655408 ADA655408:ADC655408 AMW655408:AMY655408 AWS655408:AWU655408 BGO655408:BGQ655408 BQK655408:BQM655408 CAG655408:CAI655408 CKC655408:CKE655408 CTY655408:CUA655408 DDU655408:DDW655408 DNQ655408:DNS655408 DXM655408:DXO655408 EHI655408:EHK655408 ERE655408:ERG655408 FBA655408:FBC655408 FKW655408:FKY655408 FUS655408:FUU655408 GEO655408:GEQ655408 GOK655408:GOM655408 GYG655408:GYI655408 HIC655408:HIE655408 HRY655408:HSA655408 IBU655408:IBW655408 ILQ655408:ILS655408 IVM655408:IVO655408 JFI655408:JFK655408 JPE655408:JPG655408 JZA655408:JZC655408 KIW655408:KIY655408 KSS655408:KSU655408 LCO655408:LCQ655408 LMK655408:LMM655408 LWG655408:LWI655408 MGC655408:MGE655408 MPY655408:MQA655408 MZU655408:MZW655408 NJQ655408:NJS655408 NTM655408:NTO655408 ODI655408:ODK655408 ONE655408:ONG655408 OXA655408:OXC655408 PGW655408:PGY655408 PQS655408:PQU655408 QAO655408:QAQ655408 QKK655408:QKM655408 QUG655408:QUI655408 REC655408:REE655408 RNY655408:ROA655408 RXU655408:RXW655408 SHQ655408:SHS655408 SRM655408:SRO655408 TBI655408:TBK655408 TLE655408:TLG655408 TVA655408:TVC655408 UEW655408:UEY655408 UOS655408:UOU655408 UYO655408:UYQ655408 VIK655408:VIM655408 VSG655408:VSI655408 WCC655408:WCE655408 WLY655408:WMA655408 WVU655408:WVW655408 M720944:O720944 JI720944:JK720944 TE720944:TG720944 ADA720944:ADC720944 AMW720944:AMY720944 AWS720944:AWU720944 BGO720944:BGQ720944 BQK720944:BQM720944 CAG720944:CAI720944 CKC720944:CKE720944 CTY720944:CUA720944 DDU720944:DDW720944 DNQ720944:DNS720944 DXM720944:DXO720944 EHI720944:EHK720944 ERE720944:ERG720944 FBA720944:FBC720944 FKW720944:FKY720944 FUS720944:FUU720944 GEO720944:GEQ720944 GOK720944:GOM720944 GYG720944:GYI720944 HIC720944:HIE720944 HRY720944:HSA720944 IBU720944:IBW720944 ILQ720944:ILS720944 IVM720944:IVO720944 JFI720944:JFK720944 JPE720944:JPG720944 JZA720944:JZC720944 KIW720944:KIY720944 KSS720944:KSU720944 LCO720944:LCQ720944 LMK720944:LMM720944 LWG720944:LWI720944 MGC720944:MGE720944 MPY720944:MQA720944 MZU720944:MZW720944 NJQ720944:NJS720944 NTM720944:NTO720944 ODI720944:ODK720944 ONE720944:ONG720944 OXA720944:OXC720944 PGW720944:PGY720944 PQS720944:PQU720944 QAO720944:QAQ720944 QKK720944:QKM720944 QUG720944:QUI720944 REC720944:REE720944 RNY720944:ROA720944 RXU720944:RXW720944 SHQ720944:SHS720944 SRM720944:SRO720944 TBI720944:TBK720944 TLE720944:TLG720944 TVA720944:TVC720944 UEW720944:UEY720944 UOS720944:UOU720944 UYO720944:UYQ720944 VIK720944:VIM720944 VSG720944:VSI720944 WCC720944:WCE720944 WLY720944:WMA720944 WVU720944:WVW720944 M786480:O786480 JI786480:JK786480 TE786480:TG786480 ADA786480:ADC786480 AMW786480:AMY786480 AWS786480:AWU786480 BGO786480:BGQ786480 BQK786480:BQM786480 CAG786480:CAI786480 CKC786480:CKE786480 CTY786480:CUA786480 DDU786480:DDW786480 DNQ786480:DNS786480 DXM786480:DXO786480 EHI786480:EHK786480 ERE786480:ERG786480 FBA786480:FBC786480 FKW786480:FKY786480 FUS786480:FUU786480 GEO786480:GEQ786480 GOK786480:GOM786480 GYG786480:GYI786480 HIC786480:HIE786480 HRY786480:HSA786480 IBU786480:IBW786480 ILQ786480:ILS786480 IVM786480:IVO786480 JFI786480:JFK786480 JPE786480:JPG786480 JZA786480:JZC786480 KIW786480:KIY786480 KSS786480:KSU786480 LCO786480:LCQ786480 LMK786480:LMM786480 LWG786480:LWI786480 MGC786480:MGE786480 MPY786480:MQA786480 MZU786480:MZW786480 NJQ786480:NJS786480 NTM786480:NTO786480 ODI786480:ODK786480 ONE786480:ONG786480 OXA786480:OXC786480 PGW786480:PGY786480 PQS786480:PQU786480 QAO786480:QAQ786480 QKK786480:QKM786480 QUG786480:QUI786480 REC786480:REE786480 RNY786480:ROA786480 RXU786480:RXW786480 SHQ786480:SHS786480 SRM786480:SRO786480 TBI786480:TBK786480 TLE786480:TLG786480 TVA786480:TVC786480 UEW786480:UEY786480 UOS786480:UOU786480 UYO786480:UYQ786480 VIK786480:VIM786480 VSG786480:VSI786480 WCC786480:WCE786480 WLY786480:WMA786480 WVU786480:WVW786480 M852016:O852016 JI852016:JK852016 TE852016:TG852016 ADA852016:ADC852016 AMW852016:AMY852016 AWS852016:AWU852016 BGO852016:BGQ852016 BQK852016:BQM852016 CAG852016:CAI852016 CKC852016:CKE852016 CTY852016:CUA852016 DDU852016:DDW852016 DNQ852016:DNS852016 DXM852016:DXO852016 EHI852016:EHK852016 ERE852016:ERG852016 FBA852016:FBC852016 FKW852016:FKY852016 FUS852016:FUU852016 GEO852016:GEQ852016 GOK852016:GOM852016 GYG852016:GYI852016 HIC852016:HIE852016 HRY852016:HSA852016 IBU852016:IBW852016 ILQ852016:ILS852016 IVM852016:IVO852016 JFI852016:JFK852016 JPE852016:JPG852016 JZA852016:JZC852016 KIW852016:KIY852016 KSS852016:KSU852016 LCO852016:LCQ852016 LMK852016:LMM852016 LWG852016:LWI852016 MGC852016:MGE852016 MPY852016:MQA852016 MZU852016:MZW852016 NJQ852016:NJS852016 NTM852016:NTO852016 ODI852016:ODK852016 ONE852016:ONG852016 OXA852016:OXC852016 PGW852016:PGY852016 PQS852016:PQU852016 QAO852016:QAQ852016 QKK852016:QKM852016 QUG852016:QUI852016 REC852016:REE852016 RNY852016:ROA852016 RXU852016:RXW852016 SHQ852016:SHS852016 SRM852016:SRO852016 TBI852016:TBK852016 TLE852016:TLG852016 TVA852016:TVC852016 UEW852016:UEY852016 UOS852016:UOU852016 UYO852016:UYQ852016 VIK852016:VIM852016 VSG852016:VSI852016 WCC852016:WCE852016 WLY852016:WMA852016 WVU852016:WVW852016 M917552:O917552 JI917552:JK917552 TE917552:TG917552 ADA917552:ADC917552 AMW917552:AMY917552 AWS917552:AWU917552 BGO917552:BGQ917552 BQK917552:BQM917552 CAG917552:CAI917552 CKC917552:CKE917552 CTY917552:CUA917552 DDU917552:DDW917552 DNQ917552:DNS917552 DXM917552:DXO917552 EHI917552:EHK917552 ERE917552:ERG917552 FBA917552:FBC917552 FKW917552:FKY917552 FUS917552:FUU917552 GEO917552:GEQ917552 GOK917552:GOM917552 GYG917552:GYI917552 HIC917552:HIE917552 HRY917552:HSA917552 IBU917552:IBW917552 ILQ917552:ILS917552 IVM917552:IVO917552 JFI917552:JFK917552 JPE917552:JPG917552 JZA917552:JZC917552 KIW917552:KIY917552 KSS917552:KSU917552 LCO917552:LCQ917552 LMK917552:LMM917552 LWG917552:LWI917552 MGC917552:MGE917552 MPY917552:MQA917552 MZU917552:MZW917552 NJQ917552:NJS917552 NTM917552:NTO917552 ODI917552:ODK917552 ONE917552:ONG917552 OXA917552:OXC917552 PGW917552:PGY917552 PQS917552:PQU917552 QAO917552:QAQ917552 QKK917552:QKM917552 QUG917552:QUI917552 REC917552:REE917552 RNY917552:ROA917552 RXU917552:RXW917552 SHQ917552:SHS917552 SRM917552:SRO917552 TBI917552:TBK917552 TLE917552:TLG917552 TVA917552:TVC917552 UEW917552:UEY917552 UOS917552:UOU917552 UYO917552:UYQ917552 VIK917552:VIM917552 VSG917552:VSI917552 WCC917552:WCE917552 WLY917552:WMA917552 WVU917552:WVW917552 M983088:O983088 JI983088:JK983088 TE983088:TG983088 ADA983088:ADC983088 AMW983088:AMY983088 AWS983088:AWU983088 BGO983088:BGQ983088 BQK983088:BQM983088 CAG983088:CAI983088 CKC983088:CKE983088 CTY983088:CUA983088 DDU983088:DDW983088 DNQ983088:DNS983088 DXM983088:DXO983088 EHI983088:EHK983088 ERE983088:ERG983088 FBA983088:FBC983088 FKW983088:FKY983088 FUS983088:FUU983088 GEO983088:GEQ983088 GOK983088:GOM983088 GYG983088:GYI983088 HIC983088:HIE983088 HRY983088:HSA983088 IBU983088:IBW983088 ILQ983088:ILS983088 IVM983088:IVO983088 JFI983088:JFK983088 JPE983088:JPG983088 JZA983088:JZC983088 KIW983088:KIY983088 KSS983088:KSU983088 LCO983088:LCQ983088 LMK983088:LMM983088 LWG983088:LWI983088 MGC983088:MGE983088 MPY983088:MQA983088 MZU983088:MZW983088 NJQ983088:NJS983088 NTM983088:NTO983088 ODI983088:ODK983088 ONE983088:ONG983088 OXA983088:OXC983088 PGW983088:PGY983088 PQS983088:PQU983088 QAO983088:QAQ983088 QKK983088:QKM983088 QUG983088:QUI983088 REC983088:REE983088 RNY983088:ROA983088 RXU983088:RXW983088 SHQ983088:SHS983088 SRM983088:SRO983088 TBI983088:TBK983088 TLE983088:TLG983088 TVA983088:TVC983088 UEW983088:UEY983088 UOS983088:UOU983088 UYO983088:UYQ983088 VIK983088:VIM983088 VSG983088:VSI983088 WCC983088:WCE983088 WLY983088:WMA983088 WVU983088:WVW983088 H52:I52 JD52:JE52 SZ52:TA52 ACV52:ACW52 AMR52:AMS52 AWN52:AWO52 BGJ52:BGK52 BQF52:BQG52 CAB52:CAC52 CJX52:CJY52 CTT52:CTU52 DDP52:DDQ52 DNL52:DNM52 DXH52:DXI52 EHD52:EHE52 EQZ52:ERA52 FAV52:FAW52 FKR52:FKS52 FUN52:FUO52 GEJ52:GEK52 GOF52:GOG52 GYB52:GYC52 HHX52:HHY52 HRT52:HRU52 IBP52:IBQ52 ILL52:ILM52 IVH52:IVI52 JFD52:JFE52 JOZ52:JPA52 JYV52:JYW52 KIR52:KIS52 KSN52:KSO52 LCJ52:LCK52 LMF52:LMG52 LWB52:LWC52 MFX52:MFY52 MPT52:MPU52 MZP52:MZQ52 NJL52:NJM52 NTH52:NTI52 ODD52:ODE52 OMZ52:ONA52 OWV52:OWW52 PGR52:PGS52 PQN52:PQO52 QAJ52:QAK52 QKF52:QKG52 QUB52:QUC52 RDX52:RDY52 RNT52:RNU52 RXP52:RXQ52 SHL52:SHM52 SRH52:SRI52 TBD52:TBE52 TKZ52:TLA52 TUV52:TUW52 UER52:UES52 UON52:UOO52 UYJ52:UYK52 VIF52:VIG52 VSB52:VSC52 WBX52:WBY52 WLT52:WLU52 WVP52:WVQ52 H65588:I65588 JD65588:JE65588 SZ65588:TA65588 ACV65588:ACW65588 AMR65588:AMS65588 AWN65588:AWO65588 BGJ65588:BGK65588 BQF65588:BQG65588 CAB65588:CAC65588 CJX65588:CJY65588 CTT65588:CTU65588 DDP65588:DDQ65588 DNL65588:DNM65588 DXH65588:DXI65588 EHD65588:EHE65588 EQZ65588:ERA65588 FAV65588:FAW65588 FKR65588:FKS65588 FUN65588:FUO65588 GEJ65588:GEK65588 GOF65588:GOG65588 GYB65588:GYC65588 HHX65588:HHY65588 HRT65588:HRU65588 IBP65588:IBQ65588 ILL65588:ILM65588 IVH65588:IVI65588 JFD65588:JFE65588 JOZ65588:JPA65588 JYV65588:JYW65588 KIR65588:KIS65588 KSN65588:KSO65588 LCJ65588:LCK65588 LMF65588:LMG65588 LWB65588:LWC65588 MFX65588:MFY65588 MPT65588:MPU65588 MZP65588:MZQ65588 NJL65588:NJM65588 NTH65588:NTI65588 ODD65588:ODE65588 OMZ65588:ONA65588 OWV65588:OWW65588 PGR65588:PGS65588 PQN65588:PQO65588 QAJ65588:QAK65588 QKF65588:QKG65588 QUB65588:QUC65588 RDX65588:RDY65588 RNT65588:RNU65588 RXP65588:RXQ65588 SHL65588:SHM65588 SRH65588:SRI65588 TBD65588:TBE65588 TKZ65588:TLA65588 TUV65588:TUW65588 UER65588:UES65588 UON65588:UOO65588 UYJ65588:UYK65588 VIF65588:VIG65588 VSB65588:VSC65588 WBX65588:WBY65588 WLT65588:WLU65588 WVP65588:WVQ65588 H131124:I131124 JD131124:JE131124 SZ131124:TA131124 ACV131124:ACW131124 AMR131124:AMS131124 AWN131124:AWO131124 BGJ131124:BGK131124 BQF131124:BQG131124 CAB131124:CAC131124 CJX131124:CJY131124 CTT131124:CTU131124 DDP131124:DDQ131124 DNL131124:DNM131124 DXH131124:DXI131124 EHD131124:EHE131124 EQZ131124:ERA131124 FAV131124:FAW131124 FKR131124:FKS131124 FUN131124:FUO131124 GEJ131124:GEK131124 GOF131124:GOG131124 GYB131124:GYC131124 HHX131124:HHY131124 HRT131124:HRU131124 IBP131124:IBQ131124 ILL131124:ILM131124 IVH131124:IVI131124 JFD131124:JFE131124 JOZ131124:JPA131124 JYV131124:JYW131124 KIR131124:KIS131124 KSN131124:KSO131124 LCJ131124:LCK131124 LMF131124:LMG131124 LWB131124:LWC131124 MFX131124:MFY131124 MPT131124:MPU131124 MZP131124:MZQ131124 NJL131124:NJM131124 NTH131124:NTI131124 ODD131124:ODE131124 OMZ131124:ONA131124 OWV131124:OWW131124 PGR131124:PGS131124 PQN131124:PQO131124 QAJ131124:QAK131124 QKF131124:QKG131124 QUB131124:QUC131124 RDX131124:RDY131124 RNT131124:RNU131124 RXP131124:RXQ131124 SHL131124:SHM131124 SRH131124:SRI131124 TBD131124:TBE131124 TKZ131124:TLA131124 TUV131124:TUW131124 UER131124:UES131124 UON131124:UOO131124 UYJ131124:UYK131124 VIF131124:VIG131124 VSB131124:VSC131124 WBX131124:WBY131124 WLT131124:WLU131124 WVP131124:WVQ131124 H196660:I196660 JD196660:JE196660 SZ196660:TA196660 ACV196660:ACW196660 AMR196660:AMS196660 AWN196660:AWO196660 BGJ196660:BGK196660 BQF196660:BQG196660 CAB196660:CAC196660 CJX196660:CJY196660 CTT196660:CTU196660 DDP196660:DDQ196660 DNL196660:DNM196660 DXH196660:DXI196660 EHD196660:EHE196660 EQZ196660:ERA196660 FAV196660:FAW196660 FKR196660:FKS196660 FUN196660:FUO196660 GEJ196660:GEK196660 GOF196660:GOG196660 GYB196660:GYC196660 HHX196660:HHY196660 HRT196660:HRU196660 IBP196660:IBQ196660 ILL196660:ILM196660 IVH196660:IVI196660 JFD196660:JFE196660 JOZ196660:JPA196660 JYV196660:JYW196660 KIR196660:KIS196660 KSN196660:KSO196660 LCJ196660:LCK196660 LMF196660:LMG196660 LWB196660:LWC196660 MFX196660:MFY196660 MPT196660:MPU196660 MZP196660:MZQ196660 NJL196660:NJM196660 NTH196660:NTI196660 ODD196660:ODE196660 OMZ196660:ONA196660 OWV196660:OWW196660 PGR196660:PGS196660 PQN196660:PQO196660 QAJ196660:QAK196660 QKF196660:QKG196660 QUB196660:QUC196660 RDX196660:RDY196660 RNT196660:RNU196660 RXP196660:RXQ196660 SHL196660:SHM196660 SRH196660:SRI196660 TBD196660:TBE196660 TKZ196660:TLA196660 TUV196660:TUW196660 UER196660:UES196660 UON196660:UOO196660 UYJ196660:UYK196660 VIF196660:VIG196660 VSB196660:VSC196660 WBX196660:WBY196660 WLT196660:WLU196660 WVP196660:WVQ196660 H262196:I262196 JD262196:JE262196 SZ262196:TA262196 ACV262196:ACW262196 AMR262196:AMS262196 AWN262196:AWO262196 BGJ262196:BGK262196 BQF262196:BQG262196 CAB262196:CAC262196 CJX262196:CJY262196 CTT262196:CTU262196 DDP262196:DDQ262196 DNL262196:DNM262196 DXH262196:DXI262196 EHD262196:EHE262196 EQZ262196:ERA262196 FAV262196:FAW262196 FKR262196:FKS262196 FUN262196:FUO262196 GEJ262196:GEK262196 GOF262196:GOG262196 GYB262196:GYC262196 HHX262196:HHY262196 HRT262196:HRU262196 IBP262196:IBQ262196 ILL262196:ILM262196 IVH262196:IVI262196 JFD262196:JFE262196 JOZ262196:JPA262196 JYV262196:JYW262196 KIR262196:KIS262196 KSN262196:KSO262196 LCJ262196:LCK262196 LMF262196:LMG262196 LWB262196:LWC262196 MFX262196:MFY262196 MPT262196:MPU262196 MZP262196:MZQ262196 NJL262196:NJM262196 NTH262196:NTI262196 ODD262196:ODE262196 OMZ262196:ONA262196 OWV262196:OWW262196 PGR262196:PGS262196 PQN262196:PQO262196 QAJ262196:QAK262196 QKF262196:QKG262196 QUB262196:QUC262196 RDX262196:RDY262196 RNT262196:RNU262196 RXP262196:RXQ262196 SHL262196:SHM262196 SRH262196:SRI262196 TBD262196:TBE262196 TKZ262196:TLA262196 TUV262196:TUW262196 UER262196:UES262196 UON262196:UOO262196 UYJ262196:UYK262196 VIF262196:VIG262196 VSB262196:VSC262196 WBX262196:WBY262196 WLT262196:WLU262196 WVP262196:WVQ262196 H327732:I327732 JD327732:JE327732 SZ327732:TA327732 ACV327732:ACW327732 AMR327732:AMS327732 AWN327732:AWO327732 BGJ327732:BGK327732 BQF327732:BQG327732 CAB327732:CAC327732 CJX327732:CJY327732 CTT327732:CTU327732 DDP327732:DDQ327732 DNL327732:DNM327732 DXH327732:DXI327732 EHD327732:EHE327732 EQZ327732:ERA327732 FAV327732:FAW327732 FKR327732:FKS327732 FUN327732:FUO327732 GEJ327732:GEK327732 GOF327732:GOG327732 GYB327732:GYC327732 HHX327732:HHY327732 HRT327732:HRU327732 IBP327732:IBQ327732 ILL327732:ILM327732 IVH327732:IVI327732 JFD327732:JFE327732 JOZ327732:JPA327732 JYV327732:JYW327732 KIR327732:KIS327732 KSN327732:KSO327732 LCJ327732:LCK327732 LMF327732:LMG327732 LWB327732:LWC327732 MFX327732:MFY327732 MPT327732:MPU327732 MZP327732:MZQ327732 NJL327732:NJM327732 NTH327732:NTI327732 ODD327732:ODE327732 OMZ327732:ONA327732 OWV327732:OWW327732 PGR327732:PGS327732 PQN327732:PQO327732 QAJ327732:QAK327732 QKF327732:QKG327732 QUB327732:QUC327732 RDX327732:RDY327732 RNT327732:RNU327732 RXP327732:RXQ327732 SHL327732:SHM327732 SRH327732:SRI327732 TBD327732:TBE327732 TKZ327732:TLA327732 TUV327732:TUW327732 UER327732:UES327732 UON327732:UOO327732 UYJ327732:UYK327732 VIF327732:VIG327732 VSB327732:VSC327732 WBX327732:WBY327732 WLT327732:WLU327732 WVP327732:WVQ327732 H393268:I393268 JD393268:JE393268 SZ393268:TA393268 ACV393268:ACW393268 AMR393268:AMS393268 AWN393268:AWO393268 BGJ393268:BGK393268 BQF393268:BQG393268 CAB393268:CAC393268 CJX393268:CJY393268 CTT393268:CTU393268 DDP393268:DDQ393268 DNL393268:DNM393268 DXH393268:DXI393268 EHD393268:EHE393268 EQZ393268:ERA393268 FAV393268:FAW393268 FKR393268:FKS393268 FUN393268:FUO393268 GEJ393268:GEK393268 GOF393268:GOG393268 GYB393268:GYC393268 HHX393268:HHY393268 HRT393268:HRU393268 IBP393268:IBQ393268 ILL393268:ILM393268 IVH393268:IVI393268 JFD393268:JFE393268 JOZ393268:JPA393268 JYV393268:JYW393268 KIR393268:KIS393268 KSN393268:KSO393268 LCJ393268:LCK393268 LMF393268:LMG393268 LWB393268:LWC393268 MFX393268:MFY393268 MPT393268:MPU393268 MZP393268:MZQ393268 NJL393268:NJM393268 NTH393268:NTI393268 ODD393268:ODE393268 OMZ393268:ONA393268 OWV393268:OWW393268 PGR393268:PGS393268 PQN393268:PQO393268 QAJ393268:QAK393268 QKF393268:QKG393268 QUB393268:QUC393268 RDX393268:RDY393268 RNT393268:RNU393268 RXP393268:RXQ393268 SHL393268:SHM393268 SRH393268:SRI393268 TBD393268:TBE393268 TKZ393268:TLA393268 TUV393268:TUW393268 UER393268:UES393268 UON393268:UOO393268 UYJ393268:UYK393268 VIF393268:VIG393268 VSB393268:VSC393268 WBX393268:WBY393268 WLT393268:WLU393268 WVP393268:WVQ393268 H458804:I458804 JD458804:JE458804 SZ458804:TA458804 ACV458804:ACW458804 AMR458804:AMS458804 AWN458804:AWO458804 BGJ458804:BGK458804 BQF458804:BQG458804 CAB458804:CAC458804 CJX458804:CJY458804 CTT458804:CTU458804 DDP458804:DDQ458804 DNL458804:DNM458804 DXH458804:DXI458804 EHD458804:EHE458804 EQZ458804:ERA458804 FAV458804:FAW458804 FKR458804:FKS458804 FUN458804:FUO458804 GEJ458804:GEK458804 GOF458804:GOG458804 GYB458804:GYC458804 HHX458804:HHY458804 HRT458804:HRU458804 IBP458804:IBQ458804 ILL458804:ILM458804 IVH458804:IVI458804 JFD458804:JFE458804 JOZ458804:JPA458804 JYV458804:JYW458804 KIR458804:KIS458804 KSN458804:KSO458804 LCJ458804:LCK458804 LMF458804:LMG458804 LWB458804:LWC458804 MFX458804:MFY458804 MPT458804:MPU458804 MZP458804:MZQ458804 NJL458804:NJM458804 NTH458804:NTI458804 ODD458804:ODE458804 OMZ458804:ONA458804 OWV458804:OWW458804 PGR458804:PGS458804 PQN458804:PQO458804 QAJ458804:QAK458804 QKF458804:QKG458804 QUB458804:QUC458804 RDX458804:RDY458804 RNT458804:RNU458804 RXP458804:RXQ458804 SHL458804:SHM458804 SRH458804:SRI458804 TBD458804:TBE458804 TKZ458804:TLA458804 TUV458804:TUW458804 UER458804:UES458804 UON458804:UOO458804 UYJ458804:UYK458804 VIF458804:VIG458804 VSB458804:VSC458804 WBX458804:WBY458804 WLT458804:WLU458804 WVP458804:WVQ458804 H524340:I524340 JD524340:JE524340 SZ524340:TA524340 ACV524340:ACW524340 AMR524340:AMS524340 AWN524340:AWO524340 BGJ524340:BGK524340 BQF524340:BQG524340 CAB524340:CAC524340 CJX524340:CJY524340 CTT524340:CTU524340 DDP524340:DDQ524340 DNL524340:DNM524340 DXH524340:DXI524340 EHD524340:EHE524340 EQZ524340:ERA524340 FAV524340:FAW524340 FKR524340:FKS524340 FUN524340:FUO524340 GEJ524340:GEK524340 GOF524340:GOG524340 GYB524340:GYC524340 HHX524340:HHY524340 HRT524340:HRU524340 IBP524340:IBQ524340 ILL524340:ILM524340 IVH524340:IVI524340 JFD524340:JFE524340 JOZ524340:JPA524340 JYV524340:JYW524340 KIR524340:KIS524340 KSN524340:KSO524340 LCJ524340:LCK524340 LMF524340:LMG524340 LWB524340:LWC524340 MFX524340:MFY524340 MPT524340:MPU524340 MZP524340:MZQ524340 NJL524340:NJM524340 NTH524340:NTI524340 ODD524340:ODE524340 OMZ524340:ONA524340 OWV524340:OWW524340 PGR524340:PGS524340 PQN524340:PQO524340 QAJ524340:QAK524340 QKF524340:QKG524340 QUB524340:QUC524340 RDX524340:RDY524340 RNT524340:RNU524340 RXP524340:RXQ524340 SHL524340:SHM524340 SRH524340:SRI524340 TBD524340:TBE524340 TKZ524340:TLA524340 TUV524340:TUW524340 UER524340:UES524340 UON524340:UOO524340 UYJ524340:UYK524340 VIF524340:VIG524340 VSB524340:VSC524340 WBX524340:WBY524340 WLT524340:WLU524340 WVP524340:WVQ524340 H589876:I589876 JD589876:JE589876 SZ589876:TA589876 ACV589876:ACW589876 AMR589876:AMS589876 AWN589876:AWO589876 BGJ589876:BGK589876 BQF589876:BQG589876 CAB589876:CAC589876 CJX589876:CJY589876 CTT589876:CTU589876 DDP589876:DDQ589876 DNL589876:DNM589876 DXH589876:DXI589876 EHD589876:EHE589876 EQZ589876:ERA589876 FAV589876:FAW589876 FKR589876:FKS589876 FUN589876:FUO589876 GEJ589876:GEK589876 GOF589876:GOG589876 GYB589876:GYC589876 HHX589876:HHY589876 HRT589876:HRU589876 IBP589876:IBQ589876 ILL589876:ILM589876 IVH589876:IVI589876 JFD589876:JFE589876 JOZ589876:JPA589876 JYV589876:JYW589876 KIR589876:KIS589876 KSN589876:KSO589876 LCJ589876:LCK589876 LMF589876:LMG589876 LWB589876:LWC589876 MFX589876:MFY589876 MPT589876:MPU589876 MZP589876:MZQ589876 NJL589876:NJM589876 NTH589876:NTI589876 ODD589876:ODE589876 OMZ589876:ONA589876 OWV589876:OWW589876 PGR589876:PGS589876 PQN589876:PQO589876 QAJ589876:QAK589876 QKF589876:QKG589876 QUB589876:QUC589876 RDX589876:RDY589876 RNT589876:RNU589876 RXP589876:RXQ589876 SHL589876:SHM589876 SRH589876:SRI589876 TBD589876:TBE589876 TKZ589876:TLA589876 TUV589876:TUW589876 UER589876:UES589876 UON589876:UOO589876 UYJ589876:UYK589876 VIF589876:VIG589876 VSB589876:VSC589876 WBX589876:WBY589876 WLT589876:WLU589876 WVP589876:WVQ589876 H655412:I655412 JD655412:JE655412 SZ655412:TA655412 ACV655412:ACW655412 AMR655412:AMS655412 AWN655412:AWO655412 BGJ655412:BGK655412 BQF655412:BQG655412 CAB655412:CAC655412 CJX655412:CJY655412 CTT655412:CTU655412 DDP655412:DDQ655412 DNL655412:DNM655412 DXH655412:DXI655412 EHD655412:EHE655412 EQZ655412:ERA655412 FAV655412:FAW655412 FKR655412:FKS655412 FUN655412:FUO655412 GEJ655412:GEK655412 GOF655412:GOG655412 GYB655412:GYC655412 HHX655412:HHY655412 HRT655412:HRU655412 IBP655412:IBQ655412 ILL655412:ILM655412 IVH655412:IVI655412 JFD655412:JFE655412 JOZ655412:JPA655412 JYV655412:JYW655412 KIR655412:KIS655412 KSN655412:KSO655412 LCJ655412:LCK655412 LMF655412:LMG655412 LWB655412:LWC655412 MFX655412:MFY655412 MPT655412:MPU655412 MZP655412:MZQ655412 NJL655412:NJM655412 NTH655412:NTI655412 ODD655412:ODE655412 OMZ655412:ONA655412 OWV655412:OWW655412 PGR655412:PGS655412 PQN655412:PQO655412 QAJ655412:QAK655412 QKF655412:QKG655412 QUB655412:QUC655412 RDX655412:RDY655412 RNT655412:RNU655412 RXP655412:RXQ655412 SHL655412:SHM655412 SRH655412:SRI655412 TBD655412:TBE655412 TKZ655412:TLA655412 TUV655412:TUW655412 UER655412:UES655412 UON655412:UOO655412 UYJ655412:UYK655412 VIF655412:VIG655412 VSB655412:VSC655412 WBX655412:WBY655412 WLT655412:WLU655412 WVP655412:WVQ655412 H720948:I720948 JD720948:JE720948 SZ720948:TA720948 ACV720948:ACW720948 AMR720948:AMS720948 AWN720948:AWO720948 BGJ720948:BGK720948 BQF720948:BQG720948 CAB720948:CAC720948 CJX720948:CJY720948 CTT720948:CTU720948 DDP720948:DDQ720948 DNL720948:DNM720948 DXH720948:DXI720948 EHD720948:EHE720948 EQZ720948:ERA720948 FAV720948:FAW720948 FKR720948:FKS720948 FUN720948:FUO720948 GEJ720948:GEK720948 GOF720948:GOG720948 GYB720948:GYC720948 HHX720948:HHY720948 HRT720948:HRU720948 IBP720948:IBQ720948 ILL720948:ILM720948 IVH720948:IVI720948 JFD720948:JFE720948 JOZ720948:JPA720948 JYV720948:JYW720948 KIR720948:KIS720948 KSN720948:KSO720948 LCJ720948:LCK720948 LMF720948:LMG720948 LWB720948:LWC720948 MFX720948:MFY720948 MPT720948:MPU720948 MZP720948:MZQ720948 NJL720948:NJM720948 NTH720948:NTI720948 ODD720948:ODE720948 OMZ720948:ONA720948 OWV720948:OWW720948 PGR720948:PGS720948 PQN720948:PQO720948 QAJ720948:QAK720948 QKF720948:QKG720948 QUB720948:QUC720948 RDX720948:RDY720948 RNT720948:RNU720948 RXP720948:RXQ720948 SHL720948:SHM720948 SRH720948:SRI720948 TBD720948:TBE720948 TKZ720948:TLA720948 TUV720948:TUW720948 UER720948:UES720948 UON720948:UOO720948 UYJ720948:UYK720948 VIF720948:VIG720948 VSB720948:VSC720948 WBX720948:WBY720948 WLT720948:WLU720948 WVP720948:WVQ720948 H786484:I786484 JD786484:JE786484 SZ786484:TA786484 ACV786484:ACW786484 AMR786484:AMS786484 AWN786484:AWO786484 BGJ786484:BGK786484 BQF786484:BQG786484 CAB786484:CAC786484 CJX786484:CJY786484 CTT786484:CTU786484 DDP786484:DDQ786484 DNL786484:DNM786484 DXH786484:DXI786484 EHD786484:EHE786484 EQZ786484:ERA786484 FAV786484:FAW786484 FKR786484:FKS786484 FUN786484:FUO786484 GEJ786484:GEK786484 GOF786484:GOG786484 GYB786484:GYC786484 HHX786484:HHY786484 HRT786484:HRU786484 IBP786484:IBQ786484 ILL786484:ILM786484 IVH786484:IVI786484 JFD786484:JFE786484 JOZ786484:JPA786484 JYV786484:JYW786484 KIR786484:KIS786484 KSN786484:KSO786484 LCJ786484:LCK786484 LMF786484:LMG786484 LWB786484:LWC786484 MFX786484:MFY786484 MPT786484:MPU786484 MZP786484:MZQ786484 NJL786484:NJM786484 NTH786484:NTI786484 ODD786484:ODE786484 OMZ786484:ONA786484 OWV786484:OWW786484 PGR786484:PGS786484 PQN786484:PQO786484 QAJ786484:QAK786484 QKF786484:QKG786484 QUB786484:QUC786484 RDX786484:RDY786484 RNT786484:RNU786484 RXP786484:RXQ786484 SHL786484:SHM786484 SRH786484:SRI786484 TBD786484:TBE786484 TKZ786484:TLA786484 TUV786484:TUW786484 UER786484:UES786484 UON786484:UOO786484 UYJ786484:UYK786484 VIF786484:VIG786484 VSB786484:VSC786484 WBX786484:WBY786484 WLT786484:WLU786484 WVP786484:WVQ786484 H852020:I852020 JD852020:JE852020 SZ852020:TA852020 ACV852020:ACW852020 AMR852020:AMS852020 AWN852020:AWO852020 BGJ852020:BGK852020 BQF852020:BQG852020 CAB852020:CAC852020 CJX852020:CJY852020 CTT852020:CTU852020 DDP852020:DDQ852020 DNL852020:DNM852020 DXH852020:DXI852020 EHD852020:EHE852020 EQZ852020:ERA852020 FAV852020:FAW852020 FKR852020:FKS852020 FUN852020:FUO852020 GEJ852020:GEK852020 GOF852020:GOG852020 GYB852020:GYC852020 HHX852020:HHY852020 HRT852020:HRU852020 IBP852020:IBQ852020 ILL852020:ILM852020 IVH852020:IVI852020 JFD852020:JFE852020 JOZ852020:JPA852020 JYV852020:JYW852020 KIR852020:KIS852020 KSN852020:KSO852020 LCJ852020:LCK852020 LMF852020:LMG852020 LWB852020:LWC852020 MFX852020:MFY852020 MPT852020:MPU852020 MZP852020:MZQ852020 NJL852020:NJM852020 NTH852020:NTI852020 ODD852020:ODE852020 OMZ852020:ONA852020 OWV852020:OWW852020 PGR852020:PGS852020 PQN852020:PQO852020 QAJ852020:QAK852020 QKF852020:QKG852020 QUB852020:QUC852020 RDX852020:RDY852020 RNT852020:RNU852020 RXP852020:RXQ852020 SHL852020:SHM852020 SRH852020:SRI852020 TBD852020:TBE852020 TKZ852020:TLA852020 TUV852020:TUW852020 UER852020:UES852020 UON852020:UOO852020 UYJ852020:UYK852020 VIF852020:VIG852020 VSB852020:VSC852020 WBX852020:WBY852020 WLT852020:WLU852020 WVP852020:WVQ852020 H917556:I917556 JD917556:JE917556 SZ917556:TA917556 ACV917556:ACW917556 AMR917556:AMS917556 AWN917556:AWO917556 BGJ917556:BGK917556 BQF917556:BQG917556 CAB917556:CAC917556 CJX917556:CJY917556 CTT917556:CTU917556 DDP917556:DDQ917556 DNL917556:DNM917556 DXH917556:DXI917556 EHD917556:EHE917556 EQZ917556:ERA917556 FAV917556:FAW917556 FKR917556:FKS917556 FUN917556:FUO917556 GEJ917556:GEK917556 GOF917556:GOG917556 GYB917556:GYC917556 HHX917556:HHY917556 HRT917556:HRU917556 IBP917556:IBQ917556 ILL917556:ILM917556 IVH917556:IVI917556 JFD917556:JFE917556 JOZ917556:JPA917556 JYV917556:JYW917556 KIR917556:KIS917556 KSN917556:KSO917556 LCJ917556:LCK917556 LMF917556:LMG917556 LWB917556:LWC917556 MFX917556:MFY917556 MPT917556:MPU917556 MZP917556:MZQ917556 NJL917556:NJM917556 NTH917556:NTI917556 ODD917556:ODE917556 OMZ917556:ONA917556 OWV917556:OWW917556 PGR917556:PGS917556 PQN917556:PQO917556 QAJ917556:QAK917556 QKF917556:QKG917556 QUB917556:QUC917556 RDX917556:RDY917556 RNT917556:RNU917556 RXP917556:RXQ917556 SHL917556:SHM917556 SRH917556:SRI917556 TBD917556:TBE917556 TKZ917556:TLA917556 TUV917556:TUW917556 UER917556:UES917556 UON917556:UOO917556 UYJ917556:UYK917556 VIF917556:VIG917556 VSB917556:VSC917556 WBX917556:WBY917556 WLT917556:WLU917556 WVP917556:WVQ917556 H983092:I983092 JD983092:JE983092 SZ983092:TA983092 ACV983092:ACW983092 AMR983092:AMS983092 AWN983092:AWO983092 BGJ983092:BGK983092 BQF983092:BQG983092 CAB983092:CAC983092 CJX983092:CJY983092 CTT983092:CTU983092 DDP983092:DDQ983092 DNL983092:DNM983092 DXH983092:DXI983092 EHD983092:EHE983092 EQZ983092:ERA983092 FAV983092:FAW983092 FKR983092:FKS983092 FUN983092:FUO983092 GEJ983092:GEK983092 GOF983092:GOG983092 GYB983092:GYC983092 HHX983092:HHY983092 HRT983092:HRU983092 IBP983092:IBQ983092 ILL983092:ILM983092 IVH983092:IVI983092 JFD983092:JFE983092 JOZ983092:JPA983092 JYV983092:JYW983092 KIR983092:KIS983092 KSN983092:KSO983092 LCJ983092:LCK983092 LMF983092:LMG983092 LWB983092:LWC983092 MFX983092:MFY983092 MPT983092:MPU983092 MZP983092:MZQ983092 NJL983092:NJM983092 NTH983092:NTI983092 ODD983092:ODE983092 OMZ983092:ONA983092 OWV983092:OWW983092 PGR983092:PGS983092 PQN983092:PQO983092 QAJ983092:QAK983092 QKF983092:QKG983092 QUB983092:QUC983092 RDX983092:RDY983092 RNT983092:RNU983092 RXP983092:RXQ983092 SHL983092:SHM983092 SRH983092:SRI983092 TBD983092:TBE983092 TKZ983092:TLA983092 TUV983092:TUW983092 UER983092:UES983092 UON983092:UOO983092 UYJ983092:UYK983092 VIF983092:VIG983092 VSB983092:VSC983092 WBX983092:WBY983092 WLT983092:WLU983092 WVP983092:WVQ983092 T49:T51 JP49:JP51 TL49:TL51 ADH49:ADH51 AND49:AND51 AWZ49:AWZ51 BGV49:BGV51 BQR49:BQR51 CAN49:CAN51 CKJ49:CKJ51 CUF49:CUF51 DEB49:DEB51 DNX49:DNX51 DXT49:DXT51 EHP49:EHP51 ERL49:ERL51 FBH49:FBH51 FLD49:FLD51 FUZ49:FUZ51 GEV49:GEV51 GOR49:GOR51 GYN49:GYN51 HIJ49:HIJ51 HSF49:HSF51 ICB49:ICB51 ILX49:ILX51 IVT49:IVT51 JFP49:JFP51 JPL49:JPL51 JZH49:JZH51 KJD49:KJD51 KSZ49:KSZ51 LCV49:LCV51 LMR49:LMR51 LWN49:LWN51 MGJ49:MGJ51 MQF49:MQF51 NAB49:NAB51 NJX49:NJX51 NTT49:NTT51 ODP49:ODP51 ONL49:ONL51 OXH49:OXH51 PHD49:PHD51 PQZ49:PQZ51 QAV49:QAV51 QKR49:QKR51 QUN49:QUN51 REJ49:REJ51 ROF49:ROF51 RYB49:RYB51 SHX49:SHX51 SRT49:SRT51 TBP49:TBP51 TLL49:TLL51 TVH49:TVH51 UFD49:UFD51 UOZ49:UOZ51 UYV49:UYV51 VIR49:VIR51 VSN49:VSN51 WCJ49:WCJ51 WMF49:WMF51 WWB49:WWB51 T65585:T65587 JP65585:JP65587 TL65585:TL65587 ADH65585:ADH65587 AND65585:AND65587 AWZ65585:AWZ65587 BGV65585:BGV65587 BQR65585:BQR65587 CAN65585:CAN65587 CKJ65585:CKJ65587 CUF65585:CUF65587 DEB65585:DEB65587 DNX65585:DNX65587 DXT65585:DXT65587 EHP65585:EHP65587 ERL65585:ERL65587 FBH65585:FBH65587 FLD65585:FLD65587 FUZ65585:FUZ65587 GEV65585:GEV65587 GOR65585:GOR65587 GYN65585:GYN65587 HIJ65585:HIJ65587 HSF65585:HSF65587 ICB65585:ICB65587 ILX65585:ILX65587 IVT65585:IVT65587 JFP65585:JFP65587 JPL65585:JPL65587 JZH65585:JZH65587 KJD65585:KJD65587 KSZ65585:KSZ65587 LCV65585:LCV65587 LMR65585:LMR65587 LWN65585:LWN65587 MGJ65585:MGJ65587 MQF65585:MQF65587 NAB65585:NAB65587 NJX65585:NJX65587 NTT65585:NTT65587 ODP65585:ODP65587 ONL65585:ONL65587 OXH65585:OXH65587 PHD65585:PHD65587 PQZ65585:PQZ65587 QAV65585:QAV65587 QKR65585:QKR65587 QUN65585:QUN65587 REJ65585:REJ65587 ROF65585:ROF65587 RYB65585:RYB65587 SHX65585:SHX65587 SRT65585:SRT65587 TBP65585:TBP65587 TLL65585:TLL65587 TVH65585:TVH65587 UFD65585:UFD65587 UOZ65585:UOZ65587 UYV65585:UYV65587 VIR65585:VIR65587 VSN65585:VSN65587 WCJ65585:WCJ65587 WMF65585:WMF65587 WWB65585:WWB65587 T131121:T131123 JP131121:JP131123 TL131121:TL131123 ADH131121:ADH131123 AND131121:AND131123 AWZ131121:AWZ131123 BGV131121:BGV131123 BQR131121:BQR131123 CAN131121:CAN131123 CKJ131121:CKJ131123 CUF131121:CUF131123 DEB131121:DEB131123 DNX131121:DNX131123 DXT131121:DXT131123 EHP131121:EHP131123 ERL131121:ERL131123 FBH131121:FBH131123 FLD131121:FLD131123 FUZ131121:FUZ131123 GEV131121:GEV131123 GOR131121:GOR131123 GYN131121:GYN131123 HIJ131121:HIJ131123 HSF131121:HSF131123 ICB131121:ICB131123 ILX131121:ILX131123 IVT131121:IVT131123 JFP131121:JFP131123 JPL131121:JPL131123 JZH131121:JZH131123 KJD131121:KJD131123 KSZ131121:KSZ131123 LCV131121:LCV131123 LMR131121:LMR131123 LWN131121:LWN131123 MGJ131121:MGJ131123 MQF131121:MQF131123 NAB131121:NAB131123 NJX131121:NJX131123 NTT131121:NTT131123 ODP131121:ODP131123 ONL131121:ONL131123 OXH131121:OXH131123 PHD131121:PHD131123 PQZ131121:PQZ131123 QAV131121:QAV131123 QKR131121:QKR131123 QUN131121:QUN131123 REJ131121:REJ131123 ROF131121:ROF131123 RYB131121:RYB131123 SHX131121:SHX131123 SRT131121:SRT131123 TBP131121:TBP131123 TLL131121:TLL131123 TVH131121:TVH131123 UFD131121:UFD131123 UOZ131121:UOZ131123 UYV131121:UYV131123 VIR131121:VIR131123 VSN131121:VSN131123 WCJ131121:WCJ131123 WMF131121:WMF131123 WWB131121:WWB131123 T196657:T196659 JP196657:JP196659 TL196657:TL196659 ADH196657:ADH196659 AND196657:AND196659 AWZ196657:AWZ196659 BGV196657:BGV196659 BQR196657:BQR196659 CAN196657:CAN196659 CKJ196657:CKJ196659 CUF196657:CUF196659 DEB196657:DEB196659 DNX196657:DNX196659 DXT196657:DXT196659 EHP196657:EHP196659 ERL196657:ERL196659 FBH196657:FBH196659 FLD196657:FLD196659 FUZ196657:FUZ196659 GEV196657:GEV196659 GOR196657:GOR196659 GYN196657:GYN196659 HIJ196657:HIJ196659 HSF196657:HSF196659 ICB196657:ICB196659 ILX196657:ILX196659 IVT196657:IVT196659 JFP196657:JFP196659 JPL196657:JPL196659 JZH196657:JZH196659 KJD196657:KJD196659 KSZ196657:KSZ196659 LCV196657:LCV196659 LMR196657:LMR196659 LWN196657:LWN196659 MGJ196657:MGJ196659 MQF196657:MQF196659 NAB196657:NAB196659 NJX196657:NJX196659 NTT196657:NTT196659 ODP196657:ODP196659 ONL196657:ONL196659 OXH196657:OXH196659 PHD196657:PHD196659 PQZ196657:PQZ196659 QAV196657:QAV196659 QKR196657:QKR196659 QUN196657:QUN196659 REJ196657:REJ196659 ROF196657:ROF196659 RYB196657:RYB196659 SHX196657:SHX196659 SRT196657:SRT196659 TBP196657:TBP196659 TLL196657:TLL196659 TVH196657:TVH196659 UFD196657:UFD196659 UOZ196657:UOZ196659 UYV196657:UYV196659 VIR196657:VIR196659 VSN196657:VSN196659 WCJ196657:WCJ196659 WMF196657:WMF196659 WWB196657:WWB196659 T262193:T262195 JP262193:JP262195 TL262193:TL262195 ADH262193:ADH262195 AND262193:AND262195 AWZ262193:AWZ262195 BGV262193:BGV262195 BQR262193:BQR262195 CAN262193:CAN262195 CKJ262193:CKJ262195 CUF262193:CUF262195 DEB262193:DEB262195 DNX262193:DNX262195 DXT262193:DXT262195 EHP262193:EHP262195 ERL262193:ERL262195 FBH262193:FBH262195 FLD262193:FLD262195 FUZ262193:FUZ262195 GEV262193:GEV262195 GOR262193:GOR262195 GYN262193:GYN262195 HIJ262193:HIJ262195 HSF262193:HSF262195 ICB262193:ICB262195 ILX262193:ILX262195 IVT262193:IVT262195 JFP262193:JFP262195 JPL262193:JPL262195 JZH262193:JZH262195 KJD262193:KJD262195 KSZ262193:KSZ262195 LCV262193:LCV262195 LMR262193:LMR262195 LWN262193:LWN262195 MGJ262193:MGJ262195 MQF262193:MQF262195 NAB262193:NAB262195 NJX262193:NJX262195 NTT262193:NTT262195 ODP262193:ODP262195 ONL262193:ONL262195 OXH262193:OXH262195 PHD262193:PHD262195 PQZ262193:PQZ262195 QAV262193:QAV262195 QKR262193:QKR262195 QUN262193:QUN262195 REJ262193:REJ262195 ROF262193:ROF262195 RYB262193:RYB262195 SHX262193:SHX262195 SRT262193:SRT262195 TBP262193:TBP262195 TLL262193:TLL262195 TVH262193:TVH262195 UFD262193:UFD262195 UOZ262193:UOZ262195 UYV262193:UYV262195 VIR262193:VIR262195 VSN262193:VSN262195 WCJ262193:WCJ262195 WMF262193:WMF262195 WWB262193:WWB262195 T327729:T327731 JP327729:JP327731 TL327729:TL327731 ADH327729:ADH327731 AND327729:AND327731 AWZ327729:AWZ327731 BGV327729:BGV327731 BQR327729:BQR327731 CAN327729:CAN327731 CKJ327729:CKJ327731 CUF327729:CUF327731 DEB327729:DEB327731 DNX327729:DNX327731 DXT327729:DXT327731 EHP327729:EHP327731 ERL327729:ERL327731 FBH327729:FBH327731 FLD327729:FLD327731 FUZ327729:FUZ327731 GEV327729:GEV327731 GOR327729:GOR327731 GYN327729:GYN327731 HIJ327729:HIJ327731 HSF327729:HSF327731 ICB327729:ICB327731 ILX327729:ILX327731 IVT327729:IVT327731 JFP327729:JFP327731 JPL327729:JPL327731 JZH327729:JZH327731 KJD327729:KJD327731 KSZ327729:KSZ327731 LCV327729:LCV327731 LMR327729:LMR327731 LWN327729:LWN327731 MGJ327729:MGJ327731 MQF327729:MQF327731 NAB327729:NAB327731 NJX327729:NJX327731 NTT327729:NTT327731 ODP327729:ODP327731 ONL327729:ONL327731 OXH327729:OXH327731 PHD327729:PHD327731 PQZ327729:PQZ327731 QAV327729:QAV327731 QKR327729:QKR327731 QUN327729:QUN327731 REJ327729:REJ327731 ROF327729:ROF327731 RYB327729:RYB327731 SHX327729:SHX327731 SRT327729:SRT327731 TBP327729:TBP327731 TLL327729:TLL327731 TVH327729:TVH327731 UFD327729:UFD327731 UOZ327729:UOZ327731 UYV327729:UYV327731 VIR327729:VIR327731 VSN327729:VSN327731 WCJ327729:WCJ327731 WMF327729:WMF327731 WWB327729:WWB327731 T393265:T393267 JP393265:JP393267 TL393265:TL393267 ADH393265:ADH393267 AND393265:AND393267 AWZ393265:AWZ393267 BGV393265:BGV393267 BQR393265:BQR393267 CAN393265:CAN393267 CKJ393265:CKJ393267 CUF393265:CUF393267 DEB393265:DEB393267 DNX393265:DNX393267 DXT393265:DXT393267 EHP393265:EHP393267 ERL393265:ERL393267 FBH393265:FBH393267 FLD393265:FLD393267 FUZ393265:FUZ393267 GEV393265:GEV393267 GOR393265:GOR393267 GYN393265:GYN393267 HIJ393265:HIJ393267 HSF393265:HSF393267 ICB393265:ICB393267 ILX393265:ILX393267 IVT393265:IVT393267 JFP393265:JFP393267 JPL393265:JPL393267 JZH393265:JZH393267 KJD393265:KJD393267 KSZ393265:KSZ393267 LCV393265:LCV393267 LMR393265:LMR393267 LWN393265:LWN393267 MGJ393265:MGJ393267 MQF393265:MQF393267 NAB393265:NAB393267 NJX393265:NJX393267 NTT393265:NTT393267 ODP393265:ODP393267 ONL393265:ONL393267 OXH393265:OXH393267 PHD393265:PHD393267 PQZ393265:PQZ393267 QAV393265:QAV393267 QKR393265:QKR393267 QUN393265:QUN393267 REJ393265:REJ393267 ROF393265:ROF393267 RYB393265:RYB393267 SHX393265:SHX393267 SRT393265:SRT393267 TBP393265:TBP393267 TLL393265:TLL393267 TVH393265:TVH393267 UFD393265:UFD393267 UOZ393265:UOZ393267 UYV393265:UYV393267 VIR393265:VIR393267 VSN393265:VSN393267 WCJ393265:WCJ393267 WMF393265:WMF393267 WWB393265:WWB393267 T458801:T458803 JP458801:JP458803 TL458801:TL458803 ADH458801:ADH458803 AND458801:AND458803 AWZ458801:AWZ458803 BGV458801:BGV458803 BQR458801:BQR458803 CAN458801:CAN458803 CKJ458801:CKJ458803 CUF458801:CUF458803 DEB458801:DEB458803 DNX458801:DNX458803 DXT458801:DXT458803 EHP458801:EHP458803 ERL458801:ERL458803 FBH458801:FBH458803 FLD458801:FLD458803 FUZ458801:FUZ458803 GEV458801:GEV458803 GOR458801:GOR458803 GYN458801:GYN458803 HIJ458801:HIJ458803 HSF458801:HSF458803 ICB458801:ICB458803 ILX458801:ILX458803 IVT458801:IVT458803 JFP458801:JFP458803 JPL458801:JPL458803 JZH458801:JZH458803 KJD458801:KJD458803 KSZ458801:KSZ458803 LCV458801:LCV458803 LMR458801:LMR458803 LWN458801:LWN458803 MGJ458801:MGJ458803 MQF458801:MQF458803 NAB458801:NAB458803 NJX458801:NJX458803 NTT458801:NTT458803 ODP458801:ODP458803 ONL458801:ONL458803 OXH458801:OXH458803 PHD458801:PHD458803 PQZ458801:PQZ458803 QAV458801:QAV458803 QKR458801:QKR458803 QUN458801:QUN458803 REJ458801:REJ458803 ROF458801:ROF458803 RYB458801:RYB458803 SHX458801:SHX458803 SRT458801:SRT458803 TBP458801:TBP458803 TLL458801:TLL458803 TVH458801:TVH458803 UFD458801:UFD458803 UOZ458801:UOZ458803 UYV458801:UYV458803 VIR458801:VIR458803 VSN458801:VSN458803 WCJ458801:WCJ458803 WMF458801:WMF458803 WWB458801:WWB458803 T524337:T524339 JP524337:JP524339 TL524337:TL524339 ADH524337:ADH524339 AND524337:AND524339 AWZ524337:AWZ524339 BGV524337:BGV524339 BQR524337:BQR524339 CAN524337:CAN524339 CKJ524337:CKJ524339 CUF524337:CUF524339 DEB524337:DEB524339 DNX524337:DNX524339 DXT524337:DXT524339 EHP524337:EHP524339 ERL524337:ERL524339 FBH524337:FBH524339 FLD524337:FLD524339 FUZ524337:FUZ524339 GEV524337:GEV524339 GOR524337:GOR524339 GYN524337:GYN524339 HIJ524337:HIJ524339 HSF524337:HSF524339 ICB524337:ICB524339 ILX524337:ILX524339 IVT524337:IVT524339 JFP524337:JFP524339 JPL524337:JPL524339 JZH524337:JZH524339 KJD524337:KJD524339 KSZ524337:KSZ524339 LCV524337:LCV524339 LMR524337:LMR524339 LWN524337:LWN524339 MGJ524337:MGJ524339 MQF524337:MQF524339 NAB524337:NAB524339 NJX524337:NJX524339 NTT524337:NTT524339 ODP524337:ODP524339 ONL524337:ONL524339 OXH524337:OXH524339 PHD524337:PHD524339 PQZ524337:PQZ524339 QAV524337:QAV524339 QKR524337:QKR524339 QUN524337:QUN524339 REJ524337:REJ524339 ROF524337:ROF524339 RYB524337:RYB524339 SHX524337:SHX524339 SRT524337:SRT524339 TBP524337:TBP524339 TLL524337:TLL524339 TVH524337:TVH524339 UFD524337:UFD524339 UOZ524337:UOZ524339 UYV524337:UYV524339 VIR524337:VIR524339 VSN524337:VSN524339 WCJ524337:WCJ524339 WMF524337:WMF524339 WWB524337:WWB524339 T589873:T589875 JP589873:JP589875 TL589873:TL589875 ADH589873:ADH589875 AND589873:AND589875 AWZ589873:AWZ589875 BGV589873:BGV589875 BQR589873:BQR589875 CAN589873:CAN589875 CKJ589873:CKJ589875 CUF589873:CUF589875 DEB589873:DEB589875 DNX589873:DNX589875 DXT589873:DXT589875 EHP589873:EHP589875 ERL589873:ERL589875 FBH589873:FBH589875 FLD589873:FLD589875 FUZ589873:FUZ589875 GEV589873:GEV589875 GOR589873:GOR589875 GYN589873:GYN589875 HIJ589873:HIJ589875 HSF589873:HSF589875 ICB589873:ICB589875 ILX589873:ILX589875 IVT589873:IVT589875 JFP589873:JFP589875 JPL589873:JPL589875 JZH589873:JZH589875 KJD589873:KJD589875 KSZ589873:KSZ589875 LCV589873:LCV589875 LMR589873:LMR589875 LWN589873:LWN589875 MGJ589873:MGJ589875 MQF589873:MQF589875 NAB589873:NAB589875 NJX589873:NJX589875 NTT589873:NTT589875 ODP589873:ODP589875 ONL589873:ONL589875 OXH589873:OXH589875 PHD589873:PHD589875 PQZ589873:PQZ589875 QAV589873:QAV589875 QKR589873:QKR589875 QUN589873:QUN589875 REJ589873:REJ589875 ROF589873:ROF589875 RYB589873:RYB589875 SHX589873:SHX589875 SRT589873:SRT589875 TBP589873:TBP589875 TLL589873:TLL589875 TVH589873:TVH589875 UFD589873:UFD589875 UOZ589873:UOZ589875 UYV589873:UYV589875 VIR589873:VIR589875 VSN589873:VSN589875 WCJ589873:WCJ589875 WMF589873:WMF589875 WWB589873:WWB589875 T655409:T655411 JP655409:JP655411 TL655409:TL655411 ADH655409:ADH655411 AND655409:AND655411 AWZ655409:AWZ655411 BGV655409:BGV655411 BQR655409:BQR655411 CAN655409:CAN655411 CKJ655409:CKJ655411 CUF655409:CUF655411 DEB655409:DEB655411 DNX655409:DNX655411 DXT655409:DXT655411 EHP655409:EHP655411 ERL655409:ERL655411 FBH655409:FBH655411 FLD655409:FLD655411 FUZ655409:FUZ655411 GEV655409:GEV655411 GOR655409:GOR655411 GYN655409:GYN655411 HIJ655409:HIJ655411 HSF655409:HSF655411 ICB655409:ICB655411 ILX655409:ILX655411 IVT655409:IVT655411 JFP655409:JFP655411 JPL655409:JPL655411 JZH655409:JZH655411 KJD655409:KJD655411 KSZ655409:KSZ655411 LCV655409:LCV655411 LMR655409:LMR655411 LWN655409:LWN655411 MGJ655409:MGJ655411 MQF655409:MQF655411 NAB655409:NAB655411 NJX655409:NJX655411 NTT655409:NTT655411 ODP655409:ODP655411 ONL655409:ONL655411 OXH655409:OXH655411 PHD655409:PHD655411 PQZ655409:PQZ655411 QAV655409:QAV655411 QKR655409:QKR655411 QUN655409:QUN655411 REJ655409:REJ655411 ROF655409:ROF655411 RYB655409:RYB655411 SHX655409:SHX655411 SRT655409:SRT655411 TBP655409:TBP655411 TLL655409:TLL655411 TVH655409:TVH655411 UFD655409:UFD655411 UOZ655409:UOZ655411 UYV655409:UYV655411 VIR655409:VIR655411 VSN655409:VSN655411 WCJ655409:WCJ655411 WMF655409:WMF655411 WWB655409:WWB655411 T720945:T720947 JP720945:JP720947 TL720945:TL720947 ADH720945:ADH720947 AND720945:AND720947 AWZ720945:AWZ720947 BGV720945:BGV720947 BQR720945:BQR720947 CAN720945:CAN720947 CKJ720945:CKJ720947 CUF720945:CUF720947 DEB720945:DEB720947 DNX720945:DNX720947 DXT720945:DXT720947 EHP720945:EHP720947 ERL720945:ERL720947 FBH720945:FBH720947 FLD720945:FLD720947 FUZ720945:FUZ720947 GEV720945:GEV720947 GOR720945:GOR720947 GYN720945:GYN720947 HIJ720945:HIJ720947 HSF720945:HSF720947 ICB720945:ICB720947 ILX720945:ILX720947 IVT720945:IVT720947 JFP720945:JFP720947 JPL720945:JPL720947 JZH720945:JZH720947 KJD720945:KJD720947 KSZ720945:KSZ720947 LCV720945:LCV720947 LMR720945:LMR720947 LWN720945:LWN720947 MGJ720945:MGJ720947 MQF720945:MQF720947 NAB720945:NAB720947 NJX720945:NJX720947 NTT720945:NTT720947 ODP720945:ODP720947 ONL720945:ONL720947 OXH720945:OXH720947 PHD720945:PHD720947 PQZ720945:PQZ720947 QAV720945:QAV720947 QKR720945:QKR720947 QUN720945:QUN720947 REJ720945:REJ720947 ROF720945:ROF720947 RYB720945:RYB720947 SHX720945:SHX720947 SRT720945:SRT720947 TBP720945:TBP720947 TLL720945:TLL720947 TVH720945:TVH720947 UFD720945:UFD720947 UOZ720945:UOZ720947 UYV720945:UYV720947 VIR720945:VIR720947 VSN720945:VSN720947 WCJ720945:WCJ720947 WMF720945:WMF720947 WWB720945:WWB720947 T786481:T786483 JP786481:JP786483 TL786481:TL786483 ADH786481:ADH786483 AND786481:AND786483 AWZ786481:AWZ786483 BGV786481:BGV786483 BQR786481:BQR786483 CAN786481:CAN786483 CKJ786481:CKJ786483 CUF786481:CUF786483 DEB786481:DEB786483 DNX786481:DNX786483 DXT786481:DXT786483 EHP786481:EHP786483 ERL786481:ERL786483 FBH786481:FBH786483 FLD786481:FLD786483 FUZ786481:FUZ786483 GEV786481:GEV786483 GOR786481:GOR786483 GYN786481:GYN786483 HIJ786481:HIJ786483 HSF786481:HSF786483 ICB786481:ICB786483 ILX786481:ILX786483 IVT786481:IVT786483 JFP786481:JFP786483 JPL786481:JPL786483 JZH786481:JZH786483 KJD786481:KJD786483 KSZ786481:KSZ786483 LCV786481:LCV786483 LMR786481:LMR786483 LWN786481:LWN786483 MGJ786481:MGJ786483 MQF786481:MQF786483 NAB786481:NAB786483 NJX786481:NJX786483 NTT786481:NTT786483 ODP786481:ODP786483 ONL786481:ONL786483 OXH786481:OXH786483 PHD786481:PHD786483 PQZ786481:PQZ786483 QAV786481:QAV786483 QKR786481:QKR786483 QUN786481:QUN786483 REJ786481:REJ786483 ROF786481:ROF786483 RYB786481:RYB786483 SHX786481:SHX786483 SRT786481:SRT786483 TBP786481:TBP786483 TLL786481:TLL786483 TVH786481:TVH786483 UFD786481:UFD786483 UOZ786481:UOZ786483 UYV786481:UYV786483 VIR786481:VIR786483 VSN786481:VSN786483 WCJ786481:WCJ786483 WMF786481:WMF786483 WWB786481:WWB786483 T852017:T852019 JP852017:JP852019 TL852017:TL852019 ADH852017:ADH852019 AND852017:AND852019 AWZ852017:AWZ852019 BGV852017:BGV852019 BQR852017:BQR852019 CAN852017:CAN852019 CKJ852017:CKJ852019 CUF852017:CUF852019 DEB852017:DEB852019 DNX852017:DNX852019 DXT852017:DXT852019 EHP852017:EHP852019 ERL852017:ERL852019 FBH852017:FBH852019 FLD852017:FLD852019 FUZ852017:FUZ852019 GEV852017:GEV852019 GOR852017:GOR852019 GYN852017:GYN852019 HIJ852017:HIJ852019 HSF852017:HSF852019 ICB852017:ICB852019 ILX852017:ILX852019 IVT852017:IVT852019 JFP852017:JFP852019 JPL852017:JPL852019 JZH852017:JZH852019 KJD852017:KJD852019 KSZ852017:KSZ852019 LCV852017:LCV852019 LMR852017:LMR852019 LWN852017:LWN852019 MGJ852017:MGJ852019 MQF852017:MQF852019 NAB852017:NAB852019 NJX852017:NJX852019 NTT852017:NTT852019 ODP852017:ODP852019 ONL852017:ONL852019 OXH852017:OXH852019 PHD852017:PHD852019 PQZ852017:PQZ852019 QAV852017:QAV852019 QKR852017:QKR852019 QUN852017:QUN852019 REJ852017:REJ852019 ROF852017:ROF852019 RYB852017:RYB852019 SHX852017:SHX852019 SRT852017:SRT852019 TBP852017:TBP852019 TLL852017:TLL852019 TVH852017:TVH852019 UFD852017:UFD852019 UOZ852017:UOZ852019 UYV852017:UYV852019 VIR852017:VIR852019 VSN852017:VSN852019 WCJ852017:WCJ852019 WMF852017:WMF852019 WWB852017:WWB852019 T917553:T917555 JP917553:JP917555 TL917553:TL917555 ADH917553:ADH917555 AND917553:AND917555 AWZ917553:AWZ917555 BGV917553:BGV917555 BQR917553:BQR917555 CAN917553:CAN917555 CKJ917553:CKJ917555 CUF917553:CUF917555 DEB917553:DEB917555 DNX917553:DNX917555 DXT917553:DXT917555 EHP917553:EHP917555 ERL917553:ERL917555 FBH917553:FBH917555 FLD917553:FLD917555 FUZ917553:FUZ917555 GEV917553:GEV917555 GOR917553:GOR917555 GYN917553:GYN917555 HIJ917553:HIJ917555 HSF917553:HSF917555 ICB917553:ICB917555 ILX917553:ILX917555 IVT917553:IVT917555 JFP917553:JFP917555 JPL917553:JPL917555 JZH917553:JZH917555 KJD917553:KJD917555 KSZ917553:KSZ917555 LCV917553:LCV917555 LMR917553:LMR917555 LWN917553:LWN917555 MGJ917553:MGJ917555 MQF917553:MQF917555 NAB917553:NAB917555 NJX917553:NJX917555 NTT917553:NTT917555 ODP917553:ODP917555 ONL917553:ONL917555 OXH917553:OXH917555 PHD917553:PHD917555 PQZ917553:PQZ917555 QAV917553:QAV917555 QKR917553:QKR917555 QUN917553:QUN917555 REJ917553:REJ917555 ROF917553:ROF917555 RYB917553:RYB917555 SHX917553:SHX917555 SRT917553:SRT917555 TBP917553:TBP917555 TLL917553:TLL917555 TVH917553:TVH917555 UFD917553:UFD917555 UOZ917553:UOZ917555 UYV917553:UYV917555 VIR917553:VIR917555 VSN917553:VSN917555 WCJ917553:WCJ917555 WMF917553:WMF917555 WWB917553:WWB917555 T983089:T983091 JP983089:JP983091 TL983089:TL983091 ADH983089:ADH983091 AND983089:AND983091 AWZ983089:AWZ983091 BGV983089:BGV983091 BQR983089:BQR983091 CAN983089:CAN983091 CKJ983089:CKJ983091 CUF983089:CUF983091 DEB983089:DEB983091 DNX983089:DNX983091 DXT983089:DXT983091 EHP983089:EHP983091 ERL983089:ERL983091 FBH983089:FBH983091 FLD983089:FLD983091 FUZ983089:FUZ983091 GEV983089:GEV983091 GOR983089:GOR983091 GYN983089:GYN983091 HIJ983089:HIJ983091 HSF983089:HSF983091 ICB983089:ICB983091 ILX983089:ILX983091 IVT983089:IVT983091 JFP983089:JFP983091 JPL983089:JPL983091 JZH983089:JZH983091 KJD983089:KJD983091 KSZ983089:KSZ983091 LCV983089:LCV983091 LMR983089:LMR983091 LWN983089:LWN983091 MGJ983089:MGJ983091 MQF983089:MQF983091 NAB983089:NAB983091 NJX983089:NJX983091 NTT983089:NTT983091 ODP983089:ODP983091 ONL983089:ONL983091 OXH983089:OXH983091 PHD983089:PHD983091 PQZ983089:PQZ983091 QAV983089:QAV983091 QKR983089:QKR983091 QUN983089:QUN983091 REJ983089:REJ983091 ROF983089:ROF983091 RYB983089:RYB983091 SHX983089:SHX983091 SRT983089:SRT983091 TBP983089:TBP983091 TLL983089:TLL983091 TVH983089:TVH983091 UFD983089:UFD983091 UOZ983089:UOZ983091 UYV983089:UYV983091 VIR983089:VIR983091 VSN983089:VSN983091 WCJ983089:WCJ983091 WMF983089:WMF983091 WWB983089:WWB983091 I48:J48 JE48:JF48 TA48:TB48 ACW48:ACX48 AMS48:AMT48 AWO48:AWP48 BGK48:BGL48 BQG48:BQH48 CAC48:CAD48 CJY48:CJZ48 CTU48:CTV48 DDQ48:DDR48 DNM48:DNN48 DXI48:DXJ48 EHE48:EHF48 ERA48:ERB48 FAW48:FAX48 FKS48:FKT48 FUO48:FUP48 GEK48:GEL48 GOG48:GOH48 GYC48:GYD48 HHY48:HHZ48 HRU48:HRV48 IBQ48:IBR48 ILM48:ILN48 IVI48:IVJ48 JFE48:JFF48 JPA48:JPB48 JYW48:JYX48 KIS48:KIT48 KSO48:KSP48 LCK48:LCL48 LMG48:LMH48 LWC48:LWD48 MFY48:MFZ48 MPU48:MPV48 MZQ48:MZR48 NJM48:NJN48 NTI48:NTJ48 ODE48:ODF48 ONA48:ONB48 OWW48:OWX48 PGS48:PGT48 PQO48:PQP48 QAK48:QAL48 QKG48:QKH48 QUC48:QUD48 RDY48:RDZ48 RNU48:RNV48 RXQ48:RXR48 SHM48:SHN48 SRI48:SRJ48 TBE48:TBF48 TLA48:TLB48 TUW48:TUX48 UES48:UET48 UOO48:UOP48 UYK48:UYL48 VIG48:VIH48 VSC48:VSD48 WBY48:WBZ48 WLU48:WLV48 WVQ48:WVR48 I65584:J65584 JE65584:JF65584 TA65584:TB65584 ACW65584:ACX65584 AMS65584:AMT65584 AWO65584:AWP65584 BGK65584:BGL65584 BQG65584:BQH65584 CAC65584:CAD65584 CJY65584:CJZ65584 CTU65584:CTV65584 DDQ65584:DDR65584 DNM65584:DNN65584 DXI65584:DXJ65584 EHE65584:EHF65584 ERA65584:ERB65584 FAW65584:FAX65584 FKS65584:FKT65584 FUO65584:FUP65584 GEK65584:GEL65584 GOG65584:GOH65584 GYC65584:GYD65584 HHY65584:HHZ65584 HRU65584:HRV65584 IBQ65584:IBR65584 ILM65584:ILN65584 IVI65584:IVJ65584 JFE65584:JFF65584 JPA65584:JPB65584 JYW65584:JYX65584 KIS65584:KIT65584 KSO65584:KSP65584 LCK65584:LCL65584 LMG65584:LMH65584 LWC65584:LWD65584 MFY65584:MFZ65584 MPU65584:MPV65584 MZQ65584:MZR65584 NJM65584:NJN65584 NTI65584:NTJ65584 ODE65584:ODF65584 ONA65584:ONB65584 OWW65584:OWX65584 PGS65584:PGT65584 PQO65584:PQP65584 QAK65584:QAL65584 QKG65584:QKH65584 QUC65584:QUD65584 RDY65584:RDZ65584 RNU65584:RNV65584 RXQ65584:RXR65584 SHM65584:SHN65584 SRI65584:SRJ65584 TBE65584:TBF65584 TLA65584:TLB65584 TUW65584:TUX65584 UES65584:UET65584 UOO65584:UOP65584 UYK65584:UYL65584 VIG65584:VIH65584 VSC65584:VSD65584 WBY65584:WBZ65584 WLU65584:WLV65584 WVQ65584:WVR65584 I131120:J131120 JE131120:JF131120 TA131120:TB131120 ACW131120:ACX131120 AMS131120:AMT131120 AWO131120:AWP131120 BGK131120:BGL131120 BQG131120:BQH131120 CAC131120:CAD131120 CJY131120:CJZ131120 CTU131120:CTV131120 DDQ131120:DDR131120 DNM131120:DNN131120 DXI131120:DXJ131120 EHE131120:EHF131120 ERA131120:ERB131120 FAW131120:FAX131120 FKS131120:FKT131120 FUO131120:FUP131120 GEK131120:GEL131120 GOG131120:GOH131120 GYC131120:GYD131120 HHY131120:HHZ131120 HRU131120:HRV131120 IBQ131120:IBR131120 ILM131120:ILN131120 IVI131120:IVJ131120 JFE131120:JFF131120 JPA131120:JPB131120 JYW131120:JYX131120 KIS131120:KIT131120 KSO131120:KSP131120 LCK131120:LCL131120 LMG131120:LMH131120 LWC131120:LWD131120 MFY131120:MFZ131120 MPU131120:MPV131120 MZQ131120:MZR131120 NJM131120:NJN131120 NTI131120:NTJ131120 ODE131120:ODF131120 ONA131120:ONB131120 OWW131120:OWX131120 PGS131120:PGT131120 PQO131120:PQP131120 QAK131120:QAL131120 QKG131120:QKH131120 QUC131120:QUD131120 RDY131120:RDZ131120 RNU131120:RNV131120 RXQ131120:RXR131120 SHM131120:SHN131120 SRI131120:SRJ131120 TBE131120:TBF131120 TLA131120:TLB131120 TUW131120:TUX131120 UES131120:UET131120 UOO131120:UOP131120 UYK131120:UYL131120 VIG131120:VIH131120 VSC131120:VSD131120 WBY131120:WBZ131120 WLU131120:WLV131120 WVQ131120:WVR131120 I196656:J196656 JE196656:JF196656 TA196656:TB196656 ACW196656:ACX196656 AMS196656:AMT196656 AWO196656:AWP196656 BGK196656:BGL196656 BQG196656:BQH196656 CAC196656:CAD196656 CJY196656:CJZ196656 CTU196656:CTV196656 DDQ196656:DDR196656 DNM196656:DNN196656 DXI196656:DXJ196656 EHE196656:EHF196656 ERA196656:ERB196656 FAW196656:FAX196656 FKS196656:FKT196656 FUO196656:FUP196656 GEK196656:GEL196656 GOG196656:GOH196656 GYC196656:GYD196656 HHY196656:HHZ196656 HRU196656:HRV196656 IBQ196656:IBR196656 ILM196656:ILN196656 IVI196656:IVJ196656 JFE196656:JFF196656 JPA196656:JPB196656 JYW196656:JYX196656 KIS196656:KIT196656 KSO196656:KSP196656 LCK196656:LCL196656 LMG196656:LMH196656 LWC196656:LWD196656 MFY196656:MFZ196656 MPU196656:MPV196656 MZQ196656:MZR196656 NJM196656:NJN196656 NTI196656:NTJ196656 ODE196656:ODF196656 ONA196656:ONB196656 OWW196656:OWX196656 PGS196656:PGT196656 PQO196656:PQP196656 QAK196656:QAL196656 QKG196656:QKH196656 QUC196656:QUD196656 RDY196656:RDZ196656 RNU196656:RNV196656 RXQ196656:RXR196656 SHM196656:SHN196656 SRI196656:SRJ196656 TBE196656:TBF196656 TLA196656:TLB196656 TUW196656:TUX196656 UES196656:UET196656 UOO196656:UOP196656 UYK196656:UYL196656 VIG196656:VIH196656 VSC196656:VSD196656 WBY196656:WBZ196656 WLU196656:WLV196656 WVQ196656:WVR196656 I262192:J262192 JE262192:JF262192 TA262192:TB262192 ACW262192:ACX262192 AMS262192:AMT262192 AWO262192:AWP262192 BGK262192:BGL262192 BQG262192:BQH262192 CAC262192:CAD262192 CJY262192:CJZ262192 CTU262192:CTV262192 DDQ262192:DDR262192 DNM262192:DNN262192 DXI262192:DXJ262192 EHE262192:EHF262192 ERA262192:ERB262192 FAW262192:FAX262192 FKS262192:FKT262192 FUO262192:FUP262192 GEK262192:GEL262192 GOG262192:GOH262192 GYC262192:GYD262192 HHY262192:HHZ262192 HRU262192:HRV262192 IBQ262192:IBR262192 ILM262192:ILN262192 IVI262192:IVJ262192 JFE262192:JFF262192 JPA262192:JPB262192 JYW262192:JYX262192 KIS262192:KIT262192 KSO262192:KSP262192 LCK262192:LCL262192 LMG262192:LMH262192 LWC262192:LWD262192 MFY262192:MFZ262192 MPU262192:MPV262192 MZQ262192:MZR262192 NJM262192:NJN262192 NTI262192:NTJ262192 ODE262192:ODF262192 ONA262192:ONB262192 OWW262192:OWX262192 PGS262192:PGT262192 PQO262192:PQP262192 QAK262192:QAL262192 QKG262192:QKH262192 QUC262192:QUD262192 RDY262192:RDZ262192 RNU262192:RNV262192 RXQ262192:RXR262192 SHM262192:SHN262192 SRI262192:SRJ262192 TBE262192:TBF262192 TLA262192:TLB262192 TUW262192:TUX262192 UES262192:UET262192 UOO262192:UOP262192 UYK262192:UYL262192 VIG262192:VIH262192 VSC262192:VSD262192 WBY262192:WBZ262192 WLU262192:WLV262192 WVQ262192:WVR262192 I327728:J327728 JE327728:JF327728 TA327728:TB327728 ACW327728:ACX327728 AMS327728:AMT327728 AWO327728:AWP327728 BGK327728:BGL327728 BQG327728:BQH327728 CAC327728:CAD327728 CJY327728:CJZ327728 CTU327728:CTV327728 DDQ327728:DDR327728 DNM327728:DNN327728 DXI327728:DXJ327728 EHE327728:EHF327728 ERA327728:ERB327728 FAW327728:FAX327728 FKS327728:FKT327728 FUO327728:FUP327728 GEK327728:GEL327728 GOG327728:GOH327728 GYC327728:GYD327728 HHY327728:HHZ327728 HRU327728:HRV327728 IBQ327728:IBR327728 ILM327728:ILN327728 IVI327728:IVJ327728 JFE327728:JFF327728 JPA327728:JPB327728 JYW327728:JYX327728 KIS327728:KIT327728 KSO327728:KSP327728 LCK327728:LCL327728 LMG327728:LMH327728 LWC327728:LWD327728 MFY327728:MFZ327728 MPU327728:MPV327728 MZQ327728:MZR327728 NJM327728:NJN327728 NTI327728:NTJ327728 ODE327728:ODF327728 ONA327728:ONB327728 OWW327728:OWX327728 PGS327728:PGT327728 PQO327728:PQP327728 QAK327728:QAL327728 QKG327728:QKH327728 QUC327728:QUD327728 RDY327728:RDZ327728 RNU327728:RNV327728 RXQ327728:RXR327728 SHM327728:SHN327728 SRI327728:SRJ327728 TBE327728:TBF327728 TLA327728:TLB327728 TUW327728:TUX327728 UES327728:UET327728 UOO327728:UOP327728 UYK327728:UYL327728 VIG327728:VIH327728 VSC327728:VSD327728 WBY327728:WBZ327728 WLU327728:WLV327728 WVQ327728:WVR327728 I393264:J393264 JE393264:JF393264 TA393264:TB393264 ACW393264:ACX393264 AMS393264:AMT393264 AWO393264:AWP393264 BGK393264:BGL393264 BQG393264:BQH393264 CAC393264:CAD393264 CJY393264:CJZ393264 CTU393264:CTV393264 DDQ393264:DDR393264 DNM393264:DNN393264 DXI393264:DXJ393264 EHE393264:EHF393264 ERA393264:ERB393264 FAW393264:FAX393264 FKS393264:FKT393264 FUO393264:FUP393264 GEK393264:GEL393264 GOG393264:GOH393264 GYC393264:GYD393264 HHY393264:HHZ393264 HRU393264:HRV393264 IBQ393264:IBR393264 ILM393264:ILN393264 IVI393264:IVJ393264 JFE393264:JFF393264 JPA393264:JPB393264 JYW393264:JYX393264 KIS393264:KIT393264 KSO393264:KSP393264 LCK393264:LCL393264 LMG393264:LMH393264 LWC393264:LWD393264 MFY393264:MFZ393264 MPU393264:MPV393264 MZQ393264:MZR393264 NJM393264:NJN393264 NTI393264:NTJ393264 ODE393264:ODF393264 ONA393264:ONB393264 OWW393264:OWX393264 PGS393264:PGT393264 PQO393264:PQP393264 QAK393264:QAL393264 QKG393264:QKH393264 QUC393264:QUD393264 RDY393264:RDZ393264 RNU393264:RNV393264 RXQ393264:RXR393264 SHM393264:SHN393264 SRI393264:SRJ393264 TBE393264:TBF393264 TLA393264:TLB393264 TUW393264:TUX393264 UES393264:UET393264 UOO393264:UOP393264 UYK393264:UYL393264 VIG393264:VIH393264 VSC393264:VSD393264 WBY393264:WBZ393264 WLU393264:WLV393264 WVQ393264:WVR393264 I458800:J458800 JE458800:JF458800 TA458800:TB458800 ACW458800:ACX458800 AMS458800:AMT458800 AWO458800:AWP458800 BGK458800:BGL458800 BQG458800:BQH458800 CAC458800:CAD458800 CJY458800:CJZ458800 CTU458800:CTV458800 DDQ458800:DDR458800 DNM458800:DNN458800 DXI458800:DXJ458800 EHE458800:EHF458800 ERA458800:ERB458800 FAW458800:FAX458800 FKS458800:FKT458800 FUO458800:FUP458800 GEK458800:GEL458800 GOG458800:GOH458800 GYC458800:GYD458800 HHY458800:HHZ458800 HRU458800:HRV458800 IBQ458800:IBR458800 ILM458800:ILN458800 IVI458800:IVJ458800 JFE458800:JFF458800 JPA458800:JPB458800 JYW458800:JYX458800 KIS458800:KIT458800 KSO458800:KSP458800 LCK458800:LCL458800 LMG458800:LMH458800 LWC458800:LWD458800 MFY458800:MFZ458800 MPU458800:MPV458800 MZQ458800:MZR458800 NJM458800:NJN458800 NTI458800:NTJ458800 ODE458800:ODF458800 ONA458800:ONB458800 OWW458800:OWX458800 PGS458800:PGT458800 PQO458800:PQP458800 QAK458800:QAL458800 QKG458800:QKH458800 QUC458800:QUD458800 RDY458800:RDZ458800 RNU458800:RNV458800 RXQ458800:RXR458800 SHM458800:SHN458800 SRI458800:SRJ458800 TBE458800:TBF458800 TLA458800:TLB458800 TUW458800:TUX458800 UES458800:UET458800 UOO458800:UOP458800 UYK458800:UYL458800 VIG458800:VIH458800 VSC458800:VSD458800 WBY458800:WBZ458800 WLU458800:WLV458800 WVQ458800:WVR458800 I524336:J524336 JE524336:JF524336 TA524336:TB524336 ACW524336:ACX524336 AMS524336:AMT524336 AWO524336:AWP524336 BGK524336:BGL524336 BQG524336:BQH524336 CAC524336:CAD524336 CJY524336:CJZ524336 CTU524336:CTV524336 DDQ524336:DDR524336 DNM524336:DNN524336 DXI524336:DXJ524336 EHE524336:EHF524336 ERA524336:ERB524336 FAW524336:FAX524336 FKS524336:FKT524336 FUO524336:FUP524336 GEK524336:GEL524336 GOG524336:GOH524336 GYC524336:GYD524336 HHY524336:HHZ524336 HRU524336:HRV524336 IBQ524336:IBR524336 ILM524336:ILN524336 IVI524336:IVJ524336 JFE524336:JFF524336 JPA524336:JPB524336 JYW524336:JYX524336 KIS524336:KIT524336 KSO524336:KSP524336 LCK524336:LCL524336 LMG524336:LMH524336 LWC524336:LWD524336 MFY524336:MFZ524336 MPU524336:MPV524336 MZQ524336:MZR524336 NJM524336:NJN524336 NTI524336:NTJ524336 ODE524336:ODF524336 ONA524336:ONB524336 OWW524336:OWX524336 PGS524336:PGT524336 PQO524336:PQP524336 QAK524336:QAL524336 QKG524336:QKH524336 QUC524336:QUD524336 RDY524336:RDZ524336 RNU524336:RNV524336 RXQ524336:RXR524336 SHM524336:SHN524336 SRI524336:SRJ524336 TBE524336:TBF524336 TLA524336:TLB524336 TUW524336:TUX524336 UES524336:UET524336 UOO524336:UOP524336 UYK524336:UYL524336 VIG524336:VIH524336 VSC524336:VSD524336 WBY524336:WBZ524336 WLU524336:WLV524336 WVQ524336:WVR524336 I589872:J589872 JE589872:JF589872 TA589872:TB589872 ACW589872:ACX589872 AMS589872:AMT589872 AWO589872:AWP589872 BGK589872:BGL589872 BQG589872:BQH589872 CAC589872:CAD589872 CJY589872:CJZ589872 CTU589872:CTV589872 DDQ589872:DDR589872 DNM589872:DNN589872 DXI589872:DXJ589872 EHE589872:EHF589872 ERA589872:ERB589872 FAW589872:FAX589872 FKS589872:FKT589872 FUO589872:FUP589872 GEK589872:GEL589872 GOG589872:GOH589872 GYC589872:GYD589872 HHY589872:HHZ589872 HRU589872:HRV589872 IBQ589872:IBR589872 ILM589872:ILN589872 IVI589872:IVJ589872 JFE589872:JFF589872 JPA589872:JPB589872 JYW589872:JYX589872 KIS589872:KIT589872 KSO589872:KSP589872 LCK589872:LCL589872 LMG589872:LMH589872 LWC589872:LWD589872 MFY589872:MFZ589872 MPU589872:MPV589872 MZQ589872:MZR589872 NJM589872:NJN589872 NTI589872:NTJ589872 ODE589872:ODF589872 ONA589872:ONB589872 OWW589872:OWX589872 PGS589872:PGT589872 PQO589872:PQP589872 QAK589872:QAL589872 QKG589872:QKH589872 QUC589872:QUD589872 RDY589872:RDZ589872 RNU589872:RNV589872 RXQ589872:RXR589872 SHM589872:SHN589872 SRI589872:SRJ589872 TBE589872:TBF589872 TLA589872:TLB589872 TUW589872:TUX589872 UES589872:UET589872 UOO589872:UOP589872 UYK589872:UYL589872 VIG589872:VIH589872 VSC589872:VSD589872 WBY589872:WBZ589872 WLU589872:WLV589872 WVQ589872:WVR589872 I655408:J655408 JE655408:JF655408 TA655408:TB655408 ACW655408:ACX655408 AMS655408:AMT655408 AWO655408:AWP655408 BGK655408:BGL655408 BQG655408:BQH655408 CAC655408:CAD655408 CJY655408:CJZ655408 CTU655408:CTV655408 DDQ655408:DDR655408 DNM655408:DNN655408 DXI655408:DXJ655408 EHE655408:EHF655408 ERA655408:ERB655408 FAW655408:FAX655408 FKS655408:FKT655408 FUO655408:FUP655408 GEK655408:GEL655408 GOG655408:GOH655408 GYC655408:GYD655408 HHY655408:HHZ655408 HRU655408:HRV655408 IBQ655408:IBR655408 ILM655408:ILN655408 IVI655408:IVJ655408 JFE655408:JFF655408 JPA655408:JPB655408 JYW655408:JYX655408 KIS655408:KIT655408 KSO655408:KSP655408 LCK655408:LCL655408 LMG655408:LMH655408 LWC655408:LWD655408 MFY655408:MFZ655408 MPU655408:MPV655408 MZQ655408:MZR655408 NJM655408:NJN655408 NTI655408:NTJ655408 ODE655408:ODF655408 ONA655408:ONB655408 OWW655408:OWX655408 PGS655408:PGT655408 PQO655408:PQP655408 QAK655408:QAL655408 QKG655408:QKH655408 QUC655408:QUD655408 RDY655408:RDZ655408 RNU655408:RNV655408 RXQ655408:RXR655408 SHM655408:SHN655408 SRI655408:SRJ655408 TBE655408:TBF655408 TLA655408:TLB655408 TUW655408:TUX655408 UES655408:UET655408 UOO655408:UOP655408 UYK655408:UYL655408 VIG655408:VIH655408 VSC655408:VSD655408 WBY655408:WBZ655408 WLU655408:WLV655408 WVQ655408:WVR655408 I720944:J720944 JE720944:JF720944 TA720944:TB720944 ACW720944:ACX720944 AMS720944:AMT720944 AWO720944:AWP720944 BGK720944:BGL720944 BQG720944:BQH720944 CAC720944:CAD720944 CJY720944:CJZ720944 CTU720944:CTV720944 DDQ720944:DDR720944 DNM720944:DNN720944 DXI720944:DXJ720944 EHE720944:EHF720944 ERA720944:ERB720944 FAW720944:FAX720944 FKS720944:FKT720944 FUO720944:FUP720944 GEK720944:GEL720944 GOG720944:GOH720944 GYC720944:GYD720944 HHY720944:HHZ720944 HRU720944:HRV720944 IBQ720944:IBR720944 ILM720944:ILN720944 IVI720944:IVJ720944 JFE720944:JFF720944 JPA720944:JPB720944 JYW720944:JYX720944 KIS720944:KIT720944 KSO720944:KSP720944 LCK720944:LCL720944 LMG720944:LMH720944 LWC720944:LWD720944 MFY720944:MFZ720944 MPU720944:MPV720944 MZQ720944:MZR720944 NJM720944:NJN720944 NTI720944:NTJ720944 ODE720944:ODF720944 ONA720944:ONB720944 OWW720944:OWX720944 PGS720944:PGT720944 PQO720944:PQP720944 QAK720944:QAL720944 QKG720944:QKH720944 QUC720944:QUD720944 RDY720944:RDZ720944 RNU720944:RNV720944 RXQ720944:RXR720944 SHM720944:SHN720944 SRI720944:SRJ720944 TBE720944:TBF720944 TLA720944:TLB720944 TUW720944:TUX720944 UES720944:UET720944 UOO720944:UOP720944 UYK720944:UYL720944 VIG720944:VIH720944 VSC720944:VSD720944 WBY720944:WBZ720944 WLU720944:WLV720944 WVQ720944:WVR720944 I786480:J786480 JE786480:JF786480 TA786480:TB786480 ACW786480:ACX786480 AMS786480:AMT786480 AWO786480:AWP786480 BGK786480:BGL786480 BQG786480:BQH786480 CAC786480:CAD786480 CJY786480:CJZ786480 CTU786480:CTV786480 DDQ786480:DDR786480 DNM786480:DNN786480 DXI786480:DXJ786480 EHE786480:EHF786480 ERA786480:ERB786480 FAW786480:FAX786480 FKS786480:FKT786480 FUO786480:FUP786480 GEK786480:GEL786480 GOG786480:GOH786480 GYC786480:GYD786480 HHY786480:HHZ786480 HRU786480:HRV786480 IBQ786480:IBR786480 ILM786480:ILN786480 IVI786480:IVJ786480 JFE786480:JFF786480 JPA786480:JPB786480 JYW786480:JYX786480 KIS786480:KIT786480 KSO786480:KSP786480 LCK786480:LCL786480 LMG786480:LMH786480 LWC786480:LWD786480 MFY786480:MFZ786480 MPU786480:MPV786480 MZQ786480:MZR786480 NJM786480:NJN786480 NTI786480:NTJ786480 ODE786480:ODF786480 ONA786480:ONB786480 OWW786480:OWX786480 PGS786480:PGT786480 PQO786480:PQP786480 QAK786480:QAL786480 QKG786480:QKH786480 QUC786480:QUD786480 RDY786480:RDZ786480 RNU786480:RNV786480 RXQ786480:RXR786480 SHM786480:SHN786480 SRI786480:SRJ786480 TBE786480:TBF786480 TLA786480:TLB786480 TUW786480:TUX786480 UES786480:UET786480 UOO786480:UOP786480 UYK786480:UYL786480 VIG786480:VIH786480 VSC786480:VSD786480 WBY786480:WBZ786480 WLU786480:WLV786480 WVQ786480:WVR786480 I852016:J852016 JE852016:JF852016 TA852016:TB852016 ACW852016:ACX852016 AMS852016:AMT852016 AWO852016:AWP852016 BGK852016:BGL852016 BQG852016:BQH852016 CAC852016:CAD852016 CJY852016:CJZ852016 CTU852016:CTV852016 DDQ852016:DDR852016 DNM852016:DNN852016 DXI852016:DXJ852016 EHE852016:EHF852016 ERA852016:ERB852016 FAW852016:FAX852016 FKS852016:FKT852016 FUO852016:FUP852016 GEK852016:GEL852016 GOG852016:GOH852016 GYC852016:GYD852016 HHY852016:HHZ852016 HRU852016:HRV852016 IBQ852016:IBR852016 ILM852016:ILN852016 IVI852016:IVJ852016 JFE852016:JFF852016 JPA852016:JPB852016 JYW852016:JYX852016 KIS852016:KIT852016 KSO852016:KSP852016 LCK852016:LCL852016 LMG852016:LMH852016 LWC852016:LWD852016 MFY852016:MFZ852016 MPU852016:MPV852016 MZQ852016:MZR852016 NJM852016:NJN852016 NTI852016:NTJ852016 ODE852016:ODF852016 ONA852016:ONB852016 OWW852016:OWX852016 PGS852016:PGT852016 PQO852016:PQP852016 QAK852016:QAL852016 QKG852016:QKH852016 QUC852016:QUD852016 RDY852016:RDZ852016 RNU852016:RNV852016 RXQ852016:RXR852016 SHM852016:SHN852016 SRI852016:SRJ852016 TBE852016:TBF852016 TLA852016:TLB852016 TUW852016:TUX852016 UES852016:UET852016 UOO852016:UOP852016 UYK852016:UYL852016 VIG852016:VIH852016 VSC852016:VSD852016 WBY852016:WBZ852016 WLU852016:WLV852016 WVQ852016:WVR852016 I917552:J917552 JE917552:JF917552 TA917552:TB917552 ACW917552:ACX917552 AMS917552:AMT917552 AWO917552:AWP917552 BGK917552:BGL917552 BQG917552:BQH917552 CAC917552:CAD917552 CJY917552:CJZ917552 CTU917552:CTV917552 DDQ917552:DDR917552 DNM917552:DNN917552 DXI917552:DXJ917552 EHE917552:EHF917552 ERA917552:ERB917552 FAW917552:FAX917552 FKS917552:FKT917552 FUO917552:FUP917552 GEK917552:GEL917552 GOG917552:GOH917552 GYC917552:GYD917552 HHY917552:HHZ917552 HRU917552:HRV917552 IBQ917552:IBR917552 ILM917552:ILN917552 IVI917552:IVJ917552 JFE917552:JFF917552 JPA917552:JPB917552 JYW917552:JYX917552 KIS917552:KIT917552 KSO917552:KSP917552 LCK917552:LCL917552 LMG917552:LMH917552 LWC917552:LWD917552 MFY917552:MFZ917552 MPU917552:MPV917552 MZQ917552:MZR917552 NJM917552:NJN917552 NTI917552:NTJ917552 ODE917552:ODF917552 ONA917552:ONB917552 OWW917552:OWX917552 PGS917552:PGT917552 PQO917552:PQP917552 QAK917552:QAL917552 QKG917552:QKH917552 QUC917552:QUD917552 RDY917552:RDZ917552 RNU917552:RNV917552 RXQ917552:RXR917552 SHM917552:SHN917552 SRI917552:SRJ917552 TBE917552:TBF917552 TLA917552:TLB917552 TUW917552:TUX917552 UES917552:UET917552 UOO917552:UOP917552 UYK917552:UYL917552 VIG917552:VIH917552 VSC917552:VSD917552 WBY917552:WBZ917552 WLU917552:WLV917552 WVQ917552:WVR917552 I983088:J983088 JE983088:JF983088 TA983088:TB983088 ACW983088:ACX983088 AMS983088:AMT983088 AWO983088:AWP983088 BGK983088:BGL983088 BQG983088:BQH983088 CAC983088:CAD983088 CJY983088:CJZ983088 CTU983088:CTV983088 DDQ983088:DDR983088 DNM983088:DNN983088 DXI983088:DXJ983088 EHE983088:EHF983088 ERA983088:ERB983088 FAW983088:FAX983088 FKS983088:FKT983088 FUO983088:FUP983088 GEK983088:GEL983088 GOG983088:GOH983088 GYC983088:GYD983088 HHY983088:HHZ983088 HRU983088:HRV983088 IBQ983088:IBR983088 ILM983088:ILN983088 IVI983088:IVJ983088 JFE983088:JFF983088 JPA983088:JPB983088 JYW983088:JYX983088 KIS983088:KIT983088 KSO983088:KSP983088 LCK983088:LCL983088 LMG983088:LMH983088 LWC983088:LWD983088 MFY983088:MFZ983088 MPU983088:MPV983088 MZQ983088:MZR983088 NJM983088:NJN983088 NTI983088:NTJ983088 ODE983088:ODF983088 ONA983088:ONB983088 OWW983088:OWX983088 PGS983088:PGT983088 PQO983088:PQP983088 QAK983088:QAL983088 QKG983088:QKH983088 QUC983088:QUD983088 RDY983088:RDZ983088 RNU983088:RNV983088 RXQ983088:RXR983088 SHM983088:SHN983088 SRI983088:SRJ983088 TBE983088:TBF983088 TLA983088:TLB983088 TUW983088:TUX983088 UES983088:UET983088 UOO983088:UOP983088 UYK983088:UYL983088 VIG983088:VIH983088 VSC983088:VSD983088 WBY983088:WBZ983088 WLU983088:WLV983088 WVQ983088:WVR983088 F48 JB48 SX48 ACT48 AMP48 AWL48 BGH48 BQD48 BZZ48 CJV48 CTR48 DDN48 DNJ48 DXF48 EHB48 EQX48 FAT48 FKP48 FUL48 GEH48 GOD48 GXZ48 HHV48 HRR48 IBN48 ILJ48 IVF48 JFB48 JOX48 JYT48 KIP48 KSL48 LCH48 LMD48 LVZ48 MFV48 MPR48 MZN48 NJJ48 NTF48 ODB48 OMX48 OWT48 PGP48 PQL48 QAH48 QKD48 QTZ48 RDV48 RNR48 RXN48 SHJ48 SRF48 TBB48 TKX48 TUT48 UEP48 UOL48 UYH48 VID48 VRZ48 WBV48 WLR48 WVN48 F65584 JB65584 SX65584 ACT65584 AMP65584 AWL65584 BGH65584 BQD65584 BZZ65584 CJV65584 CTR65584 DDN65584 DNJ65584 DXF65584 EHB65584 EQX65584 FAT65584 FKP65584 FUL65584 GEH65584 GOD65584 GXZ65584 HHV65584 HRR65584 IBN65584 ILJ65584 IVF65584 JFB65584 JOX65584 JYT65584 KIP65584 KSL65584 LCH65584 LMD65584 LVZ65584 MFV65584 MPR65584 MZN65584 NJJ65584 NTF65584 ODB65584 OMX65584 OWT65584 PGP65584 PQL65584 QAH65584 QKD65584 QTZ65584 RDV65584 RNR65584 RXN65584 SHJ65584 SRF65584 TBB65584 TKX65584 TUT65584 UEP65584 UOL65584 UYH65584 VID65584 VRZ65584 WBV65584 WLR65584 WVN65584 F131120 JB131120 SX131120 ACT131120 AMP131120 AWL131120 BGH131120 BQD131120 BZZ131120 CJV131120 CTR131120 DDN131120 DNJ131120 DXF131120 EHB131120 EQX131120 FAT131120 FKP131120 FUL131120 GEH131120 GOD131120 GXZ131120 HHV131120 HRR131120 IBN131120 ILJ131120 IVF131120 JFB131120 JOX131120 JYT131120 KIP131120 KSL131120 LCH131120 LMD131120 LVZ131120 MFV131120 MPR131120 MZN131120 NJJ131120 NTF131120 ODB131120 OMX131120 OWT131120 PGP131120 PQL131120 QAH131120 QKD131120 QTZ131120 RDV131120 RNR131120 RXN131120 SHJ131120 SRF131120 TBB131120 TKX131120 TUT131120 UEP131120 UOL131120 UYH131120 VID131120 VRZ131120 WBV131120 WLR131120 WVN131120 F196656 JB196656 SX196656 ACT196656 AMP196656 AWL196656 BGH196656 BQD196656 BZZ196656 CJV196656 CTR196656 DDN196656 DNJ196656 DXF196656 EHB196656 EQX196656 FAT196656 FKP196656 FUL196656 GEH196656 GOD196656 GXZ196656 HHV196656 HRR196656 IBN196656 ILJ196656 IVF196656 JFB196656 JOX196656 JYT196656 KIP196656 KSL196656 LCH196656 LMD196656 LVZ196656 MFV196656 MPR196656 MZN196656 NJJ196656 NTF196656 ODB196656 OMX196656 OWT196656 PGP196656 PQL196656 QAH196656 QKD196656 QTZ196656 RDV196656 RNR196656 RXN196656 SHJ196656 SRF196656 TBB196656 TKX196656 TUT196656 UEP196656 UOL196656 UYH196656 VID196656 VRZ196656 WBV196656 WLR196656 WVN196656 F262192 JB262192 SX262192 ACT262192 AMP262192 AWL262192 BGH262192 BQD262192 BZZ262192 CJV262192 CTR262192 DDN262192 DNJ262192 DXF262192 EHB262192 EQX262192 FAT262192 FKP262192 FUL262192 GEH262192 GOD262192 GXZ262192 HHV262192 HRR262192 IBN262192 ILJ262192 IVF262192 JFB262192 JOX262192 JYT262192 KIP262192 KSL262192 LCH262192 LMD262192 LVZ262192 MFV262192 MPR262192 MZN262192 NJJ262192 NTF262192 ODB262192 OMX262192 OWT262192 PGP262192 PQL262192 QAH262192 QKD262192 QTZ262192 RDV262192 RNR262192 RXN262192 SHJ262192 SRF262192 TBB262192 TKX262192 TUT262192 UEP262192 UOL262192 UYH262192 VID262192 VRZ262192 WBV262192 WLR262192 WVN262192 F327728 JB327728 SX327728 ACT327728 AMP327728 AWL327728 BGH327728 BQD327728 BZZ327728 CJV327728 CTR327728 DDN327728 DNJ327728 DXF327728 EHB327728 EQX327728 FAT327728 FKP327728 FUL327728 GEH327728 GOD327728 GXZ327728 HHV327728 HRR327728 IBN327728 ILJ327728 IVF327728 JFB327728 JOX327728 JYT327728 KIP327728 KSL327728 LCH327728 LMD327728 LVZ327728 MFV327728 MPR327728 MZN327728 NJJ327728 NTF327728 ODB327728 OMX327728 OWT327728 PGP327728 PQL327728 QAH327728 QKD327728 QTZ327728 RDV327728 RNR327728 RXN327728 SHJ327728 SRF327728 TBB327728 TKX327728 TUT327728 UEP327728 UOL327728 UYH327728 VID327728 VRZ327728 WBV327728 WLR327728 WVN327728 F393264 JB393264 SX393264 ACT393264 AMP393264 AWL393264 BGH393264 BQD393264 BZZ393264 CJV393264 CTR393264 DDN393264 DNJ393264 DXF393264 EHB393264 EQX393264 FAT393264 FKP393264 FUL393264 GEH393264 GOD393264 GXZ393264 HHV393264 HRR393264 IBN393264 ILJ393264 IVF393264 JFB393264 JOX393264 JYT393264 KIP393264 KSL393264 LCH393264 LMD393264 LVZ393264 MFV393264 MPR393264 MZN393264 NJJ393264 NTF393264 ODB393264 OMX393264 OWT393264 PGP393264 PQL393264 QAH393264 QKD393264 QTZ393264 RDV393264 RNR393264 RXN393264 SHJ393264 SRF393264 TBB393264 TKX393264 TUT393264 UEP393264 UOL393264 UYH393264 VID393264 VRZ393264 WBV393264 WLR393264 WVN393264 F458800 JB458800 SX458800 ACT458800 AMP458800 AWL458800 BGH458800 BQD458800 BZZ458800 CJV458800 CTR458800 DDN458800 DNJ458800 DXF458800 EHB458800 EQX458800 FAT458800 FKP458800 FUL458800 GEH458800 GOD458800 GXZ458800 HHV458800 HRR458800 IBN458800 ILJ458800 IVF458800 JFB458800 JOX458800 JYT458800 KIP458800 KSL458800 LCH458800 LMD458800 LVZ458800 MFV458800 MPR458800 MZN458800 NJJ458800 NTF458800 ODB458800 OMX458800 OWT458800 PGP458800 PQL458800 QAH458800 QKD458800 QTZ458800 RDV458800 RNR458800 RXN458800 SHJ458800 SRF458800 TBB458800 TKX458800 TUT458800 UEP458800 UOL458800 UYH458800 VID458800 VRZ458800 WBV458800 WLR458800 WVN458800 F524336 JB524336 SX524336 ACT524336 AMP524336 AWL524336 BGH524336 BQD524336 BZZ524336 CJV524336 CTR524336 DDN524336 DNJ524336 DXF524336 EHB524336 EQX524336 FAT524336 FKP524336 FUL524336 GEH524336 GOD524336 GXZ524336 HHV524336 HRR524336 IBN524336 ILJ524336 IVF524336 JFB524336 JOX524336 JYT524336 KIP524336 KSL524336 LCH524336 LMD524336 LVZ524336 MFV524336 MPR524336 MZN524336 NJJ524336 NTF524336 ODB524336 OMX524336 OWT524336 PGP524336 PQL524336 QAH524336 QKD524336 QTZ524336 RDV524336 RNR524336 RXN524336 SHJ524336 SRF524336 TBB524336 TKX524336 TUT524336 UEP524336 UOL524336 UYH524336 VID524336 VRZ524336 WBV524336 WLR524336 WVN524336 F589872 JB589872 SX589872 ACT589872 AMP589872 AWL589872 BGH589872 BQD589872 BZZ589872 CJV589872 CTR589872 DDN589872 DNJ589872 DXF589872 EHB589872 EQX589872 FAT589872 FKP589872 FUL589872 GEH589872 GOD589872 GXZ589872 HHV589872 HRR589872 IBN589872 ILJ589872 IVF589872 JFB589872 JOX589872 JYT589872 KIP589872 KSL589872 LCH589872 LMD589872 LVZ589872 MFV589872 MPR589872 MZN589872 NJJ589872 NTF589872 ODB589872 OMX589872 OWT589872 PGP589872 PQL589872 QAH589872 QKD589872 QTZ589872 RDV589872 RNR589872 RXN589872 SHJ589872 SRF589872 TBB589872 TKX589872 TUT589872 UEP589872 UOL589872 UYH589872 VID589872 VRZ589872 WBV589872 WLR589872 WVN589872 F655408 JB655408 SX655408 ACT655408 AMP655408 AWL655408 BGH655408 BQD655408 BZZ655408 CJV655408 CTR655408 DDN655408 DNJ655408 DXF655408 EHB655408 EQX655408 FAT655408 FKP655408 FUL655408 GEH655408 GOD655408 GXZ655408 HHV655408 HRR655408 IBN655408 ILJ655408 IVF655408 JFB655408 JOX655408 JYT655408 KIP655408 KSL655408 LCH655408 LMD655408 LVZ655408 MFV655408 MPR655408 MZN655408 NJJ655408 NTF655408 ODB655408 OMX655408 OWT655408 PGP655408 PQL655408 QAH655408 QKD655408 QTZ655408 RDV655408 RNR655408 RXN655408 SHJ655408 SRF655408 TBB655408 TKX655408 TUT655408 UEP655408 UOL655408 UYH655408 VID655408 VRZ655408 WBV655408 WLR655408 WVN655408 F720944 JB720944 SX720944 ACT720944 AMP720944 AWL720944 BGH720944 BQD720944 BZZ720944 CJV720944 CTR720944 DDN720944 DNJ720944 DXF720944 EHB720944 EQX720944 FAT720944 FKP720944 FUL720944 GEH720944 GOD720944 GXZ720944 HHV720944 HRR720944 IBN720944 ILJ720944 IVF720944 JFB720944 JOX720944 JYT720944 KIP720944 KSL720944 LCH720944 LMD720944 LVZ720944 MFV720944 MPR720944 MZN720944 NJJ720944 NTF720944 ODB720944 OMX720944 OWT720944 PGP720944 PQL720944 QAH720944 QKD720944 QTZ720944 RDV720944 RNR720944 RXN720944 SHJ720944 SRF720944 TBB720944 TKX720944 TUT720944 UEP720944 UOL720944 UYH720944 VID720944 VRZ720944 WBV720944 WLR720944 WVN720944 F786480 JB786480 SX786480 ACT786480 AMP786480 AWL786480 BGH786480 BQD786480 BZZ786480 CJV786480 CTR786480 DDN786480 DNJ786480 DXF786480 EHB786480 EQX786480 FAT786480 FKP786480 FUL786480 GEH786480 GOD786480 GXZ786480 HHV786480 HRR786480 IBN786480 ILJ786480 IVF786480 JFB786480 JOX786480 JYT786480 KIP786480 KSL786480 LCH786480 LMD786480 LVZ786480 MFV786480 MPR786480 MZN786480 NJJ786480 NTF786480 ODB786480 OMX786480 OWT786480 PGP786480 PQL786480 QAH786480 QKD786480 QTZ786480 RDV786480 RNR786480 RXN786480 SHJ786480 SRF786480 TBB786480 TKX786480 TUT786480 UEP786480 UOL786480 UYH786480 VID786480 VRZ786480 WBV786480 WLR786480 WVN786480 F852016 JB852016 SX852016 ACT852016 AMP852016 AWL852016 BGH852016 BQD852016 BZZ852016 CJV852016 CTR852016 DDN852016 DNJ852016 DXF852016 EHB852016 EQX852016 FAT852016 FKP852016 FUL852016 GEH852016 GOD852016 GXZ852016 HHV852016 HRR852016 IBN852016 ILJ852016 IVF852016 JFB852016 JOX852016 JYT852016 KIP852016 KSL852016 LCH852016 LMD852016 LVZ852016 MFV852016 MPR852016 MZN852016 NJJ852016 NTF852016 ODB852016 OMX852016 OWT852016 PGP852016 PQL852016 QAH852016 QKD852016 QTZ852016 RDV852016 RNR852016 RXN852016 SHJ852016 SRF852016 TBB852016 TKX852016 TUT852016 UEP852016 UOL852016 UYH852016 VID852016 VRZ852016 WBV852016 WLR852016 WVN852016 F917552 JB917552 SX917552 ACT917552 AMP917552 AWL917552 BGH917552 BQD917552 BZZ917552 CJV917552 CTR917552 DDN917552 DNJ917552 DXF917552 EHB917552 EQX917552 FAT917552 FKP917552 FUL917552 GEH917552 GOD917552 GXZ917552 HHV917552 HRR917552 IBN917552 ILJ917552 IVF917552 JFB917552 JOX917552 JYT917552 KIP917552 KSL917552 LCH917552 LMD917552 LVZ917552 MFV917552 MPR917552 MZN917552 NJJ917552 NTF917552 ODB917552 OMX917552 OWT917552 PGP917552 PQL917552 QAH917552 QKD917552 QTZ917552 RDV917552 RNR917552 RXN917552 SHJ917552 SRF917552 TBB917552 TKX917552 TUT917552 UEP917552 UOL917552 UYH917552 VID917552 VRZ917552 WBV917552 WLR917552 WVN917552 F983088 JB983088 SX983088 ACT983088 AMP983088 AWL983088 BGH983088 BQD983088 BZZ983088 CJV983088 CTR983088 DDN983088 DNJ983088 DXF983088 EHB983088 EQX983088 FAT983088 FKP983088 FUL983088 GEH983088 GOD983088 GXZ983088 HHV983088 HRR983088 IBN983088 ILJ983088 IVF983088 JFB983088 JOX983088 JYT983088 KIP983088 KSL983088 LCH983088 LMD983088 LVZ983088 MFV983088 MPR983088 MZN983088 NJJ983088 NTF983088 ODB983088 OMX983088 OWT983088 PGP983088 PQL983088 QAH983088 QKD983088 QTZ983088 RDV983088 RNR983088 RXN983088 SHJ983088 SRF983088 TBB983088 TKX983088 TUT983088 UEP983088 UOL983088 UYH983088 VID983088 VRZ983088 WBV983088 WLR983088 WVN983088 B51:B53 IX51:IX53 ST51:ST53 ACP51:ACP53 AML51:AML53 AWH51:AWH53 BGD51:BGD53 BPZ51:BPZ53 BZV51:BZV53 CJR51:CJR53 CTN51:CTN53 DDJ51:DDJ53 DNF51:DNF53 DXB51:DXB53 EGX51:EGX53 EQT51:EQT53 FAP51:FAP53 FKL51:FKL53 FUH51:FUH53 GED51:GED53 GNZ51:GNZ53 GXV51:GXV53 HHR51:HHR53 HRN51:HRN53 IBJ51:IBJ53 ILF51:ILF53 IVB51:IVB53 JEX51:JEX53 JOT51:JOT53 JYP51:JYP53 KIL51:KIL53 KSH51:KSH53 LCD51:LCD53 LLZ51:LLZ53 LVV51:LVV53 MFR51:MFR53 MPN51:MPN53 MZJ51:MZJ53 NJF51:NJF53 NTB51:NTB53 OCX51:OCX53 OMT51:OMT53 OWP51:OWP53 PGL51:PGL53 PQH51:PQH53 QAD51:QAD53 QJZ51:QJZ53 QTV51:QTV53 RDR51:RDR53 RNN51:RNN53 RXJ51:RXJ53 SHF51:SHF53 SRB51:SRB53 TAX51:TAX53 TKT51:TKT53 TUP51:TUP53 UEL51:UEL53 UOH51:UOH53 UYD51:UYD53 VHZ51:VHZ53 VRV51:VRV53 WBR51:WBR53 WLN51:WLN53 WVJ51:WVJ53 B65587:B65589 IX65587:IX65589 ST65587:ST65589 ACP65587:ACP65589 AML65587:AML65589 AWH65587:AWH65589 BGD65587:BGD65589 BPZ65587:BPZ65589 BZV65587:BZV65589 CJR65587:CJR65589 CTN65587:CTN65589 DDJ65587:DDJ65589 DNF65587:DNF65589 DXB65587:DXB65589 EGX65587:EGX65589 EQT65587:EQT65589 FAP65587:FAP65589 FKL65587:FKL65589 FUH65587:FUH65589 GED65587:GED65589 GNZ65587:GNZ65589 GXV65587:GXV65589 HHR65587:HHR65589 HRN65587:HRN65589 IBJ65587:IBJ65589 ILF65587:ILF65589 IVB65587:IVB65589 JEX65587:JEX65589 JOT65587:JOT65589 JYP65587:JYP65589 KIL65587:KIL65589 KSH65587:KSH65589 LCD65587:LCD65589 LLZ65587:LLZ65589 LVV65587:LVV65589 MFR65587:MFR65589 MPN65587:MPN65589 MZJ65587:MZJ65589 NJF65587:NJF65589 NTB65587:NTB65589 OCX65587:OCX65589 OMT65587:OMT65589 OWP65587:OWP65589 PGL65587:PGL65589 PQH65587:PQH65589 QAD65587:QAD65589 QJZ65587:QJZ65589 QTV65587:QTV65589 RDR65587:RDR65589 RNN65587:RNN65589 RXJ65587:RXJ65589 SHF65587:SHF65589 SRB65587:SRB65589 TAX65587:TAX65589 TKT65587:TKT65589 TUP65587:TUP65589 UEL65587:UEL65589 UOH65587:UOH65589 UYD65587:UYD65589 VHZ65587:VHZ65589 VRV65587:VRV65589 WBR65587:WBR65589 WLN65587:WLN65589 WVJ65587:WVJ65589 B131123:B131125 IX131123:IX131125 ST131123:ST131125 ACP131123:ACP131125 AML131123:AML131125 AWH131123:AWH131125 BGD131123:BGD131125 BPZ131123:BPZ131125 BZV131123:BZV131125 CJR131123:CJR131125 CTN131123:CTN131125 DDJ131123:DDJ131125 DNF131123:DNF131125 DXB131123:DXB131125 EGX131123:EGX131125 EQT131123:EQT131125 FAP131123:FAP131125 FKL131123:FKL131125 FUH131123:FUH131125 GED131123:GED131125 GNZ131123:GNZ131125 GXV131123:GXV131125 HHR131123:HHR131125 HRN131123:HRN131125 IBJ131123:IBJ131125 ILF131123:ILF131125 IVB131123:IVB131125 JEX131123:JEX131125 JOT131123:JOT131125 JYP131123:JYP131125 KIL131123:KIL131125 KSH131123:KSH131125 LCD131123:LCD131125 LLZ131123:LLZ131125 LVV131123:LVV131125 MFR131123:MFR131125 MPN131123:MPN131125 MZJ131123:MZJ131125 NJF131123:NJF131125 NTB131123:NTB131125 OCX131123:OCX131125 OMT131123:OMT131125 OWP131123:OWP131125 PGL131123:PGL131125 PQH131123:PQH131125 QAD131123:QAD131125 QJZ131123:QJZ131125 QTV131123:QTV131125 RDR131123:RDR131125 RNN131123:RNN131125 RXJ131123:RXJ131125 SHF131123:SHF131125 SRB131123:SRB131125 TAX131123:TAX131125 TKT131123:TKT131125 TUP131123:TUP131125 UEL131123:UEL131125 UOH131123:UOH131125 UYD131123:UYD131125 VHZ131123:VHZ131125 VRV131123:VRV131125 WBR131123:WBR131125 WLN131123:WLN131125 WVJ131123:WVJ131125 B196659:B196661 IX196659:IX196661 ST196659:ST196661 ACP196659:ACP196661 AML196659:AML196661 AWH196659:AWH196661 BGD196659:BGD196661 BPZ196659:BPZ196661 BZV196659:BZV196661 CJR196659:CJR196661 CTN196659:CTN196661 DDJ196659:DDJ196661 DNF196659:DNF196661 DXB196659:DXB196661 EGX196659:EGX196661 EQT196659:EQT196661 FAP196659:FAP196661 FKL196659:FKL196661 FUH196659:FUH196661 GED196659:GED196661 GNZ196659:GNZ196661 GXV196659:GXV196661 HHR196659:HHR196661 HRN196659:HRN196661 IBJ196659:IBJ196661 ILF196659:ILF196661 IVB196659:IVB196661 JEX196659:JEX196661 JOT196659:JOT196661 JYP196659:JYP196661 KIL196659:KIL196661 KSH196659:KSH196661 LCD196659:LCD196661 LLZ196659:LLZ196661 LVV196659:LVV196661 MFR196659:MFR196661 MPN196659:MPN196661 MZJ196659:MZJ196661 NJF196659:NJF196661 NTB196659:NTB196661 OCX196659:OCX196661 OMT196659:OMT196661 OWP196659:OWP196661 PGL196659:PGL196661 PQH196659:PQH196661 QAD196659:QAD196661 QJZ196659:QJZ196661 QTV196659:QTV196661 RDR196659:RDR196661 RNN196659:RNN196661 RXJ196659:RXJ196661 SHF196659:SHF196661 SRB196659:SRB196661 TAX196659:TAX196661 TKT196659:TKT196661 TUP196659:TUP196661 UEL196659:UEL196661 UOH196659:UOH196661 UYD196659:UYD196661 VHZ196659:VHZ196661 VRV196659:VRV196661 WBR196659:WBR196661 WLN196659:WLN196661 WVJ196659:WVJ196661 B262195:B262197 IX262195:IX262197 ST262195:ST262197 ACP262195:ACP262197 AML262195:AML262197 AWH262195:AWH262197 BGD262195:BGD262197 BPZ262195:BPZ262197 BZV262195:BZV262197 CJR262195:CJR262197 CTN262195:CTN262197 DDJ262195:DDJ262197 DNF262195:DNF262197 DXB262195:DXB262197 EGX262195:EGX262197 EQT262195:EQT262197 FAP262195:FAP262197 FKL262195:FKL262197 FUH262195:FUH262197 GED262195:GED262197 GNZ262195:GNZ262197 GXV262195:GXV262197 HHR262195:HHR262197 HRN262195:HRN262197 IBJ262195:IBJ262197 ILF262195:ILF262197 IVB262195:IVB262197 JEX262195:JEX262197 JOT262195:JOT262197 JYP262195:JYP262197 KIL262195:KIL262197 KSH262195:KSH262197 LCD262195:LCD262197 LLZ262195:LLZ262197 LVV262195:LVV262197 MFR262195:MFR262197 MPN262195:MPN262197 MZJ262195:MZJ262197 NJF262195:NJF262197 NTB262195:NTB262197 OCX262195:OCX262197 OMT262195:OMT262197 OWP262195:OWP262197 PGL262195:PGL262197 PQH262195:PQH262197 QAD262195:QAD262197 QJZ262195:QJZ262197 QTV262195:QTV262197 RDR262195:RDR262197 RNN262195:RNN262197 RXJ262195:RXJ262197 SHF262195:SHF262197 SRB262195:SRB262197 TAX262195:TAX262197 TKT262195:TKT262197 TUP262195:TUP262197 UEL262195:UEL262197 UOH262195:UOH262197 UYD262195:UYD262197 VHZ262195:VHZ262197 VRV262195:VRV262197 WBR262195:WBR262197 WLN262195:WLN262197 WVJ262195:WVJ262197 B327731:B327733 IX327731:IX327733 ST327731:ST327733 ACP327731:ACP327733 AML327731:AML327733 AWH327731:AWH327733 BGD327731:BGD327733 BPZ327731:BPZ327733 BZV327731:BZV327733 CJR327731:CJR327733 CTN327731:CTN327733 DDJ327731:DDJ327733 DNF327731:DNF327733 DXB327731:DXB327733 EGX327731:EGX327733 EQT327731:EQT327733 FAP327731:FAP327733 FKL327731:FKL327733 FUH327731:FUH327733 GED327731:GED327733 GNZ327731:GNZ327733 GXV327731:GXV327733 HHR327731:HHR327733 HRN327731:HRN327733 IBJ327731:IBJ327733 ILF327731:ILF327733 IVB327731:IVB327733 JEX327731:JEX327733 JOT327731:JOT327733 JYP327731:JYP327733 KIL327731:KIL327733 KSH327731:KSH327733 LCD327731:LCD327733 LLZ327731:LLZ327733 LVV327731:LVV327733 MFR327731:MFR327733 MPN327731:MPN327733 MZJ327731:MZJ327733 NJF327731:NJF327733 NTB327731:NTB327733 OCX327731:OCX327733 OMT327731:OMT327733 OWP327731:OWP327733 PGL327731:PGL327733 PQH327731:PQH327733 QAD327731:QAD327733 QJZ327731:QJZ327733 QTV327731:QTV327733 RDR327731:RDR327733 RNN327731:RNN327733 RXJ327731:RXJ327733 SHF327731:SHF327733 SRB327731:SRB327733 TAX327731:TAX327733 TKT327731:TKT327733 TUP327731:TUP327733 UEL327731:UEL327733 UOH327731:UOH327733 UYD327731:UYD327733 VHZ327731:VHZ327733 VRV327731:VRV327733 WBR327731:WBR327733 WLN327731:WLN327733 WVJ327731:WVJ327733 B393267:B393269 IX393267:IX393269 ST393267:ST393269 ACP393267:ACP393269 AML393267:AML393269 AWH393267:AWH393269 BGD393267:BGD393269 BPZ393267:BPZ393269 BZV393267:BZV393269 CJR393267:CJR393269 CTN393267:CTN393269 DDJ393267:DDJ393269 DNF393267:DNF393269 DXB393267:DXB393269 EGX393267:EGX393269 EQT393267:EQT393269 FAP393267:FAP393269 FKL393267:FKL393269 FUH393267:FUH393269 GED393267:GED393269 GNZ393267:GNZ393269 GXV393267:GXV393269 HHR393267:HHR393269 HRN393267:HRN393269 IBJ393267:IBJ393269 ILF393267:ILF393269 IVB393267:IVB393269 JEX393267:JEX393269 JOT393267:JOT393269 JYP393267:JYP393269 KIL393267:KIL393269 KSH393267:KSH393269 LCD393267:LCD393269 LLZ393267:LLZ393269 LVV393267:LVV393269 MFR393267:MFR393269 MPN393267:MPN393269 MZJ393267:MZJ393269 NJF393267:NJF393269 NTB393267:NTB393269 OCX393267:OCX393269 OMT393267:OMT393269 OWP393267:OWP393269 PGL393267:PGL393269 PQH393267:PQH393269 QAD393267:QAD393269 QJZ393267:QJZ393269 QTV393267:QTV393269 RDR393267:RDR393269 RNN393267:RNN393269 RXJ393267:RXJ393269 SHF393267:SHF393269 SRB393267:SRB393269 TAX393267:TAX393269 TKT393267:TKT393269 TUP393267:TUP393269 UEL393267:UEL393269 UOH393267:UOH393269 UYD393267:UYD393269 VHZ393267:VHZ393269 VRV393267:VRV393269 WBR393267:WBR393269 WLN393267:WLN393269 WVJ393267:WVJ393269 B458803:B458805 IX458803:IX458805 ST458803:ST458805 ACP458803:ACP458805 AML458803:AML458805 AWH458803:AWH458805 BGD458803:BGD458805 BPZ458803:BPZ458805 BZV458803:BZV458805 CJR458803:CJR458805 CTN458803:CTN458805 DDJ458803:DDJ458805 DNF458803:DNF458805 DXB458803:DXB458805 EGX458803:EGX458805 EQT458803:EQT458805 FAP458803:FAP458805 FKL458803:FKL458805 FUH458803:FUH458805 GED458803:GED458805 GNZ458803:GNZ458805 GXV458803:GXV458805 HHR458803:HHR458805 HRN458803:HRN458805 IBJ458803:IBJ458805 ILF458803:ILF458805 IVB458803:IVB458805 JEX458803:JEX458805 JOT458803:JOT458805 JYP458803:JYP458805 KIL458803:KIL458805 KSH458803:KSH458805 LCD458803:LCD458805 LLZ458803:LLZ458805 LVV458803:LVV458805 MFR458803:MFR458805 MPN458803:MPN458805 MZJ458803:MZJ458805 NJF458803:NJF458805 NTB458803:NTB458805 OCX458803:OCX458805 OMT458803:OMT458805 OWP458803:OWP458805 PGL458803:PGL458805 PQH458803:PQH458805 QAD458803:QAD458805 QJZ458803:QJZ458805 QTV458803:QTV458805 RDR458803:RDR458805 RNN458803:RNN458805 RXJ458803:RXJ458805 SHF458803:SHF458805 SRB458803:SRB458805 TAX458803:TAX458805 TKT458803:TKT458805 TUP458803:TUP458805 UEL458803:UEL458805 UOH458803:UOH458805 UYD458803:UYD458805 VHZ458803:VHZ458805 VRV458803:VRV458805 WBR458803:WBR458805 WLN458803:WLN458805 WVJ458803:WVJ458805 B524339:B524341 IX524339:IX524341 ST524339:ST524341 ACP524339:ACP524341 AML524339:AML524341 AWH524339:AWH524341 BGD524339:BGD524341 BPZ524339:BPZ524341 BZV524339:BZV524341 CJR524339:CJR524341 CTN524339:CTN524341 DDJ524339:DDJ524341 DNF524339:DNF524341 DXB524339:DXB524341 EGX524339:EGX524341 EQT524339:EQT524341 FAP524339:FAP524341 FKL524339:FKL524341 FUH524339:FUH524341 GED524339:GED524341 GNZ524339:GNZ524341 GXV524339:GXV524341 HHR524339:HHR524341 HRN524339:HRN524341 IBJ524339:IBJ524341 ILF524339:ILF524341 IVB524339:IVB524341 JEX524339:JEX524341 JOT524339:JOT524341 JYP524339:JYP524341 KIL524339:KIL524341 KSH524339:KSH524341 LCD524339:LCD524341 LLZ524339:LLZ524341 LVV524339:LVV524341 MFR524339:MFR524341 MPN524339:MPN524341 MZJ524339:MZJ524341 NJF524339:NJF524341 NTB524339:NTB524341 OCX524339:OCX524341 OMT524339:OMT524341 OWP524339:OWP524341 PGL524339:PGL524341 PQH524339:PQH524341 QAD524339:QAD524341 QJZ524339:QJZ524341 QTV524339:QTV524341 RDR524339:RDR524341 RNN524339:RNN524341 RXJ524339:RXJ524341 SHF524339:SHF524341 SRB524339:SRB524341 TAX524339:TAX524341 TKT524339:TKT524341 TUP524339:TUP524341 UEL524339:UEL524341 UOH524339:UOH524341 UYD524339:UYD524341 VHZ524339:VHZ524341 VRV524339:VRV524341 WBR524339:WBR524341 WLN524339:WLN524341 WVJ524339:WVJ524341 B589875:B589877 IX589875:IX589877 ST589875:ST589877 ACP589875:ACP589877 AML589875:AML589877 AWH589875:AWH589877 BGD589875:BGD589877 BPZ589875:BPZ589877 BZV589875:BZV589877 CJR589875:CJR589877 CTN589875:CTN589877 DDJ589875:DDJ589877 DNF589875:DNF589877 DXB589875:DXB589877 EGX589875:EGX589877 EQT589875:EQT589877 FAP589875:FAP589877 FKL589875:FKL589877 FUH589875:FUH589877 GED589875:GED589877 GNZ589875:GNZ589877 GXV589875:GXV589877 HHR589875:HHR589877 HRN589875:HRN589877 IBJ589875:IBJ589877 ILF589875:ILF589877 IVB589875:IVB589877 JEX589875:JEX589877 JOT589875:JOT589877 JYP589875:JYP589877 KIL589875:KIL589877 KSH589875:KSH589877 LCD589875:LCD589877 LLZ589875:LLZ589877 LVV589875:LVV589877 MFR589875:MFR589877 MPN589875:MPN589877 MZJ589875:MZJ589877 NJF589875:NJF589877 NTB589875:NTB589877 OCX589875:OCX589877 OMT589875:OMT589877 OWP589875:OWP589877 PGL589875:PGL589877 PQH589875:PQH589877 QAD589875:QAD589877 QJZ589875:QJZ589877 QTV589875:QTV589877 RDR589875:RDR589877 RNN589875:RNN589877 RXJ589875:RXJ589877 SHF589875:SHF589877 SRB589875:SRB589877 TAX589875:TAX589877 TKT589875:TKT589877 TUP589875:TUP589877 UEL589875:UEL589877 UOH589875:UOH589877 UYD589875:UYD589877 VHZ589875:VHZ589877 VRV589875:VRV589877 WBR589875:WBR589877 WLN589875:WLN589877 WVJ589875:WVJ589877 B655411:B655413 IX655411:IX655413 ST655411:ST655413 ACP655411:ACP655413 AML655411:AML655413 AWH655411:AWH655413 BGD655411:BGD655413 BPZ655411:BPZ655413 BZV655411:BZV655413 CJR655411:CJR655413 CTN655411:CTN655413 DDJ655411:DDJ655413 DNF655411:DNF655413 DXB655411:DXB655413 EGX655411:EGX655413 EQT655411:EQT655413 FAP655411:FAP655413 FKL655411:FKL655413 FUH655411:FUH655413 GED655411:GED655413 GNZ655411:GNZ655413 GXV655411:GXV655413 HHR655411:HHR655413 HRN655411:HRN655413 IBJ655411:IBJ655413 ILF655411:ILF655413 IVB655411:IVB655413 JEX655411:JEX655413 JOT655411:JOT655413 JYP655411:JYP655413 KIL655411:KIL655413 KSH655411:KSH655413 LCD655411:LCD655413 LLZ655411:LLZ655413 LVV655411:LVV655413 MFR655411:MFR655413 MPN655411:MPN655413 MZJ655411:MZJ655413 NJF655411:NJF655413 NTB655411:NTB655413 OCX655411:OCX655413 OMT655411:OMT655413 OWP655411:OWP655413 PGL655411:PGL655413 PQH655411:PQH655413 QAD655411:QAD655413 QJZ655411:QJZ655413 QTV655411:QTV655413 RDR655411:RDR655413 RNN655411:RNN655413 RXJ655411:RXJ655413 SHF655411:SHF655413 SRB655411:SRB655413 TAX655411:TAX655413 TKT655411:TKT655413 TUP655411:TUP655413 UEL655411:UEL655413 UOH655411:UOH655413 UYD655411:UYD655413 VHZ655411:VHZ655413 VRV655411:VRV655413 WBR655411:WBR655413 WLN655411:WLN655413 WVJ655411:WVJ655413 B720947:B720949 IX720947:IX720949 ST720947:ST720949 ACP720947:ACP720949 AML720947:AML720949 AWH720947:AWH720949 BGD720947:BGD720949 BPZ720947:BPZ720949 BZV720947:BZV720949 CJR720947:CJR720949 CTN720947:CTN720949 DDJ720947:DDJ720949 DNF720947:DNF720949 DXB720947:DXB720949 EGX720947:EGX720949 EQT720947:EQT720949 FAP720947:FAP720949 FKL720947:FKL720949 FUH720947:FUH720949 GED720947:GED720949 GNZ720947:GNZ720949 GXV720947:GXV720949 HHR720947:HHR720949 HRN720947:HRN720949 IBJ720947:IBJ720949 ILF720947:ILF720949 IVB720947:IVB720949 JEX720947:JEX720949 JOT720947:JOT720949 JYP720947:JYP720949 KIL720947:KIL720949 KSH720947:KSH720949 LCD720947:LCD720949 LLZ720947:LLZ720949 LVV720947:LVV720949 MFR720947:MFR720949 MPN720947:MPN720949 MZJ720947:MZJ720949 NJF720947:NJF720949 NTB720947:NTB720949 OCX720947:OCX720949 OMT720947:OMT720949 OWP720947:OWP720949 PGL720947:PGL720949 PQH720947:PQH720949 QAD720947:QAD720949 QJZ720947:QJZ720949 QTV720947:QTV720949 RDR720947:RDR720949 RNN720947:RNN720949 RXJ720947:RXJ720949 SHF720947:SHF720949 SRB720947:SRB720949 TAX720947:TAX720949 TKT720947:TKT720949 TUP720947:TUP720949 UEL720947:UEL720949 UOH720947:UOH720949 UYD720947:UYD720949 VHZ720947:VHZ720949 VRV720947:VRV720949 WBR720947:WBR720949 WLN720947:WLN720949 WVJ720947:WVJ720949 B786483:B786485 IX786483:IX786485 ST786483:ST786485 ACP786483:ACP786485 AML786483:AML786485 AWH786483:AWH786485 BGD786483:BGD786485 BPZ786483:BPZ786485 BZV786483:BZV786485 CJR786483:CJR786485 CTN786483:CTN786485 DDJ786483:DDJ786485 DNF786483:DNF786485 DXB786483:DXB786485 EGX786483:EGX786485 EQT786483:EQT786485 FAP786483:FAP786485 FKL786483:FKL786485 FUH786483:FUH786485 GED786483:GED786485 GNZ786483:GNZ786485 GXV786483:GXV786485 HHR786483:HHR786485 HRN786483:HRN786485 IBJ786483:IBJ786485 ILF786483:ILF786485 IVB786483:IVB786485 JEX786483:JEX786485 JOT786483:JOT786485 JYP786483:JYP786485 KIL786483:KIL786485 KSH786483:KSH786485 LCD786483:LCD786485 LLZ786483:LLZ786485 LVV786483:LVV786485 MFR786483:MFR786485 MPN786483:MPN786485 MZJ786483:MZJ786485 NJF786483:NJF786485 NTB786483:NTB786485 OCX786483:OCX786485 OMT786483:OMT786485 OWP786483:OWP786485 PGL786483:PGL786485 PQH786483:PQH786485 QAD786483:QAD786485 QJZ786483:QJZ786485 QTV786483:QTV786485 RDR786483:RDR786485 RNN786483:RNN786485 RXJ786483:RXJ786485 SHF786483:SHF786485 SRB786483:SRB786485 TAX786483:TAX786485 TKT786483:TKT786485 TUP786483:TUP786485 UEL786483:UEL786485 UOH786483:UOH786485 UYD786483:UYD786485 VHZ786483:VHZ786485 VRV786483:VRV786485 WBR786483:WBR786485 WLN786483:WLN786485 WVJ786483:WVJ786485 B852019:B852021 IX852019:IX852021 ST852019:ST852021 ACP852019:ACP852021 AML852019:AML852021 AWH852019:AWH852021 BGD852019:BGD852021 BPZ852019:BPZ852021 BZV852019:BZV852021 CJR852019:CJR852021 CTN852019:CTN852021 DDJ852019:DDJ852021 DNF852019:DNF852021 DXB852019:DXB852021 EGX852019:EGX852021 EQT852019:EQT852021 FAP852019:FAP852021 FKL852019:FKL852021 FUH852019:FUH852021 GED852019:GED852021 GNZ852019:GNZ852021 GXV852019:GXV852021 HHR852019:HHR852021 HRN852019:HRN852021 IBJ852019:IBJ852021 ILF852019:ILF852021 IVB852019:IVB852021 JEX852019:JEX852021 JOT852019:JOT852021 JYP852019:JYP852021 KIL852019:KIL852021 KSH852019:KSH852021 LCD852019:LCD852021 LLZ852019:LLZ852021 LVV852019:LVV852021 MFR852019:MFR852021 MPN852019:MPN852021 MZJ852019:MZJ852021 NJF852019:NJF852021 NTB852019:NTB852021 OCX852019:OCX852021 OMT852019:OMT852021 OWP852019:OWP852021 PGL852019:PGL852021 PQH852019:PQH852021 QAD852019:QAD852021 QJZ852019:QJZ852021 QTV852019:QTV852021 RDR852019:RDR852021 RNN852019:RNN852021 RXJ852019:RXJ852021 SHF852019:SHF852021 SRB852019:SRB852021 TAX852019:TAX852021 TKT852019:TKT852021 TUP852019:TUP852021 UEL852019:UEL852021 UOH852019:UOH852021 UYD852019:UYD852021 VHZ852019:VHZ852021 VRV852019:VRV852021 WBR852019:WBR852021 WLN852019:WLN852021 WVJ852019:WVJ852021 B917555:B917557 IX917555:IX917557 ST917555:ST917557 ACP917555:ACP917557 AML917555:AML917557 AWH917555:AWH917557 BGD917555:BGD917557 BPZ917555:BPZ917557 BZV917555:BZV917557 CJR917555:CJR917557 CTN917555:CTN917557 DDJ917555:DDJ917557 DNF917555:DNF917557 DXB917555:DXB917557 EGX917555:EGX917557 EQT917555:EQT917557 FAP917555:FAP917557 FKL917555:FKL917557 FUH917555:FUH917557 GED917555:GED917557 GNZ917555:GNZ917557 GXV917555:GXV917557 HHR917555:HHR917557 HRN917555:HRN917557 IBJ917555:IBJ917557 ILF917555:ILF917557 IVB917555:IVB917557 JEX917555:JEX917557 JOT917555:JOT917557 JYP917555:JYP917557 KIL917555:KIL917557 KSH917555:KSH917557 LCD917555:LCD917557 LLZ917555:LLZ917557 LVV917555:LVV917557 MFR917555:MFR917557 MPN917555:MPN917557 MZJ917555:MZJ917557 NJF917555:NJF917557 NTB917555:NTB917557 OCX917555:OCX917557 OMT917555:OMT917557 OWP917555:OWP917557 PGL917555:PGL917557 PQH917555:PQH917557 QAD917555:QAD917557 QJZ917555:QJZ917557 QTV917555:QTV917557 RDR917555:RDR917557 RNN917555:RNN917557 RXJ917555:RXJ917557 SHF917555:SHF917557 SRB917555:SRB917557 TAX917555:TAX917557 TKT917555:TKT917557 TUP917555:TUP917557 UEL917555:UEL917557 UOH917555:UOH917557 UYD917555:UYD917557 VHZ917555:VHZ917557 VRV917555:VRV917557 WBR917555:WBR917557 WLN917555:WLN917557 WVJ917555:WVJ917557 B983091:B983093 IX983091:IX983093 ST983091:ST983093 ACP983091:ACP983093 AML983091:AML983093 AWH983091:AWH983093 BGD983091:BGD983093 BPZ983091:BPZ983093 BZV983091:BZV983093 CJR983091:CJR983093 CTN983091:CTN983093 DDJ983091:DDJ983093 DNF983091:DNF983093 DXB983091:DXB983093 EGX983091:EGX983093 EQT983091:EQT983093 FAP983091:FAP983093 FKL983091:FKL983093 FUH983091:FUH983093 GED983091:GED983093 GNZ983091:GNZ983093 GXV983091:GXV983093 HHR983091:HHR983093 HRN983091:HRN983093 IBJ983091:IBJ983093 ILF983091:ILF983093 IVB983091:IVB983093 JEX983091:JEX983093 JOT983091:JOT983093 JYP983091:JYP983093 KIL983091:KIL983093 KSH983091:KSH983093 LCD983091:LCD983093 LLZ983091:LLZ983093 LVV983091:LVV983093 MFR983091:MFR983093 MPN983091:MPN983093 MZJ983091:MZJ983093 NJF983091:NJF983093 NTB983091:NTB983093 OCX983091:OCX983093 OMT983091:OMT983093 OWP983091:OWP983093 PGL983091:PGL983093 PQH983091:PQH983093 QAD983091:QAD983093 QJZ983091:QJZ983093 QTV983091:QTV983093 RDR983091:RDR983093 RNN983091:RNN983093 RXJ983091:RXJ983093 SHF983091:SHF983093 SRB983091:SRB983093 TAX983091:TAX983093 TKT983091:TKT983093 TUP983091:TUP983093 UEL983091:UEL983093 UOH983091:UOH983093 UYD983091:UYD983093 VHZ983091:VHZ983093 VRV983091:VRV983093 WBR983091:WBR983093 WLN983091:WLN983093 WVJ983091:WVJ983093 C52 IY52 SU52 ACQ52 AMM52 AWI52 BGE52 BQA52 BZW52 CJS52 CTO52 DDK52 DNG52 DXC52 EGY52 EQU52 FAQ52 FKM52 FUI52 GEE52 GOA52 GXW52 HHS52 HRO52 IBK52 ILG52 IVC52 JEY52 JOU52 JYQ52 KIM52 KSI52 LCE52 LMA52 LVW52 MFS52 MPO52 MZK52 NJG52 NTC52 OCY52 OMU52 OWQ52 PGM52 PQI52 QAE52 QKA52 QTW52 RDS52 RNO52 RXK52 SHG52 SRC52 TAY52 TKU52 TUQ52 UEM52 UOI52 UYE52 VIA52 VRW52 WBS52 WLO52 WVK52 C65588 IY65588 SU65588 ACQ65588 AMM65588 AWI65588 BGE65588 BQA65588 BZW65588 CJS65588 CTO65588 DDK65588 DNG65588 DXC65588 EGY65588 EQU65588 FAQ65588 FKM65588 FUI65588 GEE65588 GOA65588 GXW65588 HHS65588 HRO65588 IBK65588 ILG65588 IVC65588 JEY65588 JOU65588 JYQ65588 KIM65588 KSI65588 LCE65588 LMA65588 LVW65588 MFS65588 MPO65588 MZK65588 NJG65588 NTC65588 OCY65588 OMU65588 OWQ65588 PGM65588 PQI65588 QAE65588 QKA65588 QTW65588 RDS65588 RNO65588 RXK65588 SHG65588 SRC65588 TAY65588 TKU65588 TUQ65588 UEM65588 UOI65588 UYE65588 VIA65588 VRW65588 WBS65588 WLO65588 WVK65588 C131124 IY131124 SU131124 ACQ131124 AMM131124 AWI131124 BGE131124 BQA131124 BZW131124 CJS131124 CTO131124 DDK131124 DNG131124 DXC131124 EGY131124 EQU131124 FAQ131124 FKM131124 FUI131124 GEE131124 GOA131124 GXW131124 HHS131124 HRO131124 IBK131124 ILG131124 IVC131124 JEY131124 JOU131124 JYQ131124 KIM131124 KSI131124 LCE131124 LMA131124 LVW131124 MFS131124 MPO131124 MZK131124 NJG131124 NTC131124 OCY131124 OMU131124 OWQ131124 PGM131124 PQI131124 QAE131124 QKA131124 QTW131124 RDS131124 RNO131124 RXK131124 SHG131124 SRC131124 TAY131124 TKU131124 TUQ131124 UEM131124 UOI131124 UYE131124 VIA131124 VRW131124 WBS131124 WLO131124 WVK131124 C196660 IY196660 SU196660 ACQ196660 AMM196660 AWI196660 BGE196660 BQA196660 BZW196660 CJS196660 CTO196660 DDK196660 DNG196660 DXC196660 EGY196660 EQU196660 FAQ196660 FKM196660 FUI196660 GEE196660 GOA196660 GXW196660 HHS196660 HRO196660 IBK196660 ILG196660 IVC196660 JEY196660 JOU196660 JYQ196660 KIM196660 KSI196660 LCE196660 LMA196660 LVW196660 MFS196660 MPO196660 MZK196660 NJG196660 NTC196660 OCY196660 OMU196660 OWQ196660 PGM196660 PQI196660 QAE196660 QKA196660 QTW196660 RDS196660 RNO196660 RXK196660 SHG196660 SRC196660 TAY196660 TKU196660 TUQ196660 UEM196660 UOI196660 UYE196660 VIA196660 VRW196660 WBS196660 WLO196660 WVK196660 C262196 IY262196 SU262196 ACQ262196 AMM262196 AWI262196 BGE262196 BQA262196 BZW262196 CJS262196 CTO262196 DDK262196 DNG262196 DXC262196 EGY262196 EQU262196 FAQ262196 FKM262196 FUI262196 GEE262196 GOA262196 GXW262196 HHS262196 HRO262196 IBK262196 ILG262196 IVC262196 JEY262196 JOU262196 JYQ262196 KIM262196 KSI262196 LCE262196 LMA262196 LVW262196 MFS262196 MPO262196 MZK262196 NJG262196 NTC262196 OCY262196 OMU262196 OWQ262196 PGM262196 PQI262196 QAE262196 QKA262196 QTW262196 RDS262196 RNO262196 RXK262196 SHG262196 SRC262196 TAY262196 TKU262196 TUQ262196 UEM262196 UOI262196 UYE262196 VIA262196 VRW262196 WBS262196 WLO262196 WVK262196 C327732 IY327732 SU327732 ACQ327732 AMM327732 AWI327732 BGE327732 BQA327732 BZW327732 CJS327732 CTO327732 DDK327732 DNG327732 DXC327732 EGY327732 EQU327732 FAQ327732 FKM327732 FUI327732 GEE327732 GOA327732 GXW327732 HHS327732 HRO327732 IBK327732 ILG327732 IVC327732 JEY327732 JOU327732 JYQ327732 KIM327732 KSI327732 LCE327732 LMA327732 LVW327732 MFS327732 MPO327732 MZK327732 NJG327732 NTC327732 OCY327732 OMU327732 OWQ327732 PGM327732 PQI327732 QAE327732 QKA327732 QTW327732 RDS327732 RNO327732 RXK327732 SHG327732 SRC327732 TAY327732 TKU327732 TUQ327732 UEM327732 UOI327732 UYE327732 VIA327732 VRW327732 WBS327732 WLO327732 WVK327732 C393268 IY393268 SU393268 ACQ393268 AMM393268 AWI393268 BGE393268 BQA393268 BZW393268 CJS393268 CTO393268 DDK393268 DNG393268 DXC393268 EGY393268 EQU393268 FAQ393268 FKM393268 FUI393268 GEE393268 GOA393268 GXW393268 HHS393268 HRO393268 IBK393268 ILG393268 IVC393268 JEY393268 JOU393268 JYQ393268 KIM393268 KSI393268 LCE393268 LMA393268 LVW393268 MFS393268 MPO393268 MZK393268 NJG393268 NTC393268 OCY393268 OMU393268 OWQ393268 PGM393268 PQI393268 QAE393268 QKA393268 QTW393268 RDS393268 RNO393268 RXK393268 SHG393268 SRC393268 TAY393268 TKU393268 TUQ393268 UEM393268 UOI393268 UYE393268 VIA393268 VRW393268 WBS393268 WLO393268 WVK393268 C458804 IY458804 SU458804 ACQ458804 AMM458804 AWI458804 BGE458804 BQA458804 BZW458804 CJS458804 CTO458804 DDK458804 DNG458804 DXC458804 EGY458804 EQU458804 FAQ458804 FKM458804 FUI458804 GEE458804 GOA458804 GXW458804 HHS458804 HRO458804 IBK458804 ILG458804 IVC458804 JEY458804 JOU458804 JYQ458804 KIM458804 KSI458804 LCE458804 LMA458804 LVW458804 MFS458804 MPO458804 MZK458804 NJG458804 NTC458804 OCY458804 OMU458804 OWQ458804 PGM458804 PQI458804 QAE458804 QKA458804 QTW458804 RDS458804 RNO458804 RXK458804 SHG458804 SRC458804 TAY458804 TKU458804 TUQ458804 UEM458804 UOI458804 UYE458804 VIA458804 VRW458804 WBS458804 WLO458804 WVK458804 C524340 IY524340 SU524340 ACQ524340 AMM524340 AWI524340 BGE524340 BQA524340 BZW524340 CJS524340 CTO524340 DDK524340 DNG524340 DXC524340 EGY524340 EQU524340 FAQ524340 FKM524340 FUI524340 GEE524340 GOA524340 GXW524340 HHS524340 HRO524340 IBK524340 ILG524340 IVC524340 JEY524340 JOU524340 JYQ524340 KIM524340 KSI524340 LCE524340 LMA524340 LVW524340 MFS524340 MPO524340 MZK524340 NJG524340 NTC524340 OCY524340 OMU524340 OWQ524340 PGM524340 PQI524340 QAE524340 QKA524340 QTW524340 RDS524340 RNO524340 RXK524340 SHG524340 SRC524340 TAY524340 TKU524340 TUQ524340 UEM524340 UOI524340 UYE524340 VIA524340 VRW524340 WBS524340 WLO524340 WVK524340 C589876 IY589876 SU589876 ACQ589876 AMM589876 AWI589876 BGE589876 BQA589876 BZW589876 CJS589876 CTO589876 DDK589876 DNG589876 DXC589876 EGY589876 EQU589876 FAQ589876 FKM589876 FUI589876 GEE589876 GOA589876 GXW589876 HHS589876 HRO589876 IBK589876 ILG589876 IVC589876 JEY589876 JOU589876 JYQ589876 KIM589876 KSI589876 LCE589876 LMA589876 LVW589876 MFS589876 MPO589876 MZK589876 NJG589876 NTC589876 OCY589876 OMU589876 OWQ589876 PGM589876 PQI589876 QAE589876 QKA589876 QTW589876 RDS589876 RNO589876 RXK589876 SHG589876 SRC589876 TAY589876 TKU589876 TUQ589876 UEM589876 UOI589876 UYE589876 VIA589876 VRW589876 WBS589876 WLO589876 WVK589876 C655412 IY655412 SU655412 ACQ655412 AMM655412 AWI655412 BGE655412 BQA655412 BZW655412 CJS655412 CTO655412 DDK655412 DNG655412 DXC655412 EGY655412 EQU655412 FAQ655412 FKM655412 FUI655412 GEE655412 GOA655412 GXW655412 HHS655412 HRO655412 IBK655412 ILG655412 IVC655412 JEY655412 JOU655412 JYQ655412 KIM655412 KSI655412 LCE655412 LMA655412 LVW655412 MFS655412 MPO655412 MZK655412 NJG655412 NTC655412 OCY655412 OMU655412 OWQ655412 PGM655412 PQI655412 QAE655412 QKA655412 QTW655412 RDS655412 RNO655412 RXK655412 SHG655412 SRC655412 TAY655412 TKU655412 TUQ655412 UEM655412 UOI655412 UYE655412 VIA655412 VRW655412 WBS655412 WLO655412 WVK655412 C720948 IY720948 SU720948 ACQ720948 AMM720948 AWI720948 BGE720948 BQA720948 BZW720948 CJS720948 CTO720948 DDK720948 DNG720948 DXC720948 EGY720948 EQU720948 FAQ720948 FKM720948 FUI720948 GEE720948 GOA720948 GXW720948 HHS720948 HRO720948 IBK720948 ILG720948 IVC720948 JEY720948 JOU720948 JYQ720948 KIM720948 KSI720948 LCE720948 LMA720948 LVW720948 MFS720948 MPO720948 MZK720948 NJG720948 NTC720948 OCY720948 OMU720948 OWQ720948 PGM720948 PQI720948 QAE720948 QKA720948 QTW720948 RDS720948 RNO720948 RXK720948 SHG720948 SRC720948 TAY720948 TKU720948 TUQ720948 UEM720948 UOI720948 UYE720948 VIA720948 VRW720948 WBS720948 WLO720948 WVK720948 C786484 IY786484 SU786484 ACQ786484 AMM786484 AWI786484 BGE786484 BQA786484 BZW786484 CJS786484 CTO786484 DDK786484 DNG786484 DXC786484 EGY786484 EQU786484 FAQ786484 FKM786484 FUI786484 GEE786484 GOA786484 GXW786484 HHS786484 HRO786484 IBK786484 ILG786484 IVC786484 JEY786484 JOU786484 JYQ786484 KIM786484 KSI786484 LCE786484 LMA786484 LVW786484 MFS786484 MPO786484 MZK786484 NJG786484 NTC786484 OCY786484 OMU786484 OWQ786484 PGM786484 PQI786484 QAE786484 QKA786484 QTW786484 RDS786484 RNO786484 RXK786484 SHG786484 SRC786484 TAY786484 TKU786484 TUQ786484 UEM786484 UOI786484 UYE786484 VIA786484 VRW786484 WBS786484 WLO786484 WVK786484 C852020 IY852020 SU852020 ACQ852020 AMM852020 AWI852020 BGE852020 BQA852020 BZW852020 CJS852020 CTO852020 DDK852020 DNG852020 DXC852020 EGY852020 EQU852020 FAQ852020 FKM852020 FUI852020 GEE852020 GOA852020 GXW852020 HHS852020 HRO852020 IBK852020 ILG852020 IVC852020 JEY852020 JOU852020 JYQ852020 KIM852020 KSI852020 LCE852020 LMA852020 LVW852020 MFS852020 MPO852020 MZK852020 NJG852020 NTC852020 OCY852020 OMU852020 OWQ852020 PGM852020 PQI852020 QAE852020 QKA852020 QTW852020 RDS852020 RNO852020 RXK852020 SHG852020 SRC852020 TAY852020 TKU852020 TUQ852020 UEM852020 UOI852020 UYE852020 VIA852020 VRW852020 WBS852020 WLO852020 WVK852020 C917556 IY917556 SU917556 ACQ917556 AMM917556 AWI917556 BGE917556 BQA917556 BZW917556 CJS917556 CTO917556 DDK917556 DNG917556 DXC917556 EGY917556 EQU917556 FAQ917556 FKM917556 FUI917556 GEE917556 GOA917556 GXW917556 HHS917556 HRO917556 IBK917556 ILG917556 IVC917556 JEY917556 JOU917556 JYQ917556 KIM917556 KSI917556 LCE917556 LMA917556 LVW917556 MFS917556 MPO917556 MZK917556 NJG917556 NTC917556 OCY917556 OMU917556 OWQ917556 PGM917556 PQI917556 QAE917556 QKA917556 QTW917556 RDS917556 RNO917556 RXK917556 SHG917556 SRC917556 TAY917556 TKU917556 TUQ917556 UEM917556 UOI917556 UYE917556 VIA917556 VRW917556 WBS917556 WLO917556 WVK917556 C983092 IY983092 SU983092 ACQ983092 AMM983092 AWI983092 BGE983092 BQA983092 BZW983092 CJS983092 CTO983092 DDK983092 DNG983092 DXC983092 EGY983092 EQU983092 FAQ983092 FKM983092 FUI983092 GEE983092 GOA983092 GXW983092 HHS983092 HRO983092 IBK983092 ILG983092 IVC983092 JEY983092 JOU983092 JYQ983092 KIM983092 KSI983092 LCE983092 LMA983092 LVW983092 MFS983092 MPO983092 MZK983092 NJG983092 NTC983092 OCY983092 OMU983092 OWQ983092 PGM983092 PQI983092 QAE983092 QKA983092 QTW983092 RDS983092 RNO983092 RXK983092 SHG983092 SRC983092 TAY983092 TKU983092 TUQ983092 UEM983092 UOI983092 UYE983092 VIA983092 VRW983092 WBS983092 WLO983092 WVK983092"/>
  </dataValidations>
  <printOptions horizontalCentered="1" verticalCentered="1"/>
  <pageMargins left="0.11811023622047245" right="0.11811023622047245" top="0.23622047244094491" bottom="0" header="0" footer="0"/>
  <pageSetup paperSize="9" scale="71" fitToWidth="0" fitToHeight="0" orientation="landscape" r:id="rId1"/>
  <rowBreaks count="1" manualBreakCount="1">
    <brk id="54" max="19" man="1"/>
  </rowBreaks>
  <drawing r:id="rId2"/>
  <legacyDrawing r:id="rId3"/>
  <mc:AlternateContent xmlns:mc="http://schemas.openxmlformats.org/markup-compatibility/2006">
    <mc:Choice Requires="x14">
      <controls>
        <mc:AlternateContent xmlns:mc="http://schemas.openxmlformats.org/markup-compatibility/2006">
          <mc:Choice Requires="x14">
            <control shapeId="10241" r:id="rId4" name="Check Box 1">
              <controlPr defaultSize="0" autoFill="0" autoLine="0" autoPict="0">
                <anchor moveWithCells="1">
                  <from>
                    <xdr:col>6</xdr:col>
                    <xdr:colOff>83820</xdr:colOff>
                    <xdr:row>2</xdr:row>
                    <xdr:rowOff>22860</xdr:rowOff>
                  </from>
                  <to>
                    <xdr:col>6</xdr:col>
                    <xdr:colOff>335280</xdr:colOff>
                    <xdr:row>3</xdr:row>
                    <xdr:rowOff>7620</xdr:rowOff>
                  </to>
                </anchor>
              </controlPr>
            </control>
          </mc:Choice>
        </mc:AlternateContent>
        <mc:AlternateContent xmlns:mc="http://schemas.openxmlformats.org/markup-compatibility/2006">
          <mc:Choice Requires="x14">
            <control shapeId="10242" r:id="rId5" name="Check Box 2">
              <controlPr defaultSize="0" autoFill="0" autoLine="0" autoPict="0">
                <anchor moveWithCells="1">
                  <from>
                    <xdr:col>6</xdr:col>
                    <xdr:colOff>83820</xdr:colOff>
                    <xdr:row>3</xdr:row>
                    <xdr:rowOff>38100</xdr:rowOff>
                  </from>
                  <to>
                    <xdr:col>6</xdr:col>
                    <xdr:colOff>266700</xdr:colOff>
                    <xdr:row>3</xdr:row>
                    <xdr:rowOff>228600</xdr:rowOff>
                  </to>
                </anchor>
              </controlPr>
            </control>
          </mc:Choice>
        </mc:AlternateContent>
        <mc:AlternateContent xmlns:mc="http://schemas.openxmlformats.org/markup-compatibility/2006">
          <mc:Choice Requires="x14">
            <control shapeId="10243" r:id="rId6" name="Check Box 3">
              <controlPr defaultSize="0" autoFill="0" autoLine="0" autoPict="0">
                <anchor moveWithCells="1">
                  <from>
                    <xdr:col>12</xdr:col>
                    <xdr:colOff>266700</xdr:colOff>
                    <xdr:row>42</xdr:row>
                    <xdr:rowOff>0</xdr:rowOff>
                  </from>
                  <to>
                    <xdr:col>13</xdr:col>
                    <xdr:colOff>99060</xdr:colOff>
                    <xdr:row>43</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imeMode="hiragana" allowBlank="1" showInputMessage="1" showErrorMessage="1">
          <xm:sqref>P14 JL14 TH14 ADD14 AMZ14 AWV14 BGR14 BQN14 CAJ14 CKF14 CUB14 DDX14 DNT14 DXP14 EHL14 ERH14 FBD14 FKZ14 FUV14 GER14 GON14 GYJ14 HIF14 HSB14 IBX14 ILT14 IVP14 JFL14 JPH14 JZD14 KIZ14 KSV14 LCR14 LMN14 LWJ14 MGF14 MQB14 MZX14 NJT14 NTP14 ODL14 ONH14 OXD14 PGZ14 PQV14 QAR14 QKN14 QUJ14 REF14 ROB14 RXX14 SHT14 SRP14 TBL14 TLH14 TVD14 UEZ14 UOV14 UYR14 VIN14 VSJ14 WCF14 WMB14 WVX14 P65550 JL65550 TH65550 ADD65550 AMZ65550 AWV65550 BGR65550 BQN65550 CAJ65550 CKF65550 CUB65550 DDX65550 DNT65550 DXP65550 EHL65550 ERH65550 FBD65550 FKZ65550 FUV65550 GER65550 GON65550 GYJ65550 HIF65550 HSB65550 IBX65550 ILT65550 IVP65550 JFL65550 JPH65550 JZD65550 KIZ65550 KSV65550 LCR65550 LMN65550 LWJ65550 MGF65550 MQB65550 MZX65550 NJT65550 NTP65550 ODL65550 ONH65550 OXD65550 PGZ65550 PQV65550 QAR65550 QKN65550 QUJ65550 REF65550 ROB65550 RXX65550 SHT65550 SRP65550 TBL65550 TLH65550 TVD65550 UEZ65550 UOV65550 UYR65550 VIN65550 VSJ65550 WCF65550 WMB65550 WVX65550 P131086 JL131086 TH131086 ADD131086 AMZ131086 AWV131086 BGR131086 BQN131086 CAJ131086 CKF131086 CUB131086 DDX131086 DNT131086 DXP131086 EHL131086 ERH131086 FBD131086 FKZ131086 FUV131086 GER131086 GON131086 GYJ131086 HIF131086 HSB131086 IBX131086 ILT131086 IVP131086 JFL131086 JPH131086 JZD131086 KIZ131086 KSV131086 LCR131086 LMN131086 LWJ131086 MGF131086 MQB131086 MZX131086 NJT131086 NTP131086 ODL131086 ONH131086 OXD131086 PGZ131086 PQV131086 QAR131086 QKN131086 QUJ131086 REF131086 ROB131086 RXX131086 SHT131086 SRP131086 TBL131086 TLH131086 TVD131086 UEZ131086 UOV131086 UYR131086 VIN131086 VSJ131086 WCF131086 WMB131086 WVX131086 P196622 JL196622 TH196622 ADD196622 AMZ196622 AWV196622 BGR196622 BQN196622 CAJ196622 CKF196622 CUB196622 DDX196622 DNT196622 DXP196622 EHL196622 ERH196622 FBD196622 FKZ196622 FUV196622 GER196622 GON196622 GYJ196622 HIF196622 HSB196622 IBX196622 ILT196622 IVP196622 JFL196622 JPH196622 JZD196622 KIZ196622 KSV196622 LCR196622 LMN196622 LWJ196622 MGF196622 MQB196622 MZX196622 NJT196622 NTP196622 ODL196622 ONH196622 OXD196622 PGZ196622 PQV196622 QAR196622 QKN196622 QUJ196622 REF196622 ROB196622 RXX196622 SHT196622 SRP196622 TBL196622 TLH196622 TVD196622 UEZ196622 UOV196622 UYR196622 VIN196622 VSJ196622 WCF196622 WMB196622 WVX196622 P262158 JL262158 TH262158 ADD262158 AMZ262158 AWV262158 BGR262158 BQN262158 CAJ262158 CKF262158 CUB262158 DDX262158 DNT262158 DXP262158 EHL262158 ERH262158 FBD262158 FKZ262158 FUV262158 GER262158 GON262158 GYJ262158 HIF262158 HSB262158 IBX262158 ILT262158 IVP262158 JFL262158 JPH262158 JZD262158 KIZ262158 KSV262158 LCR262158 LMN262158 LWJ262158 MGF262158 MQB262158 MZX262158 NJT262158 NTP262158 ODL262158 ONH262158 OXD262158 PGZ262158 PQV262158 QAR262158 QKN262158 QUJ262158 REF262158 ROB262158 RXX262158 SHT262158 SRP262158 TBL262158 TLH262158 TVD262158 UEZ262158 UOV262158 UYR262158 VIN262158 VSJ262158 WCF262158 WMB262158 WVX262158 P327694 JL327694 TH327694 ADD327694 AMZ327694 AWV327694 BGR327694 BQN327694 CAJ327694 CKF327694 CUB327694 DDX327694 DNT327694 DXP327694 EHL327694 ERH327694 FBD327694 FKZ327694 FUV327694 GER327694 GON327694 GYJ327694 HIF327694 HSB327694 IBX327694 ILT327694 IVP327694 JFL327694 JPH327694 JZD327694 KIZ327694 KSV327694 LCR327694 LMN327694 LWJ327694 MGF327694 MQB327694 MZX327694 NJT327694 NTP327694 ODL327694 ONH327694 OXD327694 PGZ327694 PQV327694 QAR327694 QKN327694 QUJ327694 REF327694 ROB327694 RXX327694 SHT327694 SRP327694 TBL327694 TLH327694 TVD327694 UEZ327694 UOV327694 UYR327694 VIN327694 VSJ327694 WCF327694 WMB327694 WVX327694 P393230 JL393230 TH393230 ADD393230 AMZ393230 AWV393230 BGR393230 BQN393230 CAJ393230 CKF393230 CUB393230 DDX393230 DNT393230 DXP393230 EHL393230 ERH393230 FBD393230 FKZ393230 FUV393230 GER393230 GON393230 GYJ393230 HIF393230 HSB393230 IBX393230 ILT393230 IVP393230 JFL393230 JPH393230 JZD393230 KIZ393230 KSV393230 LCR393230 LMN393230 LWJ393230 MGF393230 MQB393230 MZX393230 NJT393230 NTP393230 ODL393230 ONH393230 OXD393230 PGZ393230 PQV393230 QAR393230 QKN393230 QUJ393230 REF393230 ROB393230 RXX393230 SHT393230 SRP393230 TBL393230 TLH393230 TVD393230 UEZ393230 UOV393230 UYR393230 VIN393230 VSJ393230 WCF393230 WMB393230 WVX393230 P458766 JL458766 TH458766 ADD458766 AMZ458766 AWV458766 BGR458766 BQN458766 CAJ458766 CKF458766 CUB458766 DDX458766 DNT458766 DXP458766 EHL458766 ERH458766 FBD458766 FKZ458766 FUV458766 GER458766 GON458766 GYJ458766 HIF458766 HSB458766 IBX458766 ILT458766 IVP458766 JFL458766 JPH458766 JZD458766 KIZ458766 KSV458766 LCR458766 LMN458766 LWJ458766 MGF458766 MQB458766 MZX458766 NJT458766 NTP458766 ODL458766 ONH458766 OXD458766 PGZ458766 PQV458766 QAR458766 QKN458766 QUJ458766 REF458766 ROB458766 RXX458766 SHT458766 SRP458766 TBL458766 TLH458766 TVD458766 UEZ458766 UOV458766 UYR458766 VIN458766 VSJ458766 WCF458766 WMB458766 WVX458766 P524302 JL524302 TH524302 ADD524302 AMZ524302 AWV524302 BGR524302 BQN524302 CAJ524302 CKF524302 CUB524302 DDX524302 DNT524302 DXP524302 EHL524302 ERH524302 FBD524302 FKZ524302 FUV524302 GER524302 GON524302 GYJ524302 HIF524302 HSB524302 IBX524302 ILT524302 IVP524302 JFL524302 JPH524302 JZD524302 KIZ524302 KSV524302 LCR524302 LMN524302 LWJ524302 MGF524302 MQB524302 MZX524302 NJT524302 NTP524302 ODL524302 ONH524302 OXD524302 PGZ524302 PQV524302 QAR524302 QKN524302 QUJ524302 REF524302 ROB524302 RXX524302 SHT524302 SRP524302 TBL524302 TLH524302 TVD524302 UEZ524302 UOV524302 UYR524302 VIN524302 VSJ524302 WCF524302 WMB524302 WVX524302 P589838 JL589838 TH589838 ADD589838 AMZ589838 AWV589838 BGR589838 BQN589838 CAJ589838 CKF589838 CUB589838 DDX589838 DNT589838 DXP589838 EHL589838 ERH589838 FBD589838 FKZ589838 FUV589838 GER589838 GON589838 GYJ589838 HIF589838 HSB589838 IBX589838 ILT589838 IVP589838 JFL589838 JPH589838 JZD589838 KIZ589838 KSV589838 LCR589838 LMN589838 LWJ589838 MGF589838 MQB589838 MZX589838 NJT589838 NTP589838 ODL589838 ONH589838 OXD589838 PGZ589838 PQV589838 QAR589838 QKN589838 QUJ589838 REF589838 ROB589838 RXX589838 SHT589838 SRP589838 TBL589838 TLH589838 TVD589838 UEZ589838 UOV589838 UYR589838 VIN589838 VSJ589838 WCF589838 WMB589838 WVX589838 P655374 JL655374 TH655374 ADD655374 AMZ655374 AWV655374 BGR655374 BQN655374 CAJ655374 CKF655374 CUB655374 DDX655374 DNT655374 DXP655374 EHL655374 ERH655374 FBD655374 FKZ655374 FUV655374 GER655374 GON655374 GYJ655374 HIF655374 HSB655374 IBX655374 ILT655374 IVP655374 JFL655374 JPH655374 JZD655374 KIZ655374 KSV655374 LCR655374 LMN655374 LWJ655374 MGF655374 MQB655374 MZX655374 NJT655374 NTP655374 ODL655374 ONH655374 OXD655374 PGZ655374 PQV655374 QAR655374 QKN655374 QUJ655374 REF655374 ROB655374 RXX655374 SHT655374 SRP655374 TBL655374 TLH655374 TVD655374 UEZ655374 UOV655374 UYR655374 VIN655374 VSJ655374 WCF655374 WMB655374 WVX655374 P720910 JL720910 TH720910 ADD720910 AMZ720910 AWV720910 BGR720910 BQN720910 CAJ720910 CKF720910 CUB720910 DDX720910 DNT720910 DXP720910 EHL720910 ERH720910 FBD720910 FKZ720910 FUV720910 GER720910 GON720910 GYJ720910 HIF720910 HSB720910 IBX720910 ILT720910 IVP720910 JFL720910 JPH720910 JZD720910 KIZ720910 KSV720910 LCR720910 LMN720910 LWJ720910 MGF720910 MQB720910 MZX720910 NJT720910 NTP720910 ODL720910 ONH720910 OXD720910 PGZ720910 PQV720910 QAR720910 QKN720910 QUJ720910 REF720910 ROB720910 RXX720910 SHT720910 SRP720910 TBL720910 TLH720910 TVD720910 UEZ720910 UOV720910 UYR720910 VIN720910 VSJ720910 WCF720910 WMB720910 WVX720910 P786446 JL786446 TH786446 ADD786446 AMZ786446 AWV786446 BGR786446 BQN786446 CAJ786446 CKF786446 CUB786446 DDX786446 DNT786446 DXP786446 EHL786446 ERH786446 FBD786446 FKZ786446 FUV786446 GER786446 GON786446 GYJ786446 HIF786446 HSB786446 IBX786446 ILT786446 IVP786446 JFL786446 JPH786446 JZD786446 KIZ786446 KSV786446 LCR786446 LMN786446 LWJ786446 MGF786446 MQB786446 MZX786446 NJT786446 NTP786446 ODL786446 ONH786446 OXD786446 PGZ786446 PQV786446 QAR786446 QKN786446 QUJ786446 REF786446 ROB786446 RXX786446 SHT786446 SRP786446 TBL786446 TLH786446 TVD786446 UEZ786446 UOV786446 UYR786446 VIN786446 VSJ786446 WCF786446 WMB786446 WVX786446 P851982 JL851982 TH851982 ADD851982 AMZ851982 AWV851982 BGR851982 BQN851982 CAJ851982 CKF851982 CUB851982 DDX851982 DNT851982 DXP851982 EHL851982 ERH851982 FBD851982 FKZ851982 FUV851982 GER851982 GON851982 GYJ851982 HIF851982 HSB851982 IBX851982 ILT851982 IVP851982 JFL851982 JPH851982 JZD851982 KIZ851982 KSV851982 LCR851982 LMN851982 LWJ851982 MGF851982 MQB851982 MZX851982 NJT851982 NTP851982 ODL851982 ONH851982 OXD851982 PGZ851982 PQV851982 QAR851982 QKN851982 QUJ851982 REF851982 ROB851982 RXX851982 SHT851982 SRP851982 TBL851982 TLH851982 TVD851982 UEZ851982 UOV851982 UYR851982 VIN851982 VSJ851982 WCF851982 WMB851982 WVX851982 P917518 JL917518 TH917518 ADD917518 AMZ917518 AWV917518 BGR917518 BQN917518 CAJ917518 CKF917518 CUB917518 DDX917518 DNT917518 DXP917518 EHL917518 ERH917518 FBD917518 FKZ917518 FUV917518 GER917518 GON917518 GYJ917518 HIF917518 HSB917518 IBX917518 ILT917518 IVP917518 JFL917518 JPH917518 JZD917518 KIZ917518 KSV917518 LCR917518 LMN917518 LWJ917518 MGF917518 MQB917518 MZX917518 NJT917518 NTP917518 ODL917518 ONH917518 OXD917518 PGZ917518 PQV917518 QAR917518 QKN917518 QUJ917518 REF917518 ROB917518 RXX917518 SHT917518 SRP917518 TBL917518 TLH917518 TVD917518 UEZ917518 UOV917518 UYR917518 VIN917518 VSJ917518 WCF917518 WMB917518 WVX917518 P983054 JL983054 TH983054 ADD983054 AMZ983054 AWV983054 BGR983054 BQN983054 CAJ983054 CKF983054 CUB983054 DDX983054 DNT983054 DXP983054 EHL983054 ERH983054 FBD983054 FKZ983054 FUV983054 GER983054 GON983054 GYJ983054 HIF983054 HSB983054 IBX983054 ILT983054 IVP983054 JFL983054 JPH983054 JZD983054 KIZ983054 KSV983054 LCR983054 LMN983054 LWJ983054 MGF983054 MQB983054 MZX983054 NJT983054 NTP983054 ODL983054 ONH983054 OXD983054 PGZ983054 PQV983054 QAR983054 QKN983054 QUJ983054 REF983054 ROB983054 RXX983054 SHT983054 SRP983054 TBL983054 TLH983054 TVD983054 UEZ983054 UOV983054 UYR983054 VIN983054 VSJ983054 WCF983054 WMB983054 WVX983054 P20 JL20 TH20 ADD20 AMZ20 AWV20 BGR20 BQN20 CAJ20 CKF20 CUB20 DDX20 DNT20 DXP20 EHL20 ERH20 FBD20 FKZ20 FUV20 GER20 GON20 GYJ20 HIF20 HSB20 IBX20 ILT20 IVP20 JFL20 JPH20 JZD20 KIZ20 KSV20 LCR20 LMN20 LWJ20 MGF20 MQB20 MZX20 NJT20 NTP20 ODL20 ONH20 OXD20 PGZ20 PQV20 QAR20 QKN20 QUJ20 REF20 ROB20 RXX20 SHT20 SRP20 TBL20 TLH20 TVD20 UEZ20 UOV20 UYR20 VIN20 VSJ20 WCF20 WMB20 WVX20 P65556 JL65556 TH65556 ADD65556 AMZ65556 AWV65556 BGR65556 BQN65556 CAJ65556 CKF65556 CUB65556 DDX65556 DNT65556 DXP65556 EHL65556 ERH65556 FBD65556 FKZ65556 FUV65556 GER65556 GON65556 GYJ65556 HIF65556 HSB65556 IBX65556 ILT65556 IVP65556 JFL65556 JPH65556 JZD65556 KIZ65556 KSV65556 LCR65556 LMN65556 LWJ65556 MGF65556 MQB65556 MZX65556 NJT65556 NTP65556 ODL65556 ONH65556 OXD65556 PGZ65556 PQV65556 QAR65556 QKN65556 QUJ65556 REF65556 ROB65556 RXX65556 SHT65556 SRP65556 TBL65556 TLH65556 TVD65556 UEZ65556 UOV65556 UYR65556 VIN65556 VSJ65556 WCF65556 WMB65556 WVX65556 P131092 JL131092 TH131092 ADD131092 AMZ131092 AWV131092 BGR131092 BQN131092 CAJ131092 CKF131092 CUB131092 DDX131092 DNT131092 DXP131092 EHL131092 ERH131092 FBD131092 FKZ131092 FUV131092 GER131092 GON131092 GYJ131092 HIF131092 HSB131092 IBX131092 ILT131092 IVP131092 JFL131092 JPH131092 JZD131092 KIZ131092 KSV131092 LCR131092 LMN131092 LWJ131092 MGF131092 MQB131092 MZX131092 NJT131092 NTP131092 ODL131092 ONH131092 OXD131092 PGZ131092 PQV131092 QAR131092 QKN131092 QUJ131092 REF131092 ROB131092 RXX131092 SHT131092 SRP131092 TBL131092 TLH131092 TVD131092 UEZ131092 UOV131092 UYR131092 VIN131092 VSJ131092 WCF131092 WMB131092 WVX131092 P196628 JL196628 TH196628 ADD196628 AMZ196628 AWV196628 BGR196628 BQN196628 CAJ196628 CKF196628 CUB196628 DDX196628 DNT196628 DXP196628 EHL196628 ERH196628 FBD196628 FKZ196628 FUV196628 GER196628 GON196628 GYJ196628 HIF196628 HSB196628 IBX196628 ILT196628 IVP196628 JFL196628 JPH196628 JZD196628 KIZ196628 KSV196628 LCR196628 LMN196628 LWJ196628 MGF196628 MQB196628 MZX196628 NJT196628 NTP196628 ODL196628 ONH196628 OXD196628 PGZ196628 PQV196628 QAR196628 QKN196628 QUJ196628 REF196628 ROB196628 RXX196628 SHT196628 SRP196628 TBL196628 TLH196628 TVD196628 UEZ196628 UOV196628 UYR196628 VIN196628 VSJ196628 WCF196628 WMB196628 WVX196628 P262164 JL262164 TH262164 ADD262164 AMZ262164 AWV262164 BGR262164 BQN262164 CAJ262164 CKF262164 CUB262164 DDX262164 DNT262164 DXP262164 EHL262164 ERH262164 FBD262164 FKZ262164 FUV262164 GER262164 GON262164 GYJ262164 HIF262164 HSB262164 IBX262164 ILT262164 IVP262164 JFL262164 JPH262164 JZD262164 KIZ262164 KSV262164 LCR262164 LMN262164 LWJ262164 MGF262164 MQB262164 MZX262164 NJT262164 NTP262164 ODL262164 ONH262164 OXD262164 PGZ262164 PQV262164 QAR262164 QKN262164 QUJ262164 REF262164 ROB262164 RXX262164 SHT262164 SRP262164 TBL262164 TLH262164 TVD262164 UEZ262164 UOV262164 UYR262164 VIN262164 VSJ262164 WCF262164 WMB262164 WVX262164 P327700 JL327700 TH327700 ADD327700 AMZ327700 AWV327700 BGR327700 BQN327700 CAJ327700 CKF327700 CUB327700 DDX327700 DNT327700 DXP327700 EHL327700 ERH327700 FBD327700 FKZ327700 FUV327700 GER327700 GON327700 GYJ327700 HIF327700 HSB327700 IBX327700 ILT327700 IVP327700 JFL327700 JPH327700 JZD327700 KIZ327700 KSV327700 LCR327700 LMN327700 LWJ327700 MGF327700 MQB327700 MZX327700 NJT327700 NTP327700 ODL327700 ONH327700 OXD327700 PGZ327700 PQV327700 QAR327700 QKN327700 QUJ327700 REF327700 ROB327700 RXX327700 SHT327700 SRP327700 TBL327700 TLH327700 TVD327700 UEZ327700 UOV327700 UYR327700 VIN327700 VSJ327700 WCF327700 WMB327700 WVX327700 P393236 JL393236 TH393236 ADD393236 AMZ393236 AWV393236 BGR393236 BQN393236 CAJ393236 CKF393236 CUB393236 DDX393236 DNT393236 DXP393236 EHL393236 ERH393236 FBD393236 FKZ393236 FUV393236 GER393236 GON393236 GYJ393236 HIF393236 HSB393236 IBX393236 ILT393236 IVP393236 JFL393236 JPH393236 JZD393236 KIZ393236 KSV393236 LCR393236 LMN393236 LWJ393236 MGF393236 MQB393236 MZX393236 NJT393236 NTP393236 ODL393236 ONH393236 OXD393236 PGZ393236 PQV393236 QAR393236 QKN393236 QUJ393236 REF393236 ROB393236 RXX393236 SHT393236 SRP393236 TBL393236 TLH393236 TVD393236 UEZ393236 UOV393236 UYR393236 VIN393236 VSJ393236 WCF393236 WMB393236 WVX393236 P458772 JL458772 TH458772 ADD458772 AMZ458772 AWV458772 BGR458772 BQN458772 CAJ458772 CKF458772 CUB458772 DDX458772 DNT458772 DXP458772 EHL458772 ERH458772 FBD458772 FKZ458772 FUV458772 GER458772 GON458772 GYJ458772 HIF458772 HSB458772 IBX458772 ILT458772 IVP458772 JFL458772 JPH458772 JZD458772 KIZ458772 KSV458772 LCR458772 LMN458772 LWJ458772 MGF458772 MQB458772 MZX458772 NJT458772 NTP458772 ODL458772 ONH458772 OXD458772 PGZ458772 PQV458772 QAR458772 QKN458772 QUJ458772 REF458772 ROB458772 RXX458772 SHT458772 SRP458772 TBL458772 TLH458772 TVD458772 UEZ458772 UOV458772 UYR458772 VIN458772 VSJ458772 WCF458772 WMB458772 WVX458772 P524308 JL524308 TH524308 ADD524308 AMZ524308 AWV524308 BGR524308 BQN524308 CAJ524308 CKF524308 CUB524308 DDX524308 DNT524308 DXP524308 EHL524308 ERH524308 FBD524308 FKZ524308 FUV524308 GER524308 GON524308 GYJ524308 HIF524308 HSB524308 IBX524308 ILT524308 IVP524308 JFL524308 JPH524308 JZD524308 KIZ524308 KSV524308 LCR524308 LMN524308 LWJ524308 MGF524308 MQB524308 MZX524308 NJT524308 NTP524308 ODL524308 ONH524308 OXD524308 PGZ524308 PQV524308 QAR524308 QKN524308 QUJ524308 REF524308 ROB524308 RXX524308 SHT524308 SRP524308 TBL524308 TLH524308 TVD524308 UEZ524308 UOV524308 UYR524308 VIN524308 VSJ524308 WCF524308 WMB524308 WVX524308 P589844 JL589844 TH589844 ADD589844 AMZ589844 AWV589844 BGR589844 BQN589844 CAJ589844 CKF589844 CUB589844 DDX589844 DNT589844 DXP589844 EHL589844 ERH589844 FBD589844 FKZ589844 FUV589844 GER589844 GON589844 GYJ589844 HIF589844 HSB589844 IBX589844 ILT589844 IVP589844 JFL589844 JPH589844 JZD589844 KIZ589844 KSV589844 LCR589844 LMN589844 LWJ589844 MGF589844 MQB589844 MZX589844 NJT589844 NTP589844 ODL589844 ONH589844 OXD589844 PGZ589844 PQV589844 QAR589844 QKN589844 QUJ589844 REF589844 ROB589844 RXX589844 SHT589844 SRP589844 TBL589844 TLH589844 TVD589844 UEZ589844 UOV589844 UYR589844 VIN589844 VSJ589844 WCF589844 WMB589844 WVX589844 P655380 JL655380 TH655380 ADD655380 AMZ655380 AWV655380 BGR655380 BQN655380 CAJ655380 CKF655380 CUB655380 DDX655380 DNT655380 DXP655380 EHL655380 ERH655380 FBD655380 FKZ655380 FUV655380 GER655380 GON655380 GYJ655380 HIF655380 HSB655380 IBX655380 ILT655380 IVP655380 JFL655380 JPH655380 JZD655380 KIZ655380 KSV655380 LCR655380 LMN655380 LWJ655380 MGF655380 MQB655380 MZX655380 NJT655380 NTP655380 ODL655380 ONH655380 OXD655380 PGZ655380 PQV655380 QAR655380 QKN655380 QUJ655380 REF655380 ROB655380 RXX655380 SHT655380 SRP655380 TBL655380 TLH655380 TVD655380 UEZ655380 UOV655380 UYR655380 VIN655380 VSJ655380 WCF655380 WMB655380 WVX655380 P720916 JL720916 TH720916 ADD720916 AMZ720916 AWV720916 BGR720916 BQN720916 CAJ720916 CKF720916 CUB720916 DDX720916 DNT720916 DXP720916 EHL720916 ERH720916 FBD720916 FKZ720916 FUV720916 GER720916 GON720916 GYJ720916 HIF720916 HSB720916 IBX720916 ILT720916 IVP720916 JFL720916 JPH720916 JZD720916 KIZ720916 KSV720916 LCR720916 LMN720916 LWJ720916 MGF720916 MQB720916 MZX720916 NJT720916 NTP720916 ODL720916 ONH720916 OXD720916 PGZ720916 PQV720916 QAR720916 QKN720916 QUJ720916 REF720916 ROB720916 RXX720916 SHT720916 SRP720916 TBL720916 TLH720916 TVD720916 UEZ720916 UOV720916 UYR720916 VIN720916 VSJ720916 WCF720916 WMB720916 WVX720916 P786452 JL786452 TH786452 ADD786452 AMZ786452 AWV786452 BGR786452 BQN786452 CAJ786452 CKF786452 CUB786452 DDX786452 DNT786452 DXP786452 EHL786452 ERH786452 FBD786452 FKZ786452 FUV786452 GER786452 GON786452 GYJ786452 HIF786452 HSB786452 IBX786452 ILT786452 IVP786452 JFL786452 JPH786452 JZD786452 KIZ786452 KSV786452 LCR786452 LMN786452 LWJ786452 MGF786452 MQB786452 MZX786452 NJT786452 NTP786452 ODL786452 ONH786452 OXD786452 PGZ786452 PQV786452 QAR786452 QKN786452 QUJ786452 REF786452 ROB786452 RXX786452 SHT786452 SRP786452 TBL786452 TLH786452 TVD786452 UEZ786452 UOV786452 UYR786452 VIN786452 VSJ786452 WCF786452 WMB786452 WVX786452 P851988 JL851988 TH851988 ADD851988 AMZ851988 AWV851988 BGR851988 BQN851988 CAJ851988 CKF851988 CUB851988 DDX851988 DNT851988 DXP851988 EHL851988 ERH851988 FBD851988 FKZ851988 FUV851988 GER851988 GON851988 GYJ851988 HIF851988 HSB851988 IBX851988 ILT851988 IVP851988 JFL851988 JPH851988 JZD851988 KIZ851988 KSV851988 LCR851988 LMN851988 LWJ851988 MGF851988 MQB851988 MZX851988 NJT851988 NTP851988 ODL851988 ONH851988 OXD851988 PGZ851988 PQV851988 QAR851988 QKN851988 QUJ851988 REF851988 ROB851988 RXX851988 SHT851988 SRP851988 TBL851988 TLH851988 TVD851988 UEZ851988 UOV851988 UYR851988 VIN851988 VSJ851988 WCF851988 WMB851988 WVX851988 P917524 JL917524 TH917524 ADD917524 AMZ917524 AWV917524 BGR917524 BQN917524 CAJ917524 CKF917524 CUB917524 DDX917524 DNT917524 DXP917524 EHL917524 ERH917524 FBD917524 FKZ917524 FUV917524 GER917524 GON917524 GYJ917524 HIF917524 HSB917524 IBX917524 ILT917524 IVP917524 JFL917524 JPH917524 JZD917524 KIZ917524 KSV917524 LCR917524 LMN917524 LWJ917524 MGF917524 MQB917524 MZX917524 NJT917524 NTP917524 ODL917524 ONH917524 OXD917524 PGZ917524 PQV917524 QAR917524 QKN917524 QUJ917524 REF917524 ROB917524 RXX917524 SHT917524 SRP917524 TBL917524 TLH917524 TVD917524 UEZ917524 UOV917524 UYR917524 VIN917524 VSJ917524 WCF917524 WMB917524 WVX917524 P983060 JL983060 TH983060 ADD983060 AMZ983060 AWV983060 BGR983060 BQN983060 CAJ983060 CKF983060 CUB983060 DDX983060 DNT983060 DXP983060 EHL983060 ERH983060 FBD983060 FKZ983060 FUV983060 GER983060 GON983060 GYJ983060 HIF983060 HSB983060 IBX983060 ILT983060 IVP983060 JFL983060 JPH983060 JZD983060 KIZ983060 KSV983060 LCR983060 LMN983060 LWJ983060 MGF983060 MQB983060 MZX983060 NJT983060 NTP983060 ODL983060 ONH983060 OXD983060 PGZ983060 PQV983060 QAR983060 QKN983060 QUJ983060 REF983060 ROB983060 RXX983060 SHT983060 SRP983060 TBL983060 TLH983060 TVD983060 UEZ983060 UOV983060 UYR983060 VIN983060 VSJ983060 WCF983060 WMB983060 WVX983060 P17 JL17 TH17 ADD17 AMZ17 AWV17 BGR17 BQN17 CAJ17 CKF17 CUB17 DDX17 DNT17 DXP17 EHL17 ERH17 FBD17 FKZ17 FUV17 GER17 GON17 GYJ17 HIF17 HSB17 IBX17 ILT17 IVP17 JFL17 JPH17 JZD17 KIZ17 KSV17 LCR17 LMN17 LWJ17 MGF17 MQB17 MZX17 NJT17 NTP17 ODL17 ONH17 OXD17 PGZ17 PQV17 QAR17 QKN17 QUJ17 REF17 ROB17 RXX17 SHT17 SRP17 TBL17 TLH17 TVD17 UEZ17 UOV17 UYR17 VIN17 VSJ17 WCF17 WMB17 WVX17 P65553 JL65553 TH65553 ADD65553 AMZ65553 AWV65553 BGR65553 BQN65553 CAJ65553 CKF65553 CUB65553 DDX65553 DNT65553 DXP65553 EHL65553 ERH65553 FBD65553 FKZ65553 FUV65553 GER65553 GON65553 GYJ65553 HIF65553 HSB65553 IBX65553 ILT65553 IVP65553 JFL65553 JPH65553 JZD65553 KIZ65553 KSV65553 LCR65553 LMN65553 LWJ65553 MGF65553 MQB65553 MZX65553 NJT65553 NTP65553 ODL65553 ONH65553 OXD65553 PGZ65553 PQV65553 QAR65553 QKN65553 QUJ65553 REF65553 ROB65553 RXX65553 SHT65553 SRP65553 TBL65553 TLH65553 TVD65553 UEZ65553 UOV65553 UYR65553 VIN65553 VSJ65553 WCF65553 WMB65553 WVX65553 P131089 JL131089 TH131089 ADD131089 AMZ131089 AWV131089 BGR131089 BQN131089 CAJ131089 CKF131089 CUB131089 DDX131089 DNT131089 DXP131089 EHL131089 ERH131089 FBD131089 FKZ131089 FUV131089 GER131089 GON131089 GYJ131089 HIF131089 HSB131089 IBX131089 ILT131089 IVP131089 JFL131089 JPH131089 JZD131089 KIZ131089 KSV131089 LCR131089 LMN131089 LWJ131089 MGF131089 MQB131089 MZX131089 NJT131089 NTP131089 ODL131089 ONH131089 OXD131089 PGZ131089 PQV131089 QAR131089 QKN131089 QUJ131089 REF131089 ROB131089 RXX131089 SHT131089 SRP131089 TBL131089 TLH131089 TVD131089 UEZ131089 UOV131089 UYR131089 VIN131089 VSJ131089 WCF131089 WMB131089 WVX131089 P196625 JL196625 TH196625 ADD196625 AMZ196625 AWV196625 BGR196625 BQN196625 CAJ196625 CKF196625 CUB196625 DDX196625 DNT196625 DXP196625 EHL196625 ERH196625 FBD196625 FKZ196625 FUV196625 GER196625 GON196625 GYJ196625 HIF196625 HSB196625 IBX196625 ILT196625 IVP196625 JFL196625 JPH196625 JZD196625 KIZ196625 KSV196625 LCR196625 LMN196625 LWJ196625 MGF196625 MQB196625 MZX196625 NJT196625 NTP196625 ODL196625 ONH196625 OXD196625 PGZ196625 PQV196625 QAR196625 QKN196625 QUJ196625 REF196625 ROB196625 RXX196625 SHT196625 SRP196625 TBL196625 TLH196625 TVD196625 UEZ196625 UOV196625 UYR196625 VIN196625 VSJ196625 WCF196625 WMB196625 WVX196625 P262161 JL262161 TH262161 ADD262161 AMZ262161 AWV262161 BGR262161 BQN262161 CAJ262161 CKF262161 CUB262161 DDX262161 DNT262161 DXP262161 EHL262161 ERH262161 FBD262161 FKZ262161 FUV262161 GER262161 GON262161 GYJ262161 HIF262161 HSB262161 IBX262161 ILT262161 IVP262161 JFL262161 JPH262161 JZD262161 KIZ262161 KSV262161 LCR262161 LMN262161 LWJ262161 MGF262161 MQB262161 MZX262161 NJT262161 NTP262161 ODL262161 ONH262161 OXD262161 PGZ262161 PQV262161 QAR262161 QKN262161 QUJ262161 REF262161 ROB262161 RXX262161 SHT262161 SRP262161 TBL262161 TLH262161 TVD262161 UEZ262161 UOV262161 UYR262161 VIN262161 VSJ262161 WCF262161 WMB262161 WVX262161 P327697 JL327697 TH327697 ADD327697 AMZ327697 AWV327697 BGR327697 BQN327697 CAJ327697 CKF327697 CUB327697 DDX327697 DNT327697 DXP327697 EHL327697 ERH327697 FBD327697 FKZ327697 FUV327697 GER327697 GON327697 GYJ327697 HIF327697 HSB327697 IBX327697 ILT327697 IVP327697 JFL327697 JPH327697 JZD327697 KIZ327697 KSV327697 LCR327697 LMN327697 LWJ327697 MGF327697 MQB327697 MZX327697 NJT327697 NTP327697 ODL327697 ONH327697 OXD327697 PGZ327697 PQV327697 QAR327697 QKN327697 QUJ327697 REF327697 ROB327697 RXX327697 SHT327697 SRP327697 TBL327697 TLH327697 TVD327697 UEZ327697 UOV327697 UYR327697 VIN327697 VSJ327697 WCF327697 WMB327697 WVX327697 P393233 JL393233 TH393233 ADD393233 AMZ393233 AWV393233 BGR393233 BQN393233 CAJ393233 CKF393233 CUB393233 DDX393233 DNT393233 DXP393233 EHL393233 ERH393233 FBD393233 FKZ393233 FUV393233 GER393233 GON393233 GYJ393233 HIF393233 HSB393233 IBX393233 ILT393233 IVP393233 JFL393233 JPH393233 JZD393233 KIZ393233 KSV393233 LCR393233 LMN393233 LWJ393233 MGF393233 MQB393233 MZX393233 NJT393233 NTP393233 ODL393233 ONH393233 OXD393233 PGZ393233 PQV393233 QAR393233 QKN393233 QUJ393233 REF393233 ROB393233 RXX393233 SHT393233 SRP393233 TBL393233 TLH393233 TVD393233 UEZ393233 UOV393233 UYR393233 VIN393233 VSJ393233 WCF393233 WMB393233 WVX393233 P458769 JL458769 TH458769 ADD458769 AMZ458769 AWV458769 BGR458769 BQN458769 CAJ458769 CKF458769 CUB458769 DDX458769 DNT458769 DXP458769 EHL458769 ERH458769 FBD458769 FKZ458769 FUV458769 GER458769 GON458769 GYJ458769 HIF458769 HSB458769 IBX458769 ILT458769 IVP458769 JFL458769 JPH458769 JZD458769 KIZ458769 KSV458769 LCR458769 LMN458769 LWJ458769 MGF458769 MQB458769 MZX458769 NJT458769 NTP458769 ODL458769 ONH458769 OXD458769 PGZ458769 PQV458769 QAR458769 QKN458769 QUJ458769 REF458769 ROB458769 RXX458769 SHT458769 SRP458769 TBL458769 TLH458769 TVD458769 UEZ458769 UOV458769 UYR458769 VIN458769 VSJ458769 WCF458769 WMB458769 WVX458769 P524305 JL524305 TH524305 ADD524305 AMZ524305 AWV524305 BGR524305 BQN524305 CAJ524305 CKF524305 CUB524305 DDX524305 DNT524305 DXP524305 EHL524305 ERH524305 FBD524305 FKZ524305 FUV524305 GER524305 GON524305 GYJ524305 HIF524305 HSB524305 IBX524305 ILT524305 IVP524305 JFL524305 JPH524305 JZD524305 KIZ524305 KSV524305 LCR524305 LMN524305 LWJ524305 MGF524305 MQB524305 MZX524305 NJT524305 NTP524305 ODL524305 ONH524305 OXD524305 PGZ524305 PQV524305 QAR524305 QKN524305 QUJ524305 REF524305 ROB524305 RXX524305 SHT524305 SRP524305 TBL524305 TLH524305 TVD524305 UEZ524305 UOV524305 UYR524305 VIN524305 VSJ524305 WCF524305 WMB524305 WVX524305 P589841 JL589841 TH589841 ADD589841 AMZ589841 AWV589841 BGR589841 BQN589841 CAJ589841 CKF589841 CUB589841 DDX589841 DNT589841 DXP589841 EHL589841 ERH589841 FBD589841 FKZ589841 FUV589841 GER589841 GON589841 GYJ589841 HIF589841 HSB589841 IBX589841 ILT589841 IVP589841 JFL589841 JPH589841 JZD589841 KIZ589841 KSV589841 LCR589841 LMN589841 LWJ589841 MGF589841 MQB589841 MZX589841 NJT589841 NTP589841 ODL589841 ONH589841 OXD589841 PGZ589841 PQV589841 QAR589841 QKN589841 QUJ589841 REF589841 ROB589841 RXX589841 SHT589841 SRP589841 TBL589841 TLH589841 TVD589841 UEZ589841 UOV589841 UYR589841 VIN589841 VSJ589841 WCF589841 WMB589841 WVX589841 P655377 JL655377 TH655377 ADD655377 AMZ655377 AWV655377 BGR655377 BQN655377 CAJ655377 CKF655377 CUB655377 DDX655377 DNT655377 DXP655377 EHL655377 ERH655377 FBD655377 FKZ655377 FUV655377 GER655377 GON655377 GYJ655377 HIF655377 HSB655377 IBX655377 ILT655377 IVP655377 JFL655377 JPH655377 JZD655377 KIZ655377 KSV655377 LCR655377 LMN655377 LWJ655377 MGF655377 MQB655377 MZX655377 NJT655377 NTP655377 ODL655377 ONH655377 OXD655377 PGZ655377 PQV655377 QAR655377 QKN655377 QUJ655377 REF655377 ROB655377 RXX655377 SHT655377 SRP655377 TBL655377 TLH655377 TVD655377 UEZ655377 UOV655377 UYR655377 VIN655377 VSJ655377 WCF655377 WMB655377 WVX655377 P720913 JL720913 TH720913 ADD720913 AMZ720913 AWV720913 BGR720913 BQN720913 CAJ720913 CKF720913 CUB720913 DDX720913 DNT720913 DXP720913 EHL720913 ERH720913 FBD720913 FKZ720913 FUV720913 GER720913 GON720913 GYJ720913 HIF720913 HSB720913 IBX720913 ILT720913 IVP720913 JFL720913 JPH720913 JZD720913 KIZ720913 KSV720913 LCR720913 LMN720913 LWJ720913 MGF720913 MQB720913 MZX720913 NJT720913 NTP720913 ODL720913 ONH720913 OXD720913 PGZ720913 PQV720913 QAR720913 QKN720913 QUJ720913 REF720913 ROB720913 RXX720913 SHT720913 SRP720913 TBL720913 TLH720913 TVD720913 UEZ720913 UOV720913 UYR720913 VIN720913 VSJ720913 WCF720913 WMB720913 WVX720913 P786449 JL786449 TH786449 ADD786449 AMZ786449 AWV786449 BGR786449 BQN786449 CAJ786449 CKF786449 CUB786449 DDX786449 DNT786449 DXP786449 EHL786449 ERH786449 FBD786449 FKZ786449 FUV786449 GER786449 GON786449 GYJ786449 HIF786449 HSB786449 IBX786449 ILT786449 IVP786449 JFL786449 JPH786449 JZD786449 KIZ786449 KSV786449 LCR786449 LMN786449 LWJ786449 MGF786449 MQB786449 MZX786449 NJT786449 NTP786449 ODL786449 ONH786449 OXD786449 PGZ786449 PQV786449 QAR786449 QKN786449 QUJ786449 REF786449 ROB786449 RXX786449 SHT786449 SRP786449 TBL786449 TLH786449 TVD786449 UEZ786449 UOV786449 UYR786449 VIN786449 VSJ786449 WCF786449 WMB786449 WVX786449 P851985 JL851985 TH851985 ADD851985 AMZ851985 AWV851985 BGR851985 BQN851985 CAJ851985 CKF851985 CUB851985 DDX851985 DNT851985 DXP851985 EHL851985 ERH851985 FBD851985 FKZ851985 FUV851985 GER851985 GON851985 GYJ851985 HIF851985 HSB851985 IBX851985 ILT851985 IVP851985 JFL851985 JPH851985 JZD851985 KIZ851985 KSV851985 LCR851985 LMN851985 LWJ851985 MGF851985 MQB851985 MZX851985 NJT851985 NTP851985 ODL851985 ONH851985 OXD851985 PGZ851985 PQV851985 QAR851985 QKN851985 QUJ851985 REF851985 ROB851985 RXX851985 SHT851985 SRP851985 TBL851985 TLH851985 TVD851985 UEZ851985 UOV851985 UYR851985 VIN851985 VSJ851985 WCF851985 WMB851985 WVX851985 P917521 JL917521 TH917521 ADD917521 AMZ917521 AWV917521 BGR917521 BQN917521 CAJ917521 CKF917521 CUB917521 DDX917521 DNT917521 DXP917521 EHL917521 ERH917521 FBD917521 FKZ917521 FUV917521 GER917521 GON917521 GYJ917521 HIF917521 HSB917521 IBX917521 ILT917521 IVP917521 JFL917521 JPH917521 JZD917521 KIZ917521 KSV917521 LCR917521 LMN917521 LWJ917521 MGF917521 MQB917521 MZX917521 NJT917521 NTP917521 ODL917521 ONH917521 OXD917521 PGZ917521 PQV917521 QAR917521 QKN917521 QUJ917521 REF917521 ROB917521 RXX917521 SHT917521 SRP917521 TBL917521 TLH917521 TVD917521 UEZ917521 UOV917521 UYR917521 VIN917521 VSJ917521 WCF917521 WMB917521 WVX917521 P983057 JL983057 TH983057 ADD983057 AMZ983057 AWV983057 BGR983057 BQN983057 CAJ983057 CKF983057 CUB983057 DDX983057 DNT983057 DXP983057 EHL983057 ERH983057 FBD983057 FKZ983057 FUV983057 GER983057 GON983057 GYJ983057 HIF983057 HSB983057 IBX983057 ILT983057 IVP983057 JFL983057 JPH983057 JZD983057 KIZ983057 KSV983057 LCR983057 LMN983057 LWJ983057 MGF983057 MQB983057 MZX983057 NJT983057 NTP983057 ODL983057 ONH983057 OXD983057 PGZ983057 PQV983057 QAR983057 QKN983057 QUJ983057 REF983057 ROB983057 RXX983057 SHT983057 SRP983057 TBL983057 TLH983057 TVD983057 UEZ983057 UOV983057 UYR983057 VIN983057 VSJ983057 WCF983057 WMB983057 WVX983057 P38 JL38 TH38 ADD38 AMZ38 AWV38 BGR38 BQN38 CAJ38 CKF38 CUB38 DDX38 DNT38 DXP38 EHL38 ERH38 FBD38 FKZ38 FUV38 GER38 GON38 GYJ38 HIF38 HSB38 IBX38 ILT38 IVP38 JFL38 JPH38 JZD38 KIZ38 KSV38 LCR38 LMN38 LWJ38 MGF38 MQB38 MZX38 NJT38 NTP38 ODL38 ONH38 OXD38 PGZ38 PQV38 QAR38 QKN38 QUJ38 REF38 ROB38 RXX38 SHT38 SRP38 TBL38 TLH38 TVD38 UEZ38 UOV38 UYR38 VIN38 VSJ38 WCF38 WMB38 WVX38 P65574 JL65574 TH65574 ADD65574 AMZ65574 AWV65574 BGR65574 BQN65574 CAJ65574 CKF65574 CUB65574 DDX65574 DNT65574 DXP65574 EHL65574 ERH65574 FBD65574 FKZ65574 FUV65574 GER65574 GON65574 GYJ65574 HIF65574 HSB65574 IBX65574 ILT65574 IVP65574 JFL65574 JPH65574 JZD65574 KIZ65574 KSV65574 LCR65574 LMN65574 LWJ65574 MGF65574 MQB65574 MZX65574 NJT65574 NTP65574 ODL65574 ONH65574 OXD65574 PGZ65574 PQV65574 QAR65574 QKN65574 QUJ65574 REF65574 ROB65574 RXX65574 SHT65574 SRP65574 TBL65574 TLH65574 TVD65574 UEZ65574 UOV65574 UYR65574 VIN65574 VSJ65574 WCF65574 WMB65574 WVX65574 P131110 JL131110 TH131110 ADD131110 AMZ131110 AWV131110 BGR131110 BQN131110 CAJ131110 CKF131110 CUB131110 DDX131110 DNT131110 DXP131110 EHL131110 ERH131110 FBD131110 FKZ131110 FUV131110 GER131110 GON131110 GYJ131110 HIF131110 HSB131110 IBX131110 ILT131110 IVP131110 JFL131110 JPH131110 JZD131110 KIZ131110 KSV131110 LCR131110 LMN131110 LWJ131110 MGF131110 MQB131110 MZX131110 NJT131110 NTP131110 ODL131110 ONH131110 OXD131110 PGZ131110 PQV131110 QAR131110 QKN131110 QUJ131110 REF131110 ROB131110 RXX131110 SHT131110 SRP131110 TBL131110 TLH131110 TVD131110 UEZ131110 UOV131110 UYR131110 VIN131110 VSJ131110 WCF131110 WMB131110 WVX131110 P196646 JL196646 TH196646 ADD196646 AMZ196646 AWV196646 BGR196646 BQN196646 CAJ196646 CKF196646 CUB196646 DDX196646 DNT196646 DXP196646 EHL196646 ERH196646 FBD196646 FKZ196646 FUV196646 GER196646 GON196646 GYJ196646 HIF196646 HSB196646 IBX196646 ILT196646 IVP196646 JFL196646 JPH196646 JZD196646 KIZ196646 KSV196646 LCR196646 LMN196646 LWJ196646 MGF196646 MQB196646 MZX196646 NJT196646 NTP196646 ODL196646 ONH196646 OXD196646 PGZ196646 PQV196646 QAR196646 QKN196646 QUJ196646 REF196646 ROB196646 RXX196646 SHT196646 SRP196646 TBL196646 TLH196646 TVD196646 UEZ196646 UOV196646 UYR196646 VIN196646 VSJ196646 WCF196646 WMB196646 WVX196646 P262182 JL262182 TH262182 ADD262182 AMZ262182 AWV262182 BGR262182 BQN262182 CAJ262182 CKF262182 CUB262182 DDX262182 DNT262182 DXP262182 EHL262182 ERH262182 FBD262182 FKZ262182 FUV262182 GER262182 GON262182 GYJ262182 HIF262182 HSB262182 IBX262182 ILT262182 IVP262182 JFL262182 JPH262182 JZD262182 KIZ262182 KSV262182 LCR262182 LMN262182 LWJ262182 MGF262182 MQB262182 MZX262182 NJT262182 NTP262182 ODL262182 ONH262182 OXD262182 PGZ262182 PQV262182 QAR262182 QKN262182 QUJ262182 REF262182 ROB262182 RXX262182 SHT262182 SRP262182 TBL262182 TLH262182 TVD262182 UEZ262182 UOV262182 UYR262182 VIN262182 VSJ262182 WCF262182 WMB262182 WVX262182 P327718 JL327718 TH327718 ADD327718 AMZ327718 AWV327718 BGR327718 BQN327718 CAJ327718 CKF327718 CUB327718 DDX327718 DNT327718 DXP327718 EHL327718 ERH327718 FBD327718 FKZ327718 FUV327718 GER327718 GON327718 GYJ327718 HIF327718 HSB327718 IBX327718 ILT327718 IVP327718 JFL327718 JPH327718 JZD327718 KIZ327718 KSV327718 LCR327718 LMN327718 LWJ327718 MGF327718 MQB327718 MZX327718 NJT327718 NTP327718 ODL327718 ONH327718 OXD327718 PGZ327718 PQV327718 QAR327718 QKN327718 QUJ327718 REF327718 ROB327718 RXX327718 SHT327718 SRP327718 TBL327718 TLH327718 TVD327718 UEZ327718 UOV327718 UYR327718 VIN327718 VSJ327718 WCF327718 WMB327718 WVX327718 P393254 JL393254 TH393254 ADD393254 AMZ393254 AWV393254 BGR393254 BQN393254 CAJ393254 CKF393254 CUB393254 DDX393254 DNT393254 DXP393254 EHL393254 ERH393254 FBD393254 FKZ393254 FUV393254 GER393254 GON393254 GYJ393254 HIF393254 HSB393254 IBX393254 ILT393254 IVP393254 JFL393254 JPH393254 JZD393254 KIZ393254 KSV393254 LCR393254 LMN393254 LWJ393254 MGF393254 MQB393254 MZX393254 NJT393254 NTP393254 ODL393254 ONH393254 OXD393254 PGZ393254 PQV393254 QAR393254 QKN393254 QUJ393254 REF393254 ROB393254 RXX393254 SHT393254 SRP393254 TBL393254 TLH393254 TVD393254 UEZ393254 UOV393254 UYR393254 VIN393254 VSJ393254 WCF393254 WMB393254 WVX393254 P458790 JL458790 TH458790 ADD458790 AMZ458790 AWV458790 BGR458790 BQN458790 CAJ458790 CKF458790 CUB458790 DDX458790 DNT458790 DXP458790 EHL458790 ERH458790 FBD458790 FKZ458790 FUV458790 GER458790 GON458790 GYJ458790 HIF458790 HSB458790 IBX458790 ILT458790 IVP458790 JFL458790 JPH458790 JZD458790 KIZ458790 KSV458790 LCR458790 LMN458790 LWJ458790 MGF458790 MQB458790 MZX458790 NJT458790 NTP458790 ODL458790 ONH458790 OXD458790 PGZ458790 PQV458790 QAR458790 QKN458790 QUJ458790 REF458790 ROB458790 RXX458790 SHT458790 SRP458790 TBL458790 TLH458790 TVD458790 UEZ458790 UOV458790 UYR458790 VIN458790 VSJ458790 WCF458790 WMB458790 WVX458790 P524326 JL524326 TH524326 ADD524326 AMZ524326 AWV524326 BGR524326 BQN524326 CAJ524326 CKF524326 CUB524326 DDX524326 DNT524326 DXP524326 EHL524326 ERH524326 FBD524326 FKZ524326 FUV524326 GER524326 GON524326 GYJ524326 HIF524326 HSB524326 IBX524326 ILT524326 IVP524326 JFL524326 JPH524326 JZD524326 KIZ524326 KSV524326 LCR524326 LMN524326 LWJ524326 MGF524326 MQB524326 MZX524326 NJT524326 NTP524326 ODL524326 ONH524326 OXD524326 PGZ524326 PQV524326 QAR524326 QKN524326 QUJ524326 REF524326 ROB524326 RXX524326 SHT524326 SRP524326 TBL524326 TLH524326 TVD524326 UEZ524326 UOV524326 UYR524326 VIN524326 VSJ524326 WCF524326 WMB524326 WVX524326 P589862 JL589862 TH589862 ADD589862 AMZ589862 AWV589862 BGR589862 BQN589862 CAJ589862 CKF589862 CUB589862 DDX589862 DNT589862 DXP589862 EHL589862 ERH589862 FBD589862 FKZ589862 FUV589862 GER589862 GON589862 GYJ589862 HIF589862 HSB589862 IBX589862 ILT589862 IVP589862 JFL589862 JPH589862 JZD589862 KIZ589862 KSV589862 LCR589862 LMN589862 LWJ589862 MGF589862 MQB589862 MZX589862 NJT589862 NTP589862 ODL589862 ONH589862 OXD589862 PGZ589862 PQV589862 QAR589862 QKN589862 QUJ589862 REF589862 ROB589862 RXX589862 SHT589862 SRP589862 TBL589862 TLH589862 TVD589862 UEZ589862 UOV589862 UYR589862 VIN589862 VSJ589862 WCF589862 WMB589862 WVX589862 P655398 JL655398 TH655398 ADD655398 AMZ655398 AWV655398 BGR655398 BQN655398 CAJ655398 CKF655398 CUB655398 DDX655398 DNT655398 DXP655398 EHL655398 ERH655398 FBD655398 FKZ655398 FUV655398 GER655398 GON655398 GYJ655398 HIF655398 HSB655398 IBX655398 ILT655398 IVP655398 JFL655398 JPH655398 JZD655398 KIZ655398 KSV655398 LCR655398 LMN655398 LWJ655398 MGF655398 MQB655398 MZX655398 NJT655398 NTP655398 ODL655398 ONH655398 OXD655398 PGZ655398 PQV655398 QAR655398 QKN655398 QUJ655398 REF655398 ROB655398 RXX655398 SHT655398 SRP655398 TBL655398 TLH655398 TVD655398 UEZ655398 UOV655398 UYR655398 VIN655398 VSJ655398 WCF655398 WMB655398 WVX655398 P720934 JL720934 TH720934 ADD720934 AMZ720934 AWV720934 BGR720934 BQN720934 CAJ720934 CKF720934 CUB720934 DDX720934 DNT720934 DXP720934 EHL720934 ERH720934 FBD720934 FKZ720934 FUV720934 GER720934 GON720934 GYJ720934 HIF720934 HSB720934 IBX720934 ILT720934 IVP720934 JFL720934 JPH720934 JZD720934 KIZ720934 KSV720934 LCR720934 LMN720934 LWJ720934 MGF720934 MQB720934 MZX720934 NJT720934 NTP720934 ODL720934 ONH720934 OXD720934 PGZ720934 PQV720934 QAR720934 QKN720934 QUJ720934 REF720934 ROB720934 RXX720934 SHT720934 SRP720934 TBL720934 TLH720934 TVD720934 UEZ720934 UOV720934 UYR720934 VIN720934 VSJ720934 WCF720934 WMB720934 WVX720934 P786470 JL786470 TH786470 ADD786470 AMZ786470 AWV786470 BGR786470 BQN786470 CAJ786470 CKF786470 CUB786470 DDX786470 DNT786470 DXP786470 EHL786470 ERH786470 FBD786470 FKZ786470 FUV786470 GER786470 GON786470 GYJ786470 HIF786470 HSB786470 IBX786470 ILT786470 IVP786470 JFL786470 JPH786470 JZD786470 KIZ786470 KSV786470 LCR786470 LMN786470 LWJ786470 MGF786470 MQB786470 MZX786470 NJT786470 NTP786470 ODL786470 ONH786470 OXD786470 PGZ786470 PQV786470 QAR786470 QKN786470 QUJ786470 REF786470 ROB786470 RXX786470 SHT786470 SRP786470 TBL786470 TLH786470 TVD786470 UEZ786470 UOV786470 UYR786470 VIN786470 VSJ786470 WCF786470 WMB786470 WVX786470 P852006 JL852006 TH852006 ADD852006 AMZ852006 AWV852006 BGR852006 BQN852006 CAJ852006 CKF852006 CUB852006 DDX852006 DNT852006 DXP852006 EHL852006 ERH852006 FBD852006 FKZ852006 FUV852006 GER852006 GON852006 GYJ852006 HIF852006 HSB852006 IBX852006 ILT852006 IVP852006 JFL852006 JPH852006 JZD852006 KIZ852006 KSV852006 LCR852006 LMN852006 LWJ852006 MGF852006 MQB852006 MZX852006 NJT852006 NTP852006 ODL852006 ONH852006 OXD852006 PGZ852006 PQV852006 QAR852006 QKN852006 QUJ852006 REF852006 ROB852006 RXX852006 SHT852006 SRP852006 TBL852006 TLH852006 TVD852006 UEZ852006 UOV852006 UYR852006 VIN852006 VSJ852006 WCF852006 WMB852006 WVX852006 P917542 JL917542 TH917542 ADD917542 AMZ917542 AWV917542 BGR917542 BQN917542 CAJ917542 CKF917542 CUB917542 DDX917542 DNT917542 DXP917542 EHL917542 ERH917542 FBD917542 FKZ917542 FUV917542 GER917542 GON917542 GYJ917542 HIF917542 HSB917542 IBX917542 ILT917542 IVP917542 JFL917542 JPH917542 JZD917542 KIZ917542 KSV917542 LCR917542 LMN917542 LWJ917542 MGF917542 MQB917542 MZX917542 NJT917542 NTP917542 ODL917542 ONH917542 OXD917542 PGZ917542 PQV917542 QAR917542 QKN917542 QUJ917542 REF917542 ROB917542 RXX917542 SHT917542 SRP917542 TBL917542 TLH917542 TVD917542 UEZ917542 UOV917542 UYR917542 VIN917542 VSJ917542 WCF917542 WMB917542 WVX917542 P983078 JL983078 TH983078 ADD983078 AMZ983078 AWV983078 BGR983078 BQN983078 CAJ983078 CKF983078 CUB983078 DDX983078 DNT983078 DXP983078 EHL983078 ERH983078 FBD983078 FKZ983078 FUV983078 GER983078 GON983078 GYJ983078 HIF983078 HSB983078 IBX983078 ILT983078 IVP983078 JFL983078 JPH983078 JZD983078 KIZ983078 KSV983078 LCR983078 LMN983078 LWJ983078 MGF983078 MQB983078 MZX983078 NJT983078 NTP983078 ODL983078 ONH983078 OXD983078 PGZ983078 PQV983078 QAR983078 QKN983078 QUJ983078 REF983078 ROB983078 RXX983078 SHT983078 SRP983078 TBL983078 TLH983078 TVD983078 UEZ983078 UOV983078 UYR983078 VIN983078 VSJ983078 WCF983078 WMB983078 WVX983078 P35 JL35 TH35 ADD35 AMZ35 AWV35 BGR35 BQN35 CAJ35 CKF35 CUB35 DDX35 DNT35 DXP35 EHL35 ERH35 FBD35 FKZ35 FUV35 GER35 GON35 GYJ35 HIF35 HSB35 IBX35 ILT35 IVP35 JFL35 JPH35 JZD35 KIZ35 KSV35 LCR35 LMN35 LWJ35 MGF35 MQB35 MZX35 NJT35 NTP35 ODL35 ONH35 OXD35 PGZ35 PQV35 QAR35 QKN35 QUJ35 REF35 ROB35 RXX35 SHT35 SRP35 TBL35 TLH35 TVD35 UEZ35 UOV35 UYR35 VIN35 VSJ35 WCF35 WMB35 WVX35 P65571 JL65571 TH65571 ADD65571 AMZ65571 AWV65571 BGR65571 BQN65571 CAJ65571 CKF65571 CUB65571 DDX65571 DNT65571 DXP65571 EHL65571 ERH65571 FBD65571 FKZ65571 FUV65571 GER65571 GON65571 GYJ65571 HIF65571 HSB65571 IBX65571 ILT65571 IVP65571 JFL65571 JPH65571 JZD65571 KIZ65571 KSV65571 LCR65571 LMN65571 LWJ65571 MGF65571 MQB65571 MZX65571 NJT65571 NTP65571 ODL65571 ONH65571 OXD65571 PGZ65571 PQV65571 QAR65571 QKN65571 QUJ65571 REF65571 ROB65571 RXX65571 SHT65571 SRP65571 TBL65571 TLH65571 TVD65571 UEZ65571 UOV65571 UYR65571 VIN65571 VSJ65571 WCF65571 WMB65571 WVX65571 P131107 JL131107 TH131107 ADD131107 AMZ131107 AWV131107 BGR131107 BQN131107 CAJ131107 CKF131107 CUB131107 DDX131107 DNT131107 DXP131107 EHL131107 ERH131107 FBD131107 FKZ131107 FUV131107 GER131107 GON131107 GYJ131107 HIF131107 HSB131107 IBX131107 ILT131107 IVP131107 JFL131107 JPH131107 JZD131107 KIZ131107 KSV131107 LCR131107 LMN131107 LWJ131107 MGF131107 MQB131107 MZX131107 NJT131107 NTP131107 ODL131107 ONH131107 OXD131107 PGZ131107 PQV131107 QAR131107 QKN131107 QUJ131107 REF131107 ROB131107 RXX131107 SHT131107 SRP131107 TBL131107 TLH131107 TVD131107 UEZ131107 UOV131107 UYR131107 VIN131107 VSJ131107 WCF131107 WMB131107 WVX131107 P196643 JL196643 TH196643 ADD196643 AMZ196643 AWV196643 BGR196643 BQN196643 CAJ196643 CKF196643 CUB196643 DDX196643 DNT196643 DXP196643 EHL196643 ERH196643 FBD196643 FKZ196643 FUV196643 GER196643 GON196643 GYJ196643 HIF196643 HSB196643 IBX196643 ILT196643 IVP196643 JFL196643 JPH196643 JZD196643 KIZ196643 KSV196643 LCR196643 LMN196643 LWJ196643 MGF196643 MQB196643 MZX196643 NJT196643 NTP196643 ODL196643 ONH196643 OXD196643 PGZ196643 PQV196643 QAR196643 QKN196643 QUJ196643 REF196643 ROB196643 RXX196643 SHT196643 SRP196643 TBL196643 TLH196643 TVD196643 UEZ196643 UOV196643 UYR196643 VIN196643 VSJ196643 WCF196643 WMB196643 WVX196643 P262179 JL262179 TH262179 ADD262179 AMZ262179 AWV262179 BGR262179 BQN262179 CAJ262179 CKF262179 CUB262179 DDX262179 DNT262179 DXP262179 EHL262179 ERH262179 FBD262179 FKZ262179 FUV262179 GER262179 GON262179 GYJ262179 HIF262179 HSB262179 IBX262179 ILT262179 IVP262179 JFL262179 JPH262179 JZD262179 KIZ262179 KSV262179 LCR262179 LMN262179 LWJ262179 MGF262179 MQB262179 MZX262179 NJT262179 NTP262179 ODL262179 ONH262179 OXD262179 PGZ262179 PQV262179 QAR262179 QKN262179 QUJ262179 REF262179 ROB262179 RXX262179 SHT262179 SRP262179 TBL262179 TLH262179 TVD262179 UEZ262179 UOV262179 UYR262179 VIN262179 VSJ262179 WCF262179 WMB262179 WVX262179 P327715 JL327715 TH327715 ADD327715 AMZ327715 AWV327715 BGR327715 BQN327715 CAJ327715 CKF327715 CUB327715 DDX327715 DNT327715 DXP327715 EHL327715 ERH327715 FBD327715 FKZ327715 FUV327715 GER327715 GON327715 GYJ327715 HIF327715 HSB327715 IBX327715 ILT327715 IVP327715 JFL327715 JPH327715 JZD327715 KIZ327715 KSV327715 LCR327715 LMN327715 LWJ327715 MGF327715 MQB327715 MZX327715 NJT327715 NTP327715 ODL327715 ONH327715 OXD327715 PGZ327715 PQV327715 QAR327715 QKN327715 QUJ327715 REF327715 ROB327715 RXX327715 SHT327715 SRP327715 TBL327715 TLH327715 TVD327715 UEZ327715 UOV327715 UYR327715 VIN327715 VSJ327715 WCF327715 WMB327715 WVX327715 P393251 JL393251 TH393251 ADD393251 AMZ393251 AWV393251 BGR393251 BQN393251 CAJ393251 CKF393251 CUB393251 DDX393251 DNT393251 DXP393251 EHL393251 ERH393251 FBD393251 FKZ393251 FUV393251 GER393251 GON393251 GYJ393251 HIF393251 HSB393251 IBX393251 ILT393251 IVP393251 JFL393251 JPH393251 JZD393251 KIZ393251 KSV393251 LCR393251 LMN393251 LWJ393251 MGF393251 MQB393251 MZX393251 NJT393251 NTP393251 ODL393251 ONH393251 OXD393251 PGZ393251 PQV393251 QAR393251 QKN393251 QUJ393251 REF393251 ROB393251 RXX393251 SHT393251 SRP393251 TBL393251 TLH393251 TVD393251 UEZ393251 UOV393251 UYR393251 VIN393251 VSJ393251 WCF393251 WMB393251 WVX393251 P458787 JL458787 TH458787 ADD458787 AMZ458787 AWV458787 BGR458787 BQN458787 CAJ458787 CKF458787 CUB458787 DDX458787 DNT458787 DXP458787 EHL458787 ERH458787 FBD458787 FKZ458787 FUV458787 GER458787 GON458787 GYJ458787 HIF458787 HSB458787 IBX458787 ILT458787 IVP458787 JFL458787 JPH458787 JZD458787 KIZ458787 KSV458787 LCR458787 LMN458787 LWJ458787 MGF458787 MQB458787 MZX458787 NJT458787 NTP458787 ODL458787 ONH458787 OXD458787 PGZ458787 PQV458787 QAR458787 QKN458787 QUJ458787 REF458787 ROB458787 RXX458787 SHT458787 SRP458787 TBL458787 TLH458787 TVD458787 UEZ458787 UOV458787 UYR458787 VIN458787 VSJ458787 WCF458787 WMB458787 WVX458787 P524323 JL524323 TH524323 ADD524323 AMZ524323 AWV524323 BGR524323 BQN524323 CAJ524323 CKF524323 CUB524323 DDX524323 DNT524323 DXP524323 EHL524323 ERH524323 FBD524323 FKZ524323 FUV524323 GER524323 GON524323 GYJ524323 HIF524323 HSB524323 IBX524323 ILT524323 IVP524323 JFL524323 JPH524323 JZD524323 KIZ524323 KSV524323 LCR524323 LMN524323 LWJ524323 MGF524323 MQB524323 MZX524323 NJT524323 NTP524323 ODL524323 ONH524323 OXD524323 PGZ524323 PQV524323 QAR524323 QKN524323 QUJ524323 REF524323 ROB524323 RXX524323 SHT524323 SRP524323 TBL524323 TLH524323 TVD524323 UEZ524323 UOV524323 UYR524323 VIN524323 VSJ524323 WCF524323 WMB524323 WVX524323 P589859 JL589859 TH589859 ADD589859 AMZ589859 AWV589859 BGR589859 BQN589859 CAJ589859 CKF589859 CUB589859 DDX589859 DNT589859 DXP589859 EHL589859 ERH589859 FBD589859 FKZ589859 FUV589859 GER589859 GON589859 GYJ589859 HIF589859 HSB589859 IBX589859 ILT589859 IVP589859 JFL589859 JPH589859 JZD589859 KIZ589859 KSV589859 LCR589859 LMN589859 LWJ589859 MGF589859 MQB589859 MZX589859 NJT589859 NTP589859 ODL589859 ONH589859 OXD589859 PGZ589859 PQV589859 QAR589859 QKN589859 QUJ589859 REF589859 ROB589859 RXX589859 SHT589859 SRP589859 TBL589859 TLH589859 TVD589859 UEZ589859 UOV589859 UYR589859 VIN589859 VSJ589859 WCF589859 WMB589859 WVX589859 P655395 JL655395 TH655395 ADD655395 AMZ655395 AWV655395 BGR655395 BQN655395 CAJ655395 CKF655395 CUB655395 DDX655395 DNT655395 DXP655395 EHL655395 ERH655395 FBD655395 FKZ655395 FUV655395 GER655395 GON655395 GYJ655395 HIF655395 HSB655395 IBX655395 ILT655395 IVP655395 JFL655395 JPH655395 JZD655395 KIZ655395 KSV655395 LCR655395 LMN655395 LWJ655395 MGF655395 MQB655395 MZX655395 NJT655395 NTP655395 ODL655395 ONH655395 OXD655395 PGZ655395 PQV655395 QAR655395 QKN655395 QUJ655395 REF655395 ROB655395 RXX655395 SHT655395 SRP655395 TBL655395 TLH655395 TVD655395 UEZ655395 UOV655395 UYR655395 VIN655395 VSJ655395 WCF655395 WMB655395 WVX655395 P720931 JL720931 TH720931 ADD720931 AMZ720931 AWV720931 BGR720931 BQN720931 CAJ720931 CKF720931 CUB720931 DDX720931 DNT720931 DXP720931 EHL720931 ERH720931 FBD720931 FKZ720931 FUV720931 GER720931 GON720931 GYJ720931 HIF720931 HSB720931 IBX720931 ILT720931 IVP720931 JFL720931 JPH720931 JZD720931 KIZ720931 KSV720931 LCR720931 LMN720931 LWJ720931 MGF720931 MQB720931 MZX720931 NJT720931 NTP720931 ODL720931 ONH720931 OXD720931 PGZ720931 PQV720931 QAR720931 QKN720931 QUJ720931 REF720931 ROB720931 RXX720931 SHT720931 SRP720931 TBL720931 TLH720931 TVD720931 UEZ720931 UOV720931 UYR720931 VIN720931 VSJ720931 WCF720931 WMB720931 WVX720931 P786467 JL786467 TH786467 ADD786467 AMZ786467 AWV786467 BGR786467 BQN786467 CAJ786467 CKF786467 CUB786467 DDX786467 DNT786467 DXP786467 EHL786467 ERH786467 FBD786467 FKZ786467 FUV786467 GER786467 GON786467 GYJ786467 HIF786467 HSB786467 IBX786467 ILT786467 IVP786467 JFL786467 JPH786467 JZD786467 KIZ786467 KSV786467 LCR786467 LMN786467 LWJ786467 MGF786467 MQB786467 MZX786467 NJT786467 NTP786467 ODL786467 ONH786467 OXD786467 PGZ786467 PQV786467 QAR786467 QKN786467 QUJ786467 REF786467 ROB786467 RXX786467 SHT786467 SRP786467 TBL786467 TLH786467 TVD786467 UEZ786467 UOV786467 UYR786467 VIN786467 VSJ786467 WCF786467 WMB786467 WVX786467 P852003 JL852003 TH852003 ADD852003 AMZ852003 AWV852003 BGR852003 BQN852003 CAJ852003 CKF852003 CUB852003 DDX852003 DNT852003 DXP852003 EHL852003 ERH852003 FBD852003 FKZ852003 FUV852003 GER852003 GON852003 GYJ852003 HIF852003 HSB852003 IBX852003 ILT852003 IVP852003 JFL852003 JPH852003 JZD852003 KIZ852003 KSV852003 LCR852003 LMN852003 LWJ852003 MGF852003 MQB852003 MZX852003 NJT852003 NTP852003 ODL852003 ONH852003 OXD852003 PGZ852003 PQV852003 QAR852003 QKN852003 QUJ852003 REF852003 ROB852003 RXX852003 SHT852003 SRP852003 TBL852003 TLH852003 TVD852003 UEZ852003 UOV852003 UYR852003 VIN852003 VSJ852003 WCF852003 WMB852003 WVX852003 P917539 JL917539 TH917539 ADD917539 AMZ917539 AWV917539 BGR917539 BQN917539 CAJ917539 CKF917539 CUB917539 DDX917539 DNT917539 DXP917539 EHL917539 ERH917539 FBD917539 FKZ917539 FUV917539 GER917539 GON917539 GYJ917539 HIF917539 HSB917539 IBX917539 ILT917539 IVP917539 JFL917539 JPH917539 JZD917539 KIZ917539 KSV917539 LCR917539 LMN917539 LWJ917539 MGF917539 MQB917539 MZX917539 NJT917539 NTP917539 ODL917539 ONH917539 OXD917539 PGZ917539 PQV917539 QAR917539 QKN917539 QUJ917539 REF917539 ROB917539 RXX917539 SHT917539 SRP917539 TBL917539 TLH917539 TVD917539 UEZ917539 UOV917539 UYR917539 VIN917539 VSJ917539 WCF917539 WMB917539 WVX917539 P983075 JL983075 TH983075 ADD983075 AMZ983075 AWV983075 BGR983075 BQN983075 CAJ983075 CKF983075 CUB983075 DDX983075 DNT983075 DXP983075 EHL983075 ERH983075 FBD983075 FKZ983075 FUV983075 GER983075 GON983075 GYJ983075 HIF983075 HSB983075 IBX983075 ILT983075 IVP983075 JFL983075 JPH983075 JZD983075 KIZ983075 KSV983075 LCR983075 LMN983075 LWJ983075 MGF983075 MQB983075 MZX983075 NJT983075 NTP983075 ODL983075 ONH983075 OXD983075 PGZ983075 PQV983075 QAR983075 QKN983075 QUJ983075 REF983075 ROB983075 RXX983075 SHT983075 SRP983075 TBL983075 TLH983075 TVD983075 UEZ983075 UOV983075 UYR983075 VIN983075 VSJ983075 WCF983075 WMB983075 WVX983075 P32 JL32 TH32 ADD32 AMZ32 AWV32 BGR32 BQN32 CAJ32 CKF32 CUB32 DDX32 DNT32 DXP32 EHL32 ERH32 FBD32 FKZ32 FUV32 GER32 GON32 GYJ32 HIF32 HSB32 IBX32 ILT32 IVP32 JFL32 JPH32 JZD32 KIZ32 KSV32 LCR32 LMN32 LWJ32 MGF32 MQB32 MZX32 NJT32 NTP32 ODL32 ONH32 OXD32 PGZ32 PQV32 QAR32 QKN32 QUJ32 REF32 ROB32 RXX32 SHT32 SRP32 TBL32 TLH32 TVD32 UEZ32 UOV32 UYR32 VIN32 VSJ32 WCF32 WMB32 WVX32 P65568 JL65568 TH65568 ADD65568 AMZ65568 AWV65568 BGR65568 BQN65568 CAJ65568 CKF65568 CUB65568 DDX65568 DNT65568 DXP65568 EHL65568 ERH65568 FBD65568 FKZ65568 FUV65568 GER65568 GON65568 GYJ65568 HIF65568 HSB65568 IBX65568 ILT65568 IVP65568 JFL65568 JPH65568 JZD65568 KIZ65568 KSV65568 LCR65568 LMN65568 LWJ65568 MGF65568 MQB65568 MZX65568 NJT65568 NTP65568 ODL65568 ONH65568 OXD65568 PGZ65568 PQV65568 QAR65568 QKN65568 QUJ65568 REF65568 ROB65568 RXX65568 SHT65568 SRP65568 TBL65568 TLH65568 TVD65568 UEZ65568 UOV65568 UYR65568 VIN65568 VSJ65568 WCF65568 WMB65568 WVX65568 P131104 JL131104 TH131104 ADD131104 AMZ131104 AWV131104 BGR131104 BQN131104 CAJ131104 CKF131104 CUB131104 DDX131104 DNT131104 DXP131104 EHL131104 ERH131104 FBD131104 FKZ131104 FUV131104 GER131104 GON131104 GYJ131104 HIF131104 HSB131104 IBX131104 ILT131104 IVP131104 JFL131104 JPH131104 JZD131104 KIZ131104 KSV131104 LCR131104 LMN131104 LWJ131104 MGF131104 MQB131104 MZX131104 NJT131104 NTP131104 ODL131104 ONH131104 OXD131104 PGZ131104 PQV131104 QAR131104 QKN131104 QUJ131104 REF131104 ROB131104 RXX131104 SHT131104 SRP131104 TBL131104 TLH131104 TVD131104 UEZ131104 UOV131104 UYR131104 VIN131104 VSJ131104 WCF131104 WMB131104 WVX131104 P196640 JL196640 TH196640 ADD196640 AMZ196640 AWV196640 BGR196640 BQN196640 CAJ196640 CKF196640 CUB196640 DDX196640 DNT196640 DXP196640 EHL196640 ERH196640 FBD196640 FKZ196640 FUV196640 GER196640 GON196640 GYJ196640 HIF196640 HSB196640 IBX196640 ILT196640 IVP196640 JFL196640 JPH196640 JZD196640 KIZ196640 KSV196640 LCR196640 LMN196640 LWJ196640 MGF196640 MQB196640 MZX196640 NJT196640 NTP196640 ODL196640 ONH196640 OXD196640 PGZ196640 PQV196640 QAR196640 QKN196640 QUJ196640 REF196640 ROB196640 RXX196640 SHT196640 SRP196640 TBL196640 TLH196640 TVD196640 UEZ196640 UOV196640 UYR196640 VIN196640 VSJ196640 WCF196640 WMB196640 WVX196640 P262176 JL262176 TH262176 ADD262176 AMZ262176 AWV262176 BGR262176 BQN262176 CAJ262176 CKF262176 CUB262176 DDX262176 DNT262176 DXP262176 EHL262176 ERH262176 FBD262176 FKZ262176 FUV262176 GER262176 GON262176 GYJ262176 HIF262176 HSB262176 IBX262176 ILT262176 IVP262176 JFL262176 JPH262176 JZD262176 KIZ262176 KSV262176 LCR262176 LMN262176 LWJ262176 MGF262176 MQB262176 MZX262176 NJT262176 NTP262176 ODL262176 ONH262176 OXD262176 PGZ262176 PQV262176 QAR262176 QKN262176 QUJ262176 REF262176 ROB262176 RXX262176 SHT262176 SRP262176 TBL262176 TLH262176 TVD262176 UEZ262176 UOV262176 UYR262176 VIN262176 VSJ262176 WCF262176 WMB262176 WVX262176 P327712 JL327712 TH327712 ADD327712 AMZ327712 AWV327712 BGR327712 BQN327712 CAJ327712 CKF327712 CUB327712 DDX327712 DNT327712 DXP327712 EHL327712 ERH327712 FBD327712 FKZ327712 FUV327712 GER327712 GON327712 GYJ327712 HIF327712 HSB327712 IBX327712 ILT327712 IVP327712 JFL327712 JPH327712 JZD327712 KIZ327712 KSV327712 LCR327712 LMN327712 LWJ327712 MGF327712 MQB327712 MZX327712 NJT327712 NTP327712 ODL327712 ONH327712 OXD327712 PGZ327712 PQV327712 QAR327712 QKN327712 QUJ327712 REF327712 ROB327712 RXX327712 SHT327712 SRP327712 TBL327712 TLH327712 TVD327712 UEZ327712 UOV327712 UYR327712 VIN327712 VSJ327712 WCF327712 WMB327712 WVX327712 P393248 JL393248 TH393248 ADD393248 AMZ393248 AWV393248 BGR393248 BQN393248 CAJ393248 CKF393248 CUB393248 DDX393248 DNT393248 DXP393248 EHL393248 ERH393248 FBD393248 FKZ393248 FUV393248 GER393248 GON393248 GYJ393248 HIF393248 HSB393248 IBX393248 ILT393248 IVP393248 JFL393248 JPH393248 JZD393248 KIZ393248 KSV393248 LCR393248 LMN393248 LWJ393248 MGF393248 MQB393248 MZX393248 NJT393248 NTP393248 ODL393248 ONH393248 OXD393248 PGZ393248 PQV393248 QAR393248 QKN393248 QUJ393248 REF393248 ROB393248 RXX393248 SHT393248 SRP393248 TBL393248 TLH393248 TVD393248 UEZ393248 UOV393248 UYR393248 VIN393248 VSJ393248 WCF393248 WMB393248 WVX393248 P458784 JL458784 TH458784 ADD458784 AMZ458784 AWV458784 BGR458784 BQN458784 CAJ458784 CKF458784 CUB458784 DDX458784 DNT458784 DXP458784 EHL458784 ERH458784 FBD458784 FKZ458784 FUV458784 GER458784 GON458784 GYJ458784 HIF458784 HSB458784 IBX458784 ILT458784 IVP458784 JFL458784 JPH458784 JZD458784 KIZ458784 KSV458784 LCR458784 LMN458784 LWJ458784 MGF458784 MQB458784 MZX458784 NJT458784 NTP458784 ODL458784 ONH458784 OXD458784 PGZ458784 PQV458784 QAR458784 QKN458784 QUJ458784 REF458784 ROB458784 RXX458784 SHT458784 SRP458784 TBL458784 TLH458784 TVD458784 UEZ458784 UOV458784 UYR458784 VIN458784 VSJ458784 WCF458784 WMB458784 WVX458784 P524320 JL524320 TH524320 ADD524320 AMZ524320 AWV524320 BGR524320 BQN524320 CAJ524320 CKF524320 CUB524320 DDX524320 DNT524320 DXP524320 EHL524320 ERH524320 FBD524320 FKZ524320 FUV524320 GER524320 GON524320 GYJ524320 HIF524320 HSB524320 IBX524320 ILT524320 IVP524320 JFL524320 JPH524320 JZD524320 KIZ524320 KSV524320 LCR524320 LMN524320 LWJ524320 MGF524320 MQB524320 MZX524320 NJT524320 NTP524320 ODL524320 ONH524320 OXD524320 PGZ524320 PQV524320 QAR524320 QKN524320 QUJ524320 REF524320 ROB524320 RXX524320 SHT524320 SRP524320 TBL524320 TLH524320 TVD524320 UEZ524320 UOV524320 UYR524320 VIN524320 VSJ524320 WCF524320 WMB524320 WVX524320 P589856 JL589856 TH589856 ADD589856 AMZ589856 AWV589856 BGR589856 BQN589856 CAJ589856 CKF589856 CUB589856 DDX589856 DNT589856 DXP589856 EHL589856 ERH589856 FBD589856 FKZ589856 FUV589856 GER589856 GON589856 GYJ589856 HIF589856 HSB589856 IBX589856 ILT589856 IVP589856 JFL589856 JPH589856 JZD589856 KIZ589856 KSV589856 LCR589856 LMN589856 LWJ589856 MGF589856 MQB589856 MZX589856 NJT589856 NTP589856 ODL589856 ONH589856 OXD589856 PGZ589856 PQV589856 QAR589856 QKN589856 QUJ589856 REF589856 ROB589856 RXX589856 SHT589856 SRP589856 TBL589856 TLH589856 TVD589856 UEZ589856 UOV589856 UYR589856 VIN589856 VSJ589856 WCF589856 WMB589856 WVX589856 P655392 JL655392 TH655392 ADD655392 AMZ655392 AWV655392 BGR655392 BQN655392 CAJ655392 CKF655392 CUB655392 DDX655392 DNT655392 DXP655392 EHL655392 ERH655392 FBD655392 FKZ655392 FUV655392 GER655392 GON655392 GYJ655392 HIF655392 HSB655392 IBX655392 ILT655392 IVP655392 JFL655392 JPH655392 JZD655392 KIZ655392 KSV655392 LCR655392 LMN655392 LWJ655392 MGF655392 MQB655392 MZX655392 NJT655392 NTP655392 ODL655392 ONH655392 OXD655392 PGZ655392 PQV655392 QAR655392 QKN655392 QUJ655392 REF655392 ROB655392 RXX655392 SHT655392 SRP655392 TBL655392 TLH655392 TVD655392 UEZ655392 UOV655392 UYR655392 VIN655392 VSJ655392 WCF655392 WMB655392 WVX655392 P720928 JL720928 TH720928 ADD720928 AMZ720928 AWV720928 BGR720928 BQN720928 CAJ720928 CKF720928 CUB720928 DDX720928 DNT720928 DXP720928 EHL720928 ERH720928 FBD720928 FKZ720928 FUV720928 GER720928 GON720928 GYJ720928 HIF720928 HSB720928 IBX720928 ILT720928 IVP720928 JFL720928 JPH720928 JZD720928 KIZ720928 KSV720928 LCR720928 LMN720928 LWJ720928 MGF720928 MQB720928 MZX720928 NJT720928 NTP720928 ODL720928 ONH720928 OXD720928 PGZ720928 PQV720928 QAR720928 QKN720928 QUJ720928 REF720928 ROB720928 RXX720928 SHT720928 SRP720928 TBL720928 TLH720928 TVD720928 UEZ720928 UOV720928 UYR720928 VIN720928 VSJ720928 WCF720928 WMB720928 WVX720928 P786464 JL786464 TH786464 ADD786464 AMZ786464 AWV786464 BGR786464 BQN786464 CAJ786464 CKF786464 CUB786464 DDX786464 DNT786464 DXP786464 EHL786464 ERH786464 FBD786464 FKZ786464 FUV786464 GER786464 GON786464 GYJ786464 HIF786464 HSB786464 IBX786464 ILT786464 IVP786464 JFL786464 JPH786464 JZD786464 KIZ786464 KSV786464 LCR786464 LMN786464 LWJ786464 MGF786464 MQB786464 MZX786464 NJT786464 NTP786464 ODL786464 ONH786464 OXD786464 PGZ786464 PQV786464 QAR786464 QKN786464 QUJ786464 REF786464 ROB786464 RXX786464 SHT786464 SRP786464 TBL786464 TLH786464 TVD786464 UEZ786464 UOV786464 UYR786464 VIN786464 VSJ786464 WCF786464 WMB786464 WVX786464 P852000 JL852000 TH852000 ADD852000 AMZ852000 AWV852000 BGR852000 BQN852000 CAJ852000 CKF852000 CUB852000 DDX852000 DNT852000 DXP852000 EHL852000 ERH852000 FBD852000 FKZ852000 FUV852000 GER852000 GON852000 GYJ852000 HIF852000 HSB852000 IBX852000 ILT852000 IVP852000 JFL852000 JPH852000 JZD852000 KIZ852000 KSV852000 LCR852000 LMN852000 LWJ852000 MGF852000 MQB852000 MZX852000 NJT852000 NTP852000 ODL852000 ONH852000 OXD852000 PGZ852000 PQV852000 QAR852000 QKN852000 QUJ852000 REF852000 ROB852000 RXX852000 SHT852000 SRP852000 TBL852000 TLH852000 TVD852000 UEZ852000 UOV852000 UYR852000 VIN852000 VSJ852000 WCF852000 WMB852000 WVX852000 P917536 JL917536 TH917536 ADD917536 AMZ917536 AWV917536 BGR917536 BQN917536 CAJ917536 CKF917536 CUB917536 DDX917536 DNT917536 DXP917536 EHL917536 ERH917536 FBD917536 FKZ917536 FUV917536 GER917536 GON917536 GYJ917536 HIF917536 HSB917536 IBX917536 ILT917536 IVP917536 JFL917536 JPH917536 JZD917536 KIZ917536 KSV917536 LCR917536 LMN917536 LWJ917536 MGF917536 MQB917536 MZX917536 NJT917536 NTP917536 ODL917536 ONH917536 OXD917536 PGZ917536 PQV917536 QAR917536 QKN917536 QUJ917536 REF917536 ROB917536 RXX917536 SHT917536 SRP917536 TBL917536 TLH917536 TVD917536 UEZ917536 UOV917536 UYR917536 VIN917536 VSJ917536 WCF917536 WMB917536 WVX917536 P983072 JL983072 TH983072 ADD983072 AMZ983072 AWV983072 BGR983072 BQN983072 CAJ983072 CKF983072 CUB983072 DDX983072 DNT983072 DXP983072 EHL983072 ERH983072 FBD983072 FKZ983072 FUV983072 GER983072 GON983072 GYJ983072 HIF983072 HSB983072 IBX983072 ILT983072 IVP983072 JFL983072 JPH983072 JZD983072 KIZ983072 KSV983072 LCR983072 LMN983072 LWJ983072 MGF983072 MQB983072 MZX983072 NJT983072 NTP983072 ODL983072 ONH983072 OXD983072 PGZ983072 PQV983072 QAR983072 QKN983072 QUJ983072 REF983072 ROB983072 RXX983072 SHT983072 SRP983072 TBL983072 TLH983072 TVD983072 UEZ983072 UOV983072 UYR983072 VIN983072 VSJ983072 WCF983072 WMB983072 WVX983072 P29 JL29 TH29 ADD29 AMZ29 AWV29 BGR29 BQN29 CAJ29 CKF29 CUB29 DDX29 DNT29 DXP29 EHL29 ERH29 FBD29 FKZ29 FUV29 GER29 GON29 GYJ29 HIF29 HSB29 IBX29 ILT29 IVP29 JFL29 JPH29 JZD29 KIZ29 KSV29 LCR29 LMN29 LWJ29 MGF29 MQB29 MZX29 NJT29 NTP29 ODL29 ONH29 OXD29 PGZ29 PQV29 QAR29 QKN29 QUJ29 REF29 ROB29 RXX29 SHT29 SRP29 TBL29 TLH29 TVD29 UEZ29 UOV29 UYR29 VIN29 VSJ29 WCF29 WMB29 WVX29 P65565 JL65565 TH65565 ADD65565 AMZ65565 AWV65565 BGR65565 BQN65565 CAJ65565 CKF65565 CUB65565 DDX65565 DNT65565 DXP65565 EHL65565 ERH65565 FBD65565 FKZ65565 FUV65565 GER65565 GON65565 GYJ65565 HIF65565 HSB65565 IBX65565 ILT65565 IVP65565 JFL65565 JPH65565 JZD65565 KIZ65565 KSV65565 LCR65565 LMN65565 LWJ65565 MGF65565 MQB65565 MZX65565 NJT65565 NTP65565 ODL65565 ONH65565 OXD65565 PGZ65565 PQV65565 QAR65565 QKN65565 QUJ65565 REF65565 ROB65565 RXX65565 SHT65565 SRP65565 TBL65565 TLH65565 TVD65565 UEZ65565 UOV65565 UYR65565 VIN65565 VSJ65565 WCF65565 WMB65565 WVX65565 P131101 JL131101 TH131101 ADD131101 AMZ131101 AWV131101 BGR131101 BQN131101 CAJ131101 CKF131101 CUB131101 DDX131101 DNT131101 DXP131101 EHL131101 ERH131101 FBD131101 FKZ131101 FUV131101 GER131101 GON131101 GYJ131101 HIF131101 HSB131101 IBX131101 ILT131101 IVP131101 JFL131101 JPH131101 JZD131101 KIZ131101 KSV131101 LCR131101 LMN131101 LWJ131101 MGF131101 MQB131101 MZX131101 NJT131101 NTP131101 ODL131101 ONH131101 OXD131101 PGZ131101 PQV131101 QAR131101 QKN131101 QUJ131101 REF131101 ROB131101 RXX131101 SHT131101 SRP131101 TBL131101 TLH131101 TVD131101 UEZ131101 UOV131101 UYR131101 VIN131101 VSJ131101 WCF131101 WMB131101 WVX131101 P196637 JL196637 TH196637 ADD196637 AMZ196637 AWV196637 BGR196637 BQN196637 CAJ196637 CKF196637 CUB196637 DDX196637 DNT196637 DXP196637 EHL196637 ERH196637 FBD196637 FKZ196637 FUV196637 GER196637 GON196637 GYJ196637 HIF196637 HSB196637 IBX196637 ILT196637 IVP196637 JFL196637 JPH196637 JZD196637 KIZ196637 KSV196637 LCR196637 LMN196637 LWJ196637 MGF196637 MQB196637 MZX196637 NJT196637 NTP196637 ODL196637 ONH196637 OXD196637 PGZ196637 PQV196637 QAR196637 QKN196637 QUJ196637 REF196637 ROB196637 RXX196637 SHT196637 SRP196637 TBL196637 TLH196637 TVD196637 UEZ196637 UOV196637 UYR196637 VIN196637 VSJ196637 WCF196637 WMB196637 WVX196637 P262173 JL262173 TH262173 ADD262173 AMZ262173 AWV262173 BGR262173 BQN262173 CAJ262173 CKF262173 CUB262173 DDX262173 DNT262173 DXP262173 EHL262173 ERH262173 FBD262173 FKZ262173 FUV262173 GER262173 GON262173 GYJ262173 HIF262173 HSB262173 IBX262173 ILT262173 IVP262173 JFL262173 JPH262173 JZD262173 KIZ262173 KSV262173 LCR262173 LMN262173 LWJ262173 MGF262173 MQB262173 MZX262173 NJT262173 NTP262173 ODL262173 ONH262173 OXD262173 PGZ262173 PQV262173 QAR262173 QKN262173 QUJ262173 REF262173 ROB262173 RXX262173 SHT262173 SRP262173 TBL262173 TLH262173 TVD262173 UEZ262173 UOV262173 UYR262173 VIN262173 VSJ262173 WCF262173 WMB262173 WVX262173 P327709 JL327709 TH327709 ADD327709 AMZ327709 AWV327709 BGR327709 BQN327709 CAJ327709 CKF327709 CUB327709 DDX327709 DNT327709 DXP327709 EHL327709 ERH327709 FBD327709 FKZ327709 FUV327709 GER327709 GON327709 GYJ327709 HIF327709 HSB327709 IBX327709 ILT327709 IVP327709 JFL327709 JPH327709 JZD327709 KIZ327709 KSV327709 LCR327709 LMN327709 LWJ327709 MGF327709 MQB327709 MZX327709 NJT327709 NTP327709 ODL327709 ONH327709 OXD327709 PGZ327709 PQV327709 QAR327709 QKN327709 QUJ327709 REF327709 ROB327709 RXX327709 SHT327709 SRP327709 TBL327709 TLH327709 TVD327709 UEZ327709 UOV327709 UYR327709 VIN327709 VSJ327709 WCF327709 WMB327709 WVX327709 P393245 JL393245 TH393245 ADD393245 AMZ393245 AWV393245 BGR393245 BQN393245 CAJ393245 CKF393245 CUB393245 DDX393245 DNT393245 DXP393245 EHL393245 ERH393245 FBD393245 FKZ393245 FUV393245 GER393245 GON393245 GYJ393245 HIF393245 HSB393245 IBX393245 ILT393245 IVP393245 JFL393245 JPH393245 JZD393245 KIZ393245 KSV393245 LCR393245 LMN393245 LWJ393245 MGF393245 MQB393245 MZX393245 NJT393245 NTP393245 ODL393245 ONH393245 OXD393245 PGZ393245 PQV393245 QAR393245 QKN393245 QUJ393245 REF393245 ROB393245 RXX393245 SHT393245 SRP393245 TBL393245 TLH393245 TVD393245 UEZ393245 UOV393245 UYR393245 VIN393245 VSJ393245 WCF393245 WMB393245 WVX393245 P458781 JL458781 TH458781 ADD458781 AMZ458781 AWV458781 BGR458781 BQN458781 CAJ458781 CKF458781 CUB458781 DDX458781 DNT458781 DXP458781 EHL458781 ERH458781 FBD458781 FKZ458781 FUV458781 GER458781 GON458781 GYJ458781 HIF458781 HSB458781 IBX458781 ILT458781 IVP458781 JFL458781 JPH458781 JZD458781 KIZ458781 KSV458781 LCR458781 LMN458781 LWJ458781 MGF458781 MQB458781 MZX458781 NJT458781 NTP458781 ODL458781 ONH458781 OXD458781 PGZ458781 PQV458781 QAR458781 QKN458781 QUJ458781 REF458781 ROB458781 RXX458781 SHT458781 SRP458781 TBL458781 TLH458781 TVD458781 UEZ458781 UOV458781 UYR458781 VIN458781 VSJ458781 WCF458781 WMB458781 WVX458781 P524317 JL524317 TH524317 ADD524317 AMZ524317 AWV524317 BGR524317 BQN524317 CAJ524317 CKF524317 CUB524317 DDX524317 DNT524317 DXP524317 EHL524317 ERH524317 FBD524317 FKZ524317 FUV524317 GER524317 GON524317 GYJ524317 HIF524317 HSB524317 IBX524317 ILT524317 IVP524317 JFL524317 JPH524317 JZD524317 KIZ524317 KSV524317 LCR524317 LMN524317 LWJ524317 MGF524317 MQB524317 MZX524317 NJT524317 NTP524317 ODL524317 ONH524317 OXD524317 PGZ524317 PQV524317 QAR524317 QKN524317 QUJ524317 REF524317 ROB524317 RXX524317 SHT524317 SRP524317 TBL524317 TLH524317 TVD524317 UEZ524317 UOV524317 UYR524317 VIN524317 VSJ524317 WCF524317 WMB524317 WVX524317 P589853 JL589853 TH589853 ADD589853 AMZ589853 AWV589853 BGR589853 BQN589853 CAJ589853 CKF589853 CUB589853 DDX589853 DNT589853 DXP589853 EHL589853 ERH589853 FBD589853 FKZ589853 FUV589853 GER589853 GON589853 GYJ589853 HIF589853 HSB589853 IBX589853 ILT589853 IVP589853 JFL589853 JPH589853 JZD589853 KIZ589853 KSV589853 LCR589853 LMN589853 LWJ589853 MGF589853 MQB589853 MZX589853 NJT589853 NTP589853 ODL589853 ONH589853 OXD589853 PGZ589853 PQV589853 QAR589853 QKN589853 QUJ589853 REF589853 ROB589853 RXX589853 SHT589853 SRP589853 TBL589853 TLH589853 TVD589853 UEZ589853 UOV589853 UYR589853 VIN589853 VSJ589853 WCF589853 WMB589853 WVX589853 P655389 JL655389 TH655389 ADD655389 AMZ655389 AWV655389 BGR655389 BQN655389 CAJ655389 CKF655389 CUB655389 DDX655389 DNT655389 DXP655389 EHL655389 ERH655389 FBD655389 FKZ655389 FUV655389 GER655389 GON655389 GYJ655389 HIF655389 HSB655389 IBX655389 ILT655389 IVP655389 JFL655389 JPH655389 JZD655389 KIZ655389 KSV655389 LCR655389 LMN655389 LWJ655389 MGF655389 MQB655389 MZX655389 NJT655389 NTP655389 ODL655389 ONH655389 OXD655389 PGZ655389 PQV655389 QAR655389 QKN655389 QUJ655389 REF655389 ROB655389 RXX655389 SHT655389 SRP655389 TBL655389 TLH655389 TVD655389 UEZ655389 UOV655389 UYR655389 VIN655389 VSJ655389 WCF655389 WMB655389 WVX655389 P720925 JL720925 TH720925 ADD720925 AMZ720925 AWV720925 BGR720925 BQN720925 CAJ720925 CKF720925 CUB720925 DDX720925 DNT720925 DXP720925 EHL720925 ERH720925 FBD720925 FKZ720925 FUV720925 GER720925 GON720925 GYJ720925 HIF720925 HSB720925 IBX720925 ILT720925 IVP720925 JFL720925 JPH720925 JZD720925 KIZ720925 KSV720925 LCR720925 LMN720925 LWJ720925 MGF720925 MQB720925 MZX720925 NJT720925 NTP720925 ODL720925 ONH720925 OXD720925 PGZ720925 PQV720925 QAR720925 QKN720925 QUJ720925 REF720925 ROB720925 RXX720925 SHT720925 SRP720925 TBL720925 TLH720925 TVD720925 UEZ720925 UOV720925 UYR720925 VIN720925 VSJ720925 WCF720925 WMB720925 WVX720925 P786461 JL786461 TH786461 ADD786461 AMZ786461 AWV786461 BGR786461 BQN786461 CAJ786461 CKF786461 CUB786461 DDX786461 DNT786461 DXP786461 EHL786461 ERH786461 FBD786461 FKZ786461 FUV786461 GER786461 GON786461 GYJ786461 HIF786461 HSB786461 IBX786461 ILT786461 IVP786461 JFL786461 JPH786461 JZD786461 KIZ786461 KSV786461 LCR786461 LMN786461 LWJ786461 MGF786461 MQB786461 MZX786461 NJT786461 NTP786461 ODL786461 ONH786461 OXD786461 PGZ786461 PQV786461 QAR786461 QKN786461 QUJ786461 REF786461 ROB786461 RXX786461 SHT786461 SRP786461 TBL786461 TLH786461 TVD786461 UEZ786461 UOV786461 UYR786461 VIN786461 VSJ786461 WCF786461 WMB786461 WVX786461 P851997 JL851997 TH851997 ADD851997 AMZ851997 AWV851997 BGR851997 BQN851997 CAJ851997 CKF851997 CUB851997 DDX851997 DNT851997 DXP851997 EHL851997 ERH851997 FBD851997 FKZ851997 FUV851997 GER851997 GON851997 GYJ851997 HIF851997 HSB851997 IBX851997 ILT851997 IVP851997 JFL851997 JPH851997 JZD851997 KIZ851997 KSV851997 LCR851997 LMN851997 LWJ851997 MGF851997 MQB851997 MZX851997 NJT851997 NTP851997 ODL851997 ONH851997 OXD851997 PGZ851997 PQV851997 QAR851997 QKN851997 QUJ851997 REF851997 ROB851997 RXX851997 SHT851997 SRP851997 TBL851997 TLH851997 TVD851997 UEZ851997 UOV851997 UYR851997 VIN851997 VSJ851997 WCF851997 WMB851997 WVX851997 P917533 JL917533 TH917533 ADD917533 AMZ917533 AWV917533 BGR917533 BQN917533 CAJ917533 CKF917533 CUB917533 DDX917533 DNT917533 DXP917533 EHL917533 ERH917533 FBD917533 FKZ917533 FUV917533 GER917533 GON917533 GYJ917533 HIF917533 HSB917533 IBX917533 ILT917533 IVP917533 JFL917533 JPH917533 JZD917533 KIZ917533 KSV917533 LCR917533 LMN917533 LWJ917533 MGF917533 MQB917533 MZX917533 NJT917533 NTP917533 ODL917533 ONH917533 OXD917533 PGZ917533 PQV917533 QAR917533 QKN917533 QUJ917533 REF917533 ROB917533 RXX917533 SHT917533 SRP917533 TBL917533 TLH917533 TVD917533 UEZ917533 UOV917533 UYR917533 VIN917533 VSJ917533 WCF917533 WMB917533 WVX917533 P983069 JL983069 TH983069 ADD983069 AMZ983069 AWV983069 BGR983069 BQN983069 CAJ983069 CKF983069 CUB983069 DDX983069 DNT983069 DXP983069 EHL983069 ERH983069 FBD983069 FKZ983069 FUV983069 GER983069 GON983069 GYJ983069 HIF983069 HSB983069 IBX983069 ILT983069 IVP983069 JFL983069 JPH983069 JZD983069 KIZ983069 KSV983069 LCR983069 LMN983069 LWJ983069 MGF983069 MQB983069 MZX983069 NJT983069 NTP983069 ODL983069 ONH983069 OXD983069 PGZ983069 PQV983069 QAR983069 QKN983069 QUJ983069 REF983069 ROB983069 RXX983069 SHT983069 SRP983069 TBL983069 TLH983069 TVD983069 UEZ983069 UOV983069 UYR983069 VIN983069 VSJ983069 WCF983069 WMB983069 WVX983069 P26 JL26 TH26 ADD26 AMZ26 AWV26 BGR26 BQN26 CAJ26 CKF26 CUB26 DDX26 DNT26 DXP26 EHL26 ERH26 FBD26 FKZ26 FUV26 GER26 GON26 GYJ26 HIF26 HSB26 IBX26 ILT26 IVP26 JFL26 JPH26 JZD26 KIZ26 KSV26 LCR26 LMN26 LWJ26 MGF26 MQB26 MZX26 NJT26 NTP26 ODL26 ONH26 OXD26 PGZ26 PQV26 QAR26 QKN26 QUJ26 REF26 ROB26 RXX26 SHT26 SRP26 TBL26 TLH26 TVD26 UEZ26 UOV26 UYR26 VIN26 VSJ26 WCF26 WMB26 WVX26 P65562 JL65562 TH65562 ADD65562 AMZ65562 AWV65562 BGR65562 BQN65562 CAJ65562 CKF65562 CUB65562 DDX65562 DNT65562 DXP65562 EHL65562 ERH65562 FBD65562 FKZ65562 FUV65562 GER65562 GON65562 GYJ65562 HIF65562 HSB65562 IBX65562 ILT65562 IVP65562 JFL65562 JPH65562 JZD65562 KIZ65562 KSV65562 LCR65562 LMN65562 LWJ65562 MGF65562 MQB65562 MZX65562 NJT65562 NTP65562 ODL65562 ONH65562 OXD65562 PGZ65562 PQV65562 QAR65562 QKN65562 QUJ65562 REF65562 ROB65562 RXX65562 SHT65562 SRP65562 TBL65562 TLH65562 TVD65562 UEZ65562 UOV65562 UYR65562 VIN65562 VSJ65562 WCF65562 WMB65562 WVX65562 P131098 JL131098 TH131098 ADD131098 AMZ131098 AWV131098 BGR131098 BQN131098 CAJ131098 CKF131098 CUB131098 DDX131098 DNT131098 DXP131098 EHL131098 ERH131098 FBD131098 FKZ131098 FUV131098 GER131098 GON131098 GYJ131098 HIF131098 HSB131098 IBX131098 ILT131098 IVP131098 JFL131098 JPH131098 JZD131098 KIZ131098 KSV131098 LCR131098 LMN131098 LWJ131098 MGF131098 MQB131098 MZX131098 NJT131098 NTP131098 ODL131098 ONH131098 OXD131098 PGZ131098 PQV131098 QAR131098 QKN131098 QUJ131098 REF131098 ROB131098 RXX131098 SHT131098 SRP131098 TBL131098 TLH131098 TVD131098 UEZ131098 UOV131098 UYR131098 VIN131098 VSJ131098 WCF131098 WMB131098 WVX131098 P196634 JL196634 TH196634 ADD196634 AMZ196634 AWV196634 BGR196634 BQN196634 CAJ196634 CKF196634 CUB196634 DDX196634 DNT196634 DXP196634 EHL196634 ERH196634 FBD196634 FKZ196634 FUV196634 GER196634 GON196634 GYJ196634 HIF196634 HSB196634 IBX196634 ILT196634 IVP196634 JFL196634 JPH196634 JZD196634 KIZ196634 KSV196634 LCR196634 LMN196634 LWJ196634 MGF196634 MQB196634 MZX196634 NJT196634 NTP196634 ODL196634 ONH196634 OXD196634 PGZ196634 PQV196634 QAR196634 QKN196634 QUJ196634 REF196634 ROB196634 RXX196634 SHT196634 SRP196634 TBL196634 TLH196634 TVD196634 UEZ196634 UOV196634 UYR196634 VIN196634 VSJ196634 WCF196634 WMB196634 WVX196634 P262170 JL262170 TH262170 ADD262170 AMZ262170 AWV262170 BGR262170 BQN262170 CAJ262170 CKF262170 CUB262170 DDX262170 DNT262170 DXP262170 EHL262170 ERH262170 FBD262170 FKZ262170 FUV262170 GER262170 GON262170 GYJ262170 HIF262170 HSB262170 IBX262170 ILT262170 IVP262170 JFL262170 JPH262170 JZD262170 KIZ262170 KSV262170 LCR262170 LMN262170 LWJ262170 MGF262170 MQB262170 MZX262170 NJT262170 NTP262170 ODL262170 ONH262170 OXD262170 PGZ262170 PQV262170 QAR262170 QKN262170 QUJ262170 REF262170 ROB262170 RXX262170 SHT262170 SRP262170 TBL262170 TLH262170 TVD262170 UEZ262170 UOV262170 UYR262170 VIN262170 VSJ262170 WCF262170 WMB262170 WVX262170 P327706 JL327706 TH327706 ADD327706 AMZ327706 AWV327706 BGR327706 BQN327706 CAJ327706 CKF327706 CUB327706 DDX327706 DNT327706 DXP327706 EHL327706 ERH327706 FBD327706 FKZ327706 FUV327706 GER327706 GON327706 GYJ327706 HIF327706 HSB327706 IBX327706 ILT327706 IVP327706 JFL327706 JPH327706 JZD327706 KIZ327706 KSV327706 LCR327706 LMN327706 LWJ327706 MGF327706 MQB327706 MZX327706 NJT327706 NTP327706 ODL327706 ONH327706 OXD327706 PGZ327706 PQV327706 QAR327706 QKN327706 QUJ327706 REF327706 ROB327706 RXX327706 SHT327706 SRP327706 TBL327706 TLH327706 TVD327706 UEZ327706 UOV327706 UYR327706 VIN327706 VSJ327706 WCF327706 WMB327706 WVX327706 P393242 JL393242 TH393242 ADD393242 AMZ393242 AWV393242 BGR393242 BQN393242 CAJ393242 CKF393242 CUB393242 DDX393242 DNT393242 DXP393242 EHL393242 ERH393242 FBD393242 FKZ393242 FUV393242 GER393242 GON393242 GYJ393242 HIF393242 HSB393242 IBX393242 ILT393242 IVP393242 JFL393242 JPH393242 JZD393242 KIZ393242 KSV393242 LCR393242 LMN393242 LWJ393242 MGF393242 MQB393242 MZX393242 NJT393242 NTP393242 ODL393242 ONH393242 OXD393242 PGZ393242 PQV393242 QAR393242 QKN393242 QUJ393242 REF393242 ROB393242 RXX393242 SHT393242 SRP393242 TBL393242 TLH393242 TVD393242 UEZ393242 UOV393242 UYR393242 VIN393242 VSJ393242 WCF393242 WMB393242 WVX393242 P458778 JL458778 TH458778 ADD458778 AMZ458778 AWV458778 BGR458778 BQN458778 CAJ458778 CKF458778 CUB458778 DDX458778 DNT458778 DXP458778 EHL458778 ERH458778 FBD458778 FKZ458778 FUV458778 GER458778 GON458778 GYJ458778 HIF458778 HSB458778 IBX458778 ILT458778 IVP458778 JFL458778 JPH458778 JZD458778 KIZ458778 KSV458778 LCR458778 LMN458778 LWJ458778 MGF458778 MQB458778 MZX458778 NJT458778 NTP458778 ODL458778 ONH458778 OXD458778 PGZ458778 PQV458778 QAR458778 QKN458778 QUJ458778 REF458778 ROB458778 RXX458778 SHT458778 SRP458778 TBL458778 TLH458778 TVD458778 UEZ458778 UOV458778 UYR458778 VIN458778 VSJ458778 WCF458778 WMB458778 WVX458778 P524314 JL524314 TH524314 ADD524314 AMZ524314 AWV524314 BGR524314 BQN524314 CAJ524314 CKF524314 CUB524314 DDX524314 DNT524314 DXP524314 EHL524314 ERH524314 FBD524314 FKZ524314 FUV524314 GER524314 GON524314 GYJ524314 HIF524314 HSB524314 IBX524314 ILT524314 IVP524314 JFL524314 JPH524314 JZD524314 KIZ524314 KSV524314 LCR524314 LMN524314 LWJ524314 MGF524314 MQB524314 MZX524314 NJT524314 NTP524314 ODL524314 ONH524314 OXD524314 PGZ524314 PQV524314 QAR524314 QKN524314 QUJ524314 REF524314 ROB524314 RXX524314 SHT524314 SRP524314 TBL524314 TLH524314 TVD524314 UEZ524314 UOV524314 UYR524314 VIN524314 VSJ524314 WCF524314 WMB524314 WVX524314 P589850 JL589850 TH589850 ADD589850 AMZ589850 AWV589850 BGR589850 BQN589850 CAJ589850 CKF589850 CUB589850 DDX589850 DNT589850 DXP589850 EHL589850 ERH589850 FBD589850 FKZ589850 FUV589850 GER589850 GON589850 GYJ589850 HIF589850 HSB589850 IBX589850 ILT589850 IVP589850 JFL589850 JPH589850 JZD589850 KIZ589850 KSV589850 LCR589850 LMN589850 LWJ589850 MGF589850 MQB589850 MZX589850 NJT589850 NTP589850 ODL589850 ONH589850 OXD589850 PGZ589850 PQV589850 QAR589850 QKN589850 QUJ589850 REF589850 ROB589850 RXX589850 SHT589850 SRP589850 TBL589850 TLH589850 TVD589850 UEZ589850 UOV589850 UYR589850 VIN589850 VSJ589850 WCF589850 WMB589850 WVX589850 P655386 JL655386 TH655386 ADD655386 AMZ655386 AWV655386 BGR655386 BQN655386 CAJ655386 CKF655386 CUB655386 DDX655386 DNT655386 DXP655386 EHL655386 ERH655386 FBD655386 FKZ655386 FUV655386 GER655386 GON655386 GYJ655386 HIF655386 HSB655386 IBX655386 ILT655386 IVP655386 JFL655386 JPH655386 JZD655386 KIZ655386 KSV655386 LCR655386 LMN655386 LWJ655386 MGF655386 MQB655386 MZX655386 NJT655386 NTP655386 ODL655386 ONH655386 OXD655386 PGZ655386 PQV655386 QAR655386 QKN655386 QUJ655386 REF655386 ROB655386 RXX655386 SHT655386 SRP655386 TBL655386 TLH655386 TVD655386 UEZ655386 UOV655386 UYR655386 VIN655386 VSJ655386 WCF655386 WMB655386 WVX655386 P720922 JL720922 TH720922 ADD720922 AMZ720922 AWV720922 BGR720922 BQN720922 CAJ720922 CKF720922 CUB720922 DDX720922 DNT720922 DXP720922 EHL720922 ERH720922 FBD720922 FKZ720922 FUV720922 GER720922 GON720922 GYJ720922 HIF720922 HSB720922 IBX720922 ILT720922 IVP720922 JFL720922 JPH720922 JZD720922 KIZ720922 KSV720922 LCR720922 LMN720922 LWJ720922 MGF720922 MQB720922 MZX720922 NJT720922 NTP720922 ODL720922 ONH720922 OXD720922 PGZ720922 PQV720922 QAR720922 QKN720922 QUJ720922 REF720922 ROB720922 RXX720922 SHT720922 SRP720922 TBL720922 TLH720922 TVD720922 UEZ720922 UOV720922 UYR720922 VIN720922 VSJ720922 WCF720922 WMB720922 WVX720922 P786458 JL786458 TH786458 ADD786458 AMZ786458 AWV786458 BGR786458 BQN786458 CAJ786458 CKF786458 CUB786458 DDX786458 DNT786458 DXP786458 EHL786458 ERH786458 FBD786458 FKZ786458 FUV786458 GER786458 GON786458 GYJ786458 HIF786458 HSB786458 IBX786458 ILT786458 IVP786458 JFL786458 JPH786458 JZD786458 KIZ786458 KSV786458 LCR786458 LMN786458 LWJ786458 MGF786458 MQB786458 MZX786458 NJT786458 NTP786458 ODL786458 ONH786458 OXD786458 PGZ786458 PQV786458 QAR786458 QKN786458 QUJ786458 REF786458 ROB786458 RXX786458 SHT786458 SRP786458 TBL786458 TLH786458 TVD786458 UEZ786458 UOV786458 UYR786458 VIN786458 VSJ786458 WCF786458 WMB786458 WVX786458 P851994 JL851994 TH851994 ADD851994 AMZ851994 AWV851994 BGR851994 BQN851994 CAJ851994 CKF851994 CUB851994 DDX851994 DNT851994 DXP851994 EHL851994 ERH851994 FBD851994 FKZ851994 FUV851994 GER851994 GON851994 GYJ851994 HIF851994 HSB851994 IBX851994 ILT851994 IVP851994 JFL851994 JPH851994 JZD851994 KIZ851994 KSV851994 LCR851994 LMN851994 LWJ851994 MGF851994 MQB851994 MZX851994 NJT851994 NTP851994 ODL851994 ONH851994 OXD851994 PGZ851994 PQV851994 QAR851994 QKN851994 QUJ851994 REF851994 ROB851994 RXX851994 SHT851994 SRP851994 TBL851994 TLH851994 TVD851994 UEZ851994 UOV851994 UYR851994 VIN851994 VSJ851994 WCF851994 WMB851994 WVX851994 P917530 JL917530 TH917530 ADD917530 AMZ917530 AWV917530 BGR917530 BQN917530 CAJ917530 CKF917530 CUB917530 DDX917530 DNT917530 DXP917530 EHL917530 ERH917530 FBD917530 FKZ917530 FUV917530 GER917530 GON917530 GYJ917530 HIF917530 HSB917530 IBX917530 ILT917530 IVP917530 JFL917530 JPH917530 JZD917530 KIZ917530 KSV917530 LCR917530 LMN917530 LWJ917530 MGF917530 MQB917530 MZX917530 NJT917530 NTP917530 ODL917530 ONH917530 OXD917530 PGZ917530 PQV917530 QAR917530 QKN917530 QUJ917530 REF917530 ROB917530 RXX917530 SHT917530 SRP917530 TBL917530 TLH917530 TVD917530 UEZ917530 UOV917530 UYR917530 VIN917530 VSJ917530 WCF917530 WMB917530 WVX917530 P983066 JL983066 TH983066 ADD983066 AMZ983066 AWV983066 BGR983066 BQN983066 CAJ983066 CKF983066 CUB983066 DDX983066 DNT983066 DXP983066 EHL983066 ERH983066 FBD983066 FKZ983066 FUV983066 GER983066 GON983066 GYJ983066 HIF983066 HSB983066 IBX983066 ILT983066 IVP983066 JFL983066 JPH983066 JZD983066 KIZ983066 KSV983066 LCR983066 LMN983066 LWJ983066 MGF983066 MQB983066 MZX983066 NJT983066 NTP983066 ODL983066 ONH983066 OXD983066 PGZ983066 PQV983066 QAR983066 QKN983066 QUJ983066 REF983066 ROB983066 RXX983066 SHT983066 SRP983066 TBL983066 TLH983066 TVD983066 UEZ983066 UOV983066 UYR983066 VIN983066 VSJ983066 WCF983066 WMB983066 WVX983066 P23 JL23 TH23 ADD23 AMZ23 AWV23 BGR23 BQN23 CAJ23 CKF23 CUB23 DDX23 DNT23 DXP23 EHL23 ERH23 FBD23 FKZ23 FUV23 GER23 GON23 GYJ23 HIF23 HSB23 IBX23 ILT23 IVP23 JFL23 JPH23 JZD23 KIZ23 KSV23 LCR23 LMN23 LWJ23 MGF23 MQB23 MZX23 NJT23 NTP23 ODL23 ONH23 OXD23 PGZ23 PQV23 QAR23 QKN23 QUJ23 REF23 ROB23 RXX23 SHT23 SRP23 TBL23 TLH23 TVD23 UEZ23 UOV23 UYR23 VIN23 VSJ23 WCF23 WMB23 WVX23 P65559 JL65559 TH65559 ADD65559 AMZ65559 AWV65559 BGR65559 BQN65559 CAJ65559 CKF65559 CUB65559 DDX65559 DNT65559 DXP65559 EHL65559 ERH65559 FBD65559 FKZ65559 FUV65559 GER65559 GON65559 GYJ65559 HIF65559 HSB65559 IBX65559 ILT65559 IVP65559 JFL65559 JPH65559 JZD65559 KIZ65559 KSV65559 LCR65559 LMN65559 LWJ65559 MGF65559 MQB65559 MZX65559 NJT65559 NTP65559 ODL65559 ONH65559 OXD65559 PGZ65559 PQV65559 QAR65559 QKN65559 QUJ65559 REF65559 ROB65559 RXX65559 SHT65559 SRP65559 TBL65559 TLH65559 TVD65559 UEZ65559 UOV65559 UYR65559 VIN65559 VSJ65559 WCF65559 WMB65559 WVX65559 P131095 JL131095 TH131095 ADD131095 AMZ131095 AWV131095 BGR131095 BQN131095 CAJ131095 CKF131095 CUB131095 DDX131095 DNT131095 DXP131095 EHL131095 ERH131095 FBD131095 FKZ131095 FUV131095 GER131095 GON131095 GYJ131095 HIF131095 HSB131095 IBX131095 ILT131095 IVP131095 JFL131095 JPH131095 JZD131095 KIZ131095 KSV131095 LCR131095 LMN131095 LWJ131095 MGF131095 MQB131095 MZX131095 NJT131095 NTP131095 ODL131095 ONH131095 OXD131095 PGZ131095 PQV131095 QAR131095 QKN131095 QUJ131095 REF131095 ROB131095 RXX131095 SHT131095 SRP131095 TBL131095 TLH131095 TVD131095 UEZ131095 UOV131095 UYR131095 VIN131095 VSJ131095 WCF131095 WMB131095 WVX131095 P196631 JL196631 TH196631 ADD196631 AMZ196631 AWV196631 BGR196631 BQN196631 CAJ196631 CKF196631 CUB196631 DDX196631 DNT196631 DXP196631 EHL196631 ERH196631 FBD196631 FKZ196631 FUV196631 GER196631 GON196631 GYJ196631 HIF196631 HSB196631 IBX196631 ILT196631 IVP196631 JFL196631 JPH196631 JZD196631 KIZ196631 KSV196631 LCR196631 LMN196631 LWJ196631 MGF196631 MQB196631 MZX196631 NJT196631 NTP196631 ODL196631 ONH196631 OXD196631 PGZ196631 PQV196631 QAR196631 QKN196631 QUJ196631 REF196631 ROB196631 RXX196631 SHT196631 SRP196631 TBL196631 TLH196631 TVD196631 UEZ196631 UOV196631 UYR196631 VIN196631 VSJ196631 WCF196631 WMB196631 WVX196631 P262167 JL262167 TH262167 ADD262167 AMZ262167 AWV262167 BGR262167 BQN262167 CAJ262167 CKF262167 CUB262167 DDX262167 DNT262167 DXP262167 EHL262167 ERH262167 FBD262167 FKZ262167 FUV262167 GER262167 GON262167 GYJ262167 HIF262167 HSB262167 IBX262167 ILT262167 IVP262167 JFL262167 JPH262167 JZD262167 KIZ262167 KSV262167 LCR262167 LMN262167 LWJ262167 MGF262167 MQB262167 MZX262167 NJT262167 NTP262167 ODL262167 ONH262167 OXD262167 PGZ262167 PQV262167 QAR262167 QKN262167 QUJ262167 REF262167 ROB262167 RXX262167 SHT262167 SRP262167 TBL262167 TLH262167 TVD262167 UEZ262167 UOV262167 UYR262167 VIN262167 VSJ262167 WCF262167 WMB262167 WVX262167 P327703 JL327703 TH327703 ADD327703 AMZ327703 AWV327703 BGR327703 BQN327703 CAJ327703 CKF327703 CUB327703 DDX327703 DNT327703 DXP327703 EHL327703 ERH327703 FBD327703 FKZ327703 FUV327703 GER327703 GON327703 GYJ327703 HIF327703 HSB327703 IBX327703 ILT327703 IVP327703 JFL327703 JPH327703 JZD327703 KIZ327703 KSV327703 LCR327703 LMN327703 LWJ327703 MGF327703 MQB327703 MZX327703 NJT327703 NTP327703 ODL327703 ONH327703 OXD327703 PGZ327703 PQV327703 QAR327703 QKN327703 QUJ327703 REF327703 ROB327703 RXX327703 SHT327703 SRP327703 TBL327703 TLH327703 TVD327703 UEZ327703 UOV327703 UYR327703 VIN327703 VSJ327703 WCF327703 WMB327703 WVX327703 P393239 JL393239 TH393239 ADD393239 AMZ393239 AWV393239 BGR393239 BQN393239 CAJ393239 CKF393239 CUB393239 DDX393239 DNT393239 DXP393239 EHL393239 ERH393239 FBD393239 FKZ393239 FUV393239 GER393239 GON393239 GYJ393239 HIF393239 HSB393239 IBX393239 ILT393239 IVP393239 JFL393239 JPH393239 JZD393239 KIZ393239 KSV393239 LCR393239 LMN393239 LWJ393239 MGF393239 MQB393239 MZX393239 NJT393239 NTP393239 ODL393239 ONH393239 OXD393239 PGZ393239 PQV393239 QAR393239 QKN393239 QUJ393239 REF393239 ROB393239 RXX393239 SHT393239 SRP393239 TBL393239 TLH393239 TVD393239 UEZ393239 UOV393239 UYR393239 VIN393239 VSJ393239 WCF393239 WMB393239 WVX393239 P458775 JL458775 TH458775 ADD458775 AMZ458775 AWV458775 BGR458775 BQN458775 CAJ458775 CKF458775 CUB458775 DDX458775 DNT458775 DXP458775 EHL458775 ERH458775 FBD458775 FKZ458775 FUV458775 GER458775 GON458775 GYJ458775 HIF458775 HSB458775 IBX458775 ILT458775 IVP458775 JFL458775 JPH458775 JZD458775 KIZ458775 KSV458775 LCR458775 LMN458775 LWJ458775 MGF458775 MQB458775 MZX458775 NJT458775 NTP458775 ODL458775 ONH458775 OXD458775 PGZ458775 PQV458775 QAR458775 QKN458775 QUJ458775 REF458775 ROB458775 RXX458775 SHT458775 SRP458775 TBL458775 TLH458775 TVD458775 UEZ458775 UOV458775 UYR458775 VIN458775 VSJ458775 WCF458775 WMB458775 WVX458775 P524311 JL524311 TH524311 ADD524311 AMZ524311 AWV524311 BGR524311 BQN524311 CAJ524311 CKF524311 CUB524311 DDX524311 DNT524311 DXP524311 EHL524311 ERH524311 FBD524311 FKZ524311 FUV524311 GER524311 GON524311 GYJ524311 HIF524311 HSB524311 IBX524311 ILT524311 IVP524311 JFL524311 JPH524311 JZD524311 KIZ524311 KSV524311 LCR524311 LMN524311 LWJ524311 MGF524311 MQB524311 MZX524311 NJT524311 NTP524311 ODL524311 ONH524311 OXD524311 PGZ524311 PQV524311 QAR524311 QKN524311 QUJ524311 REF524311 ROB524311 RXX524311 SHT524311 SRP524311 TBL524311 TLH524311 TVD524311 UEZ524311 UOV524311 UYR524311 VIN524311 VSJ524311 WCF524311 WMB524311 WVX524311 P589847 JL589847 TH589847 ADD589847 AMZ589847 AWV589847 BGR589847 BQN589847 CAJ589847 CKF589847 CUB589847 DDX589847 DNT589847 DXP589847 EHL589847 ERH589847 FBD589847 FKZ589847 FUV589847 GER589847 GON589847 GYJ589847 HIF589847 HSB589847 IBX589847 ILT589847 IVP589847 JFL589847 JPH589847 JZD589847 KIZ589847 KSV589847 LCR589847 LMN589847 LWJ589847 MGF589847 MQB589847 MZX589847 NJT589847 NTP589847 ODL589847 ONH589847 OXD589847 PGZ589847 PQV589847 QAR589847 QKN589847 QUJ589847 REF589847 ROB589847 RXX589847 SHT589847 SRP589847 TBL589847 TLH589847 TVD589847 UEZ589847 UOV589847 UYR589847 VIN589847 VSJ589847 WCF589847 WMB589847 WVX589847 P655383 JL655383 TH655383 ADD655383 AMZ655383 AWV655383 BGR655383 BQN655383 CAJ655383 CKF655383 CUB655383 DDX655383 DNT655383 DXP655383 EHL655383 ERH655383 FBD655383 FKZ655383 FUV655383 GER655383 GON655383 GYJ655383 HIF655383 HSB655383 IBX655383 ILT655383 IVP655383 JFL655383 JPH655383 JZD655383 KIZ655383 KSV655383 LCR655383 LMN655383 LWJ655383 MGF655383 MQB655383 MZX655383 NJT655383 NTP655383 ODL655383 ONH655383 OXD655383 PGZ655383 PQV655383 QAR655383 QKN655383 QUJ655383 REF655383 ROB655383 RXX655383 SHT655383 SRP655383 TBL655383 TLH655383 TVD655383 UEZ655383 UOV655383 UYR655383 VIN655383 VSJ655383 WCF655383 WMB655383 WVX655383 P720919 JL720919 TH720919 ADD720919 AMZ720919 AWV720919 BGR720919 BQN720919 CAJ720919 CKF720919 CUB720919 DDX720919 DNT720919 DXP720919 EHL720919 ERH720919 FBD720919 FKZ720919 FUV720919 GER720919 GON720919 GYJ720919 HIF720919 HSB720919 IBX720919 ILT720919 IVP720919 JFL720919 JPH720919 JZD720919 KIZ720919 KSV720919 LCR720919 LMN720919 LWJ720919 MGF720919 MQB720919 MZX720919 NJT720919 NTP720919 ODL720919 ONH720919 OXD720919 PGZ720919 PQV720919 QAR720919 QKN720919 QUJ720919 REF720919 ROB720919 RXX720919 SHT720919 SRP720919 TBL720919 TLH720919 TVD720919 UEZ720919 UOV720919 UYR720919 VIN720919 VSJ720919 WCF720919 WMB720919 WVX720919 P786455 JL786455 TH786455 ADD786455 AMZ786455 AWV786455 BGR786455 BQN786455 CAJ786455 CKF786455 CUB786455 DDX786455 DNT786455 DXP786455 EHL786455 ERH786455 FBD786455 FKZ786455 FUV786455 GER786455 GON786455 GYJ786455 HIF786455 HSB786455 IBX786455 ILT786455 IVP786455 JFL786455 JPH786455 JZD786455 KIZ786455 KSV786455 LCR786455 LMN786455 LWJ786455 MGF786455 MQB786455 MZX786455 NJT786455 NTP786455 ODL786455 ONH786455 OXD786455 PGZ786455 PQV786455 QAR786455 QKN786455 QUJ786455 REF786455 ROB786455 RXX786455 SHT786455 SRP786455 TBL786455 TLH786455 TVD786455 UEZ786455 UOV786455 UYR786455 VIN786455 VSJ786455 WCF786455 WMB786455 WVX786455 P851991 JL851991 TH851991 ADD851991 AMZ851991 AWV851991 BGR851991 BQN851991 CAJ851991 CKF851991 CUB851991 DDX851991 DNT851991 DXP851991 EHL851991 ERH851991 FBD851991 FKZ851991 FUV851991 GER851991 GON851991 GYJ851991 HIF851991 HSB851991 IBX851991 ILT851991 IVP851991 JFL851991 JPH851991 JZD851991 KIZ851991 KSV851991 LCR851991 LMN851991 LWJ851991 MGF851991 MQB851991 MZX851991 NJT851991 NTP851991 ODL851991 ONH851991 OXD851991 PGZ851991 PQV851991 QAR851991 QKN851991 QUJ851991 REF851991 ROB851991 RXX851991 SHT851991 SRP851991 TBL851991 TLH851991 TVD851991 UEZ851991 UOV851991 UYR851991 VIN851991 VSJ851991 WCF851991 WMB851991 WVX851991 P917527 JL917527 TH917527 ADD917527 AMZ917527 AWV917527 BGR917527 BQN917527 CAJ917527 CKF917527 CUB917527 DDX917527 DNT917527 DXP917527 EHL917527 ERH917527 FBD917527 FKZ917527 FUV917527 GER917527 GON917527 GYJ917527 HIF917527 HSB917527 IBX917527 ILT917527 IVP917527 JFL917527 JPH917527 JZD917527 KIZ917527 KSV917527 LCR917527 LMN917527 LWJ917527 MGF917527 MQB917527 MZX917527 NJT917527 NTP917527 ODL917527 ONH917527 OXD917527 PGZ917527 PQV917527 QAR917527 QKN917527 QUJ917527 REF917527 ROB917527 RXX917527 SHT917527 SRP917527 TBL917527 TLH917527 TVD917527 UEZ917527 UOV917527 UYR917527 VIN917527 VSJ917527 WCF917527 WMB917527 WVX917527 P983063 JL983063 TH983063 ADD983063 AMZ983063 AWV983063 BGR983063 BQN983063 CAJ983063 CKF983063 CUB983063 DDX983063 DNT983063 DXP983063 EHL983063 ERH983063 FBD983063 FKZ983063 FUV983063 GER983063 GON983063 GYJ983063 HIF983063 HSB983063 IBX983063 ILT983063 IVP983063 JFL983063 JPH983063 JZD983063 KIZ983063 KSV983063 LCR983063 LMN983063 LWJ983063 MGF983063 MQB983063 MZX983063 NJT983063 NTP983063 ODL983063 ONH983063 OXD983063 PGZ983063 PQV983063 QAR983063 QKN983063 QUJ983063 REF983063 ROB983063 RXX983063 SHT983063 SRP983063 TBL983063 TLH983063 TVD983063 UEZ983063 UOV983063 UYR983063 VIN983063 VSJ983063 WCF983063 WMB983063 WVX983063 B11:H11 IX11:JD11 ST11:SZ11 ACP11:ACV11 AML11:AMR11 AWH11:AWN11 BGD11:BGJ11 BPZ11:BQF11 BZV11:CAB11 CJR11:CJX11 CTN11:CTT11 DDJ11:DDP11 DNF11:DNL11 DXB11:DXH11 EGX11:EHD11 EQT11:EQZ11 FAP11:FAV11 FKL11:FKR11 FUH11:FUN11 GED11:GEJ11 GNZ11:GOF11 GXV11:GYB11 HHR11:HHX11 HRN11:HRT11 IBJ11:IBP11 ILF11:ILL11 IVB11:IVH11 JEX11:JFD11 JOT11:JOZ11 JYP11:JYV11 KIL11:KIR11 KSH11:KSN11 LCD11:LCJ11 LLZ11:LMF11 LVV11:LWB11 MFR11:MFX11 MPN11:MPT11 MZJ11:MZP11 NJF11:NJL11 NTB11:NTH11 OCX11:ODD11 OMT11:OMZ11 OWP11:OWV11 PGL11:PGR11 PQH11:PQN11 QAD11:QAJ11 QJZ11:QKF11 QTV11:QUB11 RDR11:RDX11 RNN11:RNT11 RXJ11:RXP11 SHF11:SHL11 SRB11:SRH11 TAX11:TBD11 TKT11:TKZ11 TUP11:TUV11 UEL11:UER11 UOH11:UON11 UYD11:UYJ11 VHZ11:VIF11 VRV11:VSB11 WBR11:WBX11 WLN11:WLT11 WVJ11:WVP11 B65547:H65547 IX65547:JD65547 ST65547:SZ65547 ACP65547:ACV65547 AML65547:AMR65547 AWH65547:AWN65547 BGD65547:BGJ65547 BPZ65547:BQF65547 BZV65547:CAB65547 CJR65547:CJX65547 CTN65547:CTT65547 DDJ65547:DDP65547 DNF65547:DNL65547 DXB65547:DXH65547 EGX65547:EHD65547 EQT65547:EQZ65547 FAP65547:FAV65547 FKL65547:FKR65547 FUH65547:FUN65547 GED65547:GEJ65547 GNZ65547:GOF65547 GXV65547:GYB65547 HHR65547:HHX65547 HRN65547:HRT65547 IBJ65547:IBP65547 ILF65547:ILL65547 IVB65547:IVH65547 JEX65547:JFD65547 JOT65547:JOZ65547 JYP65547:JYV65547 KIL65547:KIR65547 KSH65547:KSN65547 LCD65547:LCJ65547 LLZ65547:LMF65547 LVV65547:LWB65547 MFR65547:MFX65547 MPN65547:MPT65547 MZJ65547:MZP65547 NJF65547:NJL65547 NTB65547:NTH65547 OCX65547:ODD65547 OMT65547:OMZ65547 OWP65547:OWV65547 PGL65547:PGR65547 PQH65547:PQN65547 QAD65547:QAJ65547 QJZ65547:QKF65547 QTV65547:QUB65547 RDR65547:RDX65547 RNN65547:RNT65547 RXJ65547:RXP65547 SHF65547:SHL65547 SRB65547:SRH65547 TAX65547:TBD65547 TKT65547:TKZ65547 TUP65547:TUV65547 UEL65547:UER65547 UOH65547:UON65547 UYD65547:UYJ65547 VHZ65547:VIF65547 VRV65547:VSB65547 WBR65547:WBX65547 WLN65547:WLT65547 WVJ65547:WVP65547 B131083:H131083 IX131083:JD131083 ST131083:SZ131083 ACP131083:ACV131083 AML131083:AMR131083 AWH131083:AWN131083 BGD131083:BGJ131083 BPZ131083:BQF131083 BZV131083:CAB131083 CJR131083:CJX131083 CTN131083:CTT131083 DDJ131083:DDP131083 DNF131083:DNL131083 DXB131083:DXH131083 EGX131083:EHD131083 EQT131083:EQZ131083 FAP131083:FAV131083 FKL131083:FKR131083 FUH131083:FUN131083 GED131083:GEJ131083 GNZ131083:GOF131083 GXV131083:GYB131083 HHR131083:HHX131083 HRN131083:HRT131083 IBJ131083:IBP131083 ILF131083:ILL131083 IVB131083:IVH131083 JEX131083:JFD131083 JOT131083:JOZ131083 JYP131083:JYV131083 KIL131083:KIR131083 KSH131083:KSN131083 LCD131083:LCJ131083 LLZ131083:LMF131083 LVV131083:LWB131083 MFR131083:MFX131083 MPN131083:MPT131083 MZJ131083:MZP131083 NJF131083:NJL131083 NTB131083:NTH131083 OCX131083:ODD131083 OMT131083:OMZ131083 OWP131083:OWV131083 PGL131083:PGR131083 PQH131083:PQN131083 QAD131083:QAJ131083 QJZ131083:QKF131083 QTV131083:QUB131083 RDR131083:RDX131083 RNN131083:RNT131083 RXJ131083:RXP131083 SHF131083:SHL131083 SRB131083:SRH131083 TAX131083:TBD131083 TKT131083:TKZ131083 TUP131083:TUV131083 UEL131083:UER131083 UOH131083:UON131083 UYD131083:UYJ131083 VHZ131083:VIF131083 VRV131083:VSB131083 WBR131083:WBX131083 WLN131083:WLT131083 WVJ131083:WVP131083 B196619:H196619 IX196619:JD196619 ST196619:SZ196619 ACP196619:ACV196619 AML196619:AMR196619 AWH196619:AWN196619 BGD196619:BGJ196619 BPZ196619:BQF196619 BZV196619:CAB196619 CJR196619:CJX196619 CTN196619:CTT196619 DDJ196619:DDP196619 DNF196619:DNL196619 DXB196619:DXH196619 EGX196619:EHD196619 EQT196619:EQZ196619 FAP196619:FAV196619 FKL196619:FKR196619 FUH196619:FUN196619 GED196619:GEJ196619 GNZ196619:GOF196619 GXV196619:GYB196619 HHR196619:HHX196619 HRN196619:HRT196619 IBJ196619:IBP196619 ILF196619:ILL196619 IVB196619:IVH196619 JEX196619:JFD196619 JOT196619:JOZ196619 JYP196619:JYV196619 KIL196619:KIR196619 KSH196619:KSN196619 LCD196619:LCJ196619 LLZ196619:LMF196619 LVV196619:LWB196619 MFR196619:MFX196619 MPN196619:MPT196619 MZJ196619:MZP196619 NJF196619:NJL196619 NTB196619:NTH196619 OCX196619:ODD196619 OMT196619:OMZ196619 OWP196619:OWV196619 PGL196619:PGR196619 PQH196619:PQN196619 QAD196619:QAJ196619 QJZ196619:QKF196619 QTV196619:QUB196619 RDR196619:RDX196619 RNN196619:RNT196619 RXJ196619:RXP196619 SHF196619:SHL196619 SRB196619:SRH196619 TAX196619:TBD196619 TKT196619:TKZ196619 TUP196619:TUV196619 UEL196619:UER196619 UOH196619:UON196619 UYD196619:UYJ196619 VHZ196619:VIF196619 VRV196619:VSB196619 WBR196619:WBX196619 WLN196619:WLT196619 WVJ196619:WVP196619 B262155:H262155 IX262155:JD262155 ST262155:SZ262155 ACP262155:ACV262155 AML262155:AMR262155 AWH262155:AWN262155 BGD262155:BGJ262155 BPZ262155:BQF262155 BZV262155:CAB262155 CJR262155:CJX262155 CTN262155:CTT262155 DDJ262155:DDP262155 DNF262155:DNL262155 DXB262155:DXH262155 EGX262155:EHD262155 EQT262155:EQZ262155 FAP262155:FAV262155 FKL262155:FKR262155 FUH262155:FUN262155 GED262155:GEJ262155 GNZ262155:GOF262155 GXV262155:GYB262155 HHR262155:HHX262155 HRN262155:HRT262155 IBJ262155:IBP262155 ILF262155:ILL262155 IVB262155:IVH262155 JEX262155:JFD262155 JOT262155:JOZ262155 JYP262155:JYV262155 KIL262155:KIR262155 KSH262155:KSN262155 LCD262155:LCJ262155 LLZ262155:LMF262155 LVV262155:LWB262155 MFR262155:MFX262155 MPN262155:MPT262155 MZJ262155:MZP262155 NJF262155:NJL262155 NTB262155:NTH262155 OCX262155:ODD262155 OMT262155:OMZ262155 OWP262155:OWV262155 PGL262155:PGR262155 PQH262155:PQN262155 QAD262155:QAJ262155 QJZ262155:QKF262155 QTV262155:QUB262155 RDR262155:RDX262155 RNN262155:RNT262155 RXJ262155:RXP262155 SHF262155:SHL262155 SRB262155:SRH262155 TAX262155:TBD262155 TKT262155:TKZ262155 TUP262155:TUV262155 UEL262155:UER262155 UOH262155:UON262155 UYD262155:UYJ262155 VHZ262155:VIF262155 VRV262155:VSB262155 WBR262155:WBX262155 WLN262155:WLT262155 WVJ262155:WVP262155 B327691:H327691 IX327691:JD327691 ST327691:SZ327691 ACP327691:ACV327691 AML327691:AMR327691 AWH327691:AWN327691 BGD327691:BGJ327691 BPZ327691:BQF327691 BZV327691:CAB327691 CJR327691:CJX327691 CTN327691:CTT327691 DDJ327691:DDP327691 DNF327691:DNL327691 DXB327691:DXH327691 EGX327691:EHD327691 EQT327691:EQZ327691 FAP327691:FAV327691 FKL327691:FKR327691 FUH327691:FUN327691 GED327691:GEJ327691 GNZ327691:GOF327691 GXV327691:GYB327691 HHR327691:HHX327691 HRN327691:HRT327691 IBJ327691:IBP327691 ILF327691:ILL327691 IVB327691:IVH327691 JEX327691:JFD327691 JOT327691:JOZ327691 JYP327691:JYV327691 KIL327691:KIR327691 KSH327691:KSN327691 LCD327691:LCJ327691 LLZ327691:LMF327691 LVV327691:LWB327691 MFR327691:MFX327691 MPN327691:MPT327691 MZJ327691:MZP327691 NJF327691:NJL327691 NTB327691:NTH327691 OCX327691:ODD327691 OMT327691:OMZ327691 OWP327691:OWV327691 PGL327691:PGR327691 PQH327691:PQN327691 QAD327691:QAJ327691 QJZ327691:QKF327691 QTV327691:QUB327691 RDR327691:RDX327691 RNN327691:RNT327691 RXJ327691:RXP327691 SHF327691:SHL327691 SRB327691:SRH327691 TAX327691:TBD327691 TKT327691:TKZ327691 TUP327691:TUV327691 UEL327691:UER327691 UOH327691:UON327691 UYD327691:UYJ327691 VHZ327691:VIF327691 VRV327691:VSB327691 WBR327691:WBX327691 WLN327691:WLT327691 WVJ327691:WVP327691 B393227:H393227 IX393227:JD393227 ST393227:SZ393227 ACP393227:ACV393227 AML393227:AMR393227 AWH393227:AWN393227 BGD393227:BGJ393227 BPZ393227:BQF393227 BZV393227:CAB393227 CJR393227:CJX393227 CTN393227:CTT393227 DDJ393227:DDP393227 DNF393227:DNL393227 DXB393227:DXH393227 EGX393227:EHD393227 EQT393227:EQZ393227 FAP393227:FAV393227 FKL393227:FKR393227 FUH393227:FUN393227 GED393227:GEJ393227 GNZ393227:GOF393227 GXV393227:GYB393227 HHR393227:HHX393227 HRN393227:HRT393227 IBJ393227:IBP393227 ILF393227:ILL393227 IVB393227:IVH393227 JEX393227:JFD393227 JOT393227:JOZ393227 JYP393227:JYV393227 KIL393227:KIR393227 KSH393227:KSN393227 LCD393227:LCJ393227 LLZ393227:LMF393227 LVV393227:LWB393227 MFR393227:MFX393227 MPN393227:MPT393227 MZJ393227:MZP393227 NJF393227:NJL393227 NTB393227:NTH393227 OCX393227:ODD393227 OMT393227:OMZ393227 OWP393227:OWV393227 PGL393227:PGR393227 PQH393227:PQN393227 QAD393227:QAJ393227 QJZ393227:QKF393227 QTV393227:QUB393227 RDR393227:RDX393227 RNN393227:RNT393227 RXJ393227:RXP393227 SHF393227:SHL393227 SRB393227:SRH393227 TAX393227:TBD393227 TKT393227:TKZ393227 TUP393227:TUV393227 UEL393227:UER393227 UOH393227:UON393227 UYD393227:UYJ393227 VHZ393227:VIF393227 VRV393227:VSB393227 WBR393227:WBX393227 WLN393227:WLT393227 WVJ393227:WVP393227 B458763:H458763 IX458763:JD458763 ST458763:SZ458763 ACP458763:ACV458763 AML458763:AMR458763 AWH458763:AWN458763 BGD458763:BGJ458763 BPZ458763:BQF458763 BZV458763:CAB458763 CJR458763:CJX458763 CTN458763:CTT458763 DDJ458763:DDP458763 DNF458763:DNL458763 DXB458763:DXH458763 EGX458763:EHD458763 EQT458763:EQZ458763 FAP458763:FAV458763 FKL458763:FKR458763 FUH458763:FUN458763 GED458763:GEJ458763 GNZ458763:GOF458763 GXV458763:GYB458763 HHR458763:HHX458763 HRN458763:HRT458763 IBJ458763:IBP458763 ILF458763:ILL458763 IVB458763:IVH458763 JEX458763:JFD458763 JOT458763:JOZ458763 JYP458763:JYV458763 KIL458763:KIR458763 KSH458763:KSN458763 LCD458763:LCJ458763 LLZ458763:LMF458763 LVV458763:LWB458763 MFR458763:MFX458763 MPN458763:MPT458763 MZJ458763:MZP458763 NJF458763:NJL458763 NTB458763:NTH458763 OCX458763:ODD458763 OMT458763:OMZ458763 OWP458763:OWV458763 PGL458763:PGR458763 PQH458763:PQN458763 QAD458763:QAJ458763 QJZ458763:QKF458763 QTV458763:QUB458763 RDR458763:RDX458763 RNN458763:RNT458763 RXJ458763:RXP458763 SHF458763:SHL458763 SRB458763:SRH458763 TAX458763:TBD458763 TKT458763:TKZ458763 TUP458763:TUV458763 UEL458763:UER458763 UOH458763:UON458763 UYD458763:UYJ458763 VHZ458763:VIF458763 VRV458763:VSB458763 WBR458763:WBX458763 WLN458763:WLT458763 WVJ458763:WVP458763 B524299:H524299 IX524299:JD524299 ST524299:SZ524299 ACP524299:ACV524299 AML524299:AMR524299 AWH524299:AWN524299 BGD524299:BGJ524299 BPZ524299:BQF524299 BZV524299:CAB524299 CJR524299:CJX524299 CTN524299:CTT524299 DDJ524299:DDP524299 DNF524299:DNL524299 DXB524299:DXH524299 EGX524299:EHD524299 EQT524299:EQZ524299 FAP524299:FAV524299 FKL524299:FKR524299 FUH524299:FUN524299 GED524299:GEJ524299 GNZ524299:GOF524299 GXV524299:GYB524299 HHR524299:HHX524299 HRN524299:HRT524299 IBJ524299:IBP524299 ILF524299:ILL524299 IVB524299:IVH524299 JEX524299:JFD524299 JOT524299:JOZ524299 JYP524299:JYV524299 KIL524299:KIR524299 KSH524299:KSN524299 LCD524299:LCJ524299 LLZ524299:LMF524299 LVV524299:LWB524299 MFR524299:MFX524299 MPN524299:MPT524299 MZJ524299:MZP524299 NJF524299:NJL524299 NTB524299:NTH524299 OCX524299:ODD524299 OMT524299:OMZ524299 OWP524299:OWV524299 PGL524299:PGR524299 PQH524299:PQN524299 QAD524299:QAJ524299 QJZ524299:QKF524299 QTV524299:QUB524299 RDR524299:RDX524299 RNN524299:RNT524299 RXJ524299:RXP524299 SHF524299:SHL524299 SRB524299:SRH524299 TAX524299:TBD524299 TKT524299:TKZ524299 TUP524299:TUV524299 UEL524299:UER524299 UOH524299:UON524299 UYD524299:UYJ524299 VHZ524299:VIF524299 VRV524299:VSB524299 WBR524299:WBX524299 WLN524299:WLT524299 WVJ524299:WVP524299 B589835:H589835 IX589835:JD589835 ST589835:SZ589835 ACP589835:ACV589835 AML589835:AMR589835 AWH589835:AWN589835 BGD589835:BGJ589835 BPZ589835:BQF589835 BZV589835:CAB589835 CJR589835:CJX589835 CTN589835:CTT589835 DDJ589835:DDP589835 DNF589835:DNL589835 DXB589835:DXH589835 EGX589835:EHD589835 EQT589835:EQZ589835 FAP589835:FAV589835 FKL589835:FKR589835 FUH589835:FUN589835 GED589835:GEJ589835 GNZ589835:GOF589835 GXV589835:GYB589835 HHR589835:HHX589835 HRN589835:HRT589835 IBJ589835:IBP589835 ILF589835:ILL589835 IVB589835:IVH589835 JEX589835:JFD589835 JOT589835:JOZ589835 JYP589835:JYV589835 KIL589835:KIR589835 KSH589835:KSN589835 LCD589835:LCJ589835 LLZ589835:LMF589835 LVV589835:LWB589835 MFR589835:MFX589835 MPN589835:MPT589835 MZJ589835:MZP589835 NJF589835:NJL589835 NTB589835:NTH589835 OCX589835:ODD589835 OMT589835:OMZ589835 OWP589835:OWV589835 PGL589835:PGR589835 PQH589835:PQN589835 QAD589835:QAJ589835 QJZ589835:QKF589835 QTV589835:QUB589835 RDR589835:RDX589835 RNN589835:RNT589835 RXJ589835:RXP589835 SHF589835:SHL589835 SRB589835:SRH589835 TAX589835:TBD589835 TKT589835:TKZ589835 TUP589835:TUV589835 UEL589835:UER589835 UOH589835:UON589835 UYD589835:UYJ589835 VHZ589835:VIF589835 VRV589835:VSB589835 WBR589835:WBX589835 WLN589835:WLT589835 WVJ589835:WVP589835 B655371:H655371 IX655371:JD655371 ST655371:SZ655371 ACP655371:ACV655371 AML655371:AMR655371 AWH655371:AWN655371 BGD655371:BGJ655371 BPZ655371:BQF655371 BZV655371:CAB655371 CJR655371:CJX655371 CTN655371:CTT655371 DDJ655371:DDP655371 DNF655371:DNL655371 DXB655371:DXH655371 EGX655371:EHD655371 EQT655371:EQZ655371 FAP655371:FAV655371 FKL655371:FKR655371 FUH655371:FUN655371 GED655371:GEJ655371 GNZ655371:GOF655371 GXV655371:GYB655371 HHR655371:HHX655371 HRN655371:HRT655371 IBJ655371:IBP655371 ILF655371:ILL655371 IVB655371:IVH655371 JEX655371:JFD655371 JOT655371:JOZ655371 JYP655371:JYV655371 KIL655371:KIR655371 KSH655371:KSN655371 LCD655371:LCJ655371 LLZ655371:LMF655371 LVV655371:LWB655371 MFR655371:MFX655371 MPN655371:MPT655371 MZJ655371:MZP655371 NJF655371:NJL655371 NTB655371:NTH655371 OCX655371:ODD655371 OMT655371:OMZ655371 OWP655371:OWV655371 PGL655371:PGR655371 PQH655371:PQN655371 QAD655371:QAJ655371 QJZ655371:QKF655371 QTV655371:QUB655371 RDR655371:RDX655371 RNN655371:RNT655371 RXJ655371:RXP655371 SHF655371:SHL655371 SRB655371:SRH655371 TAX655371:TBD655371 TKT655371:TKZ655371 TUP655371:TUV655371 UEL655371:UER655371 UOH655371:UON655371 UYD655371:UYJ655371 VHZ655371:VIF655371 VRV655371:VSB655371 WBR655371:WBX655371 WLN655371:WLT655371 WVJ655371:WVP655371 B720907:H720907 IX720907:JD720907 ST720907:SZ720907 ACP720907:ACV720907 AML720907:AMR720907 AWH720907:AWN720907 BGD720907:BGJ720907 BPZ720907:BQF720907 BZV720907:CAB720907 CJR720907:CJX720907 CTN720907:CTT720907 DDJ720907:DDP720907 DNF720907:DNL720907 DXB720907:DXH720907 EGX720907:EHD720907 EQT720907:EQZ720907 FAP720907:FAV720907 FKL720907:FKR720907 FUH720907:FUN720907 GED720907:GEJ720907 GNZ720907:GOF720907 GXV720907:GYB720907 HHR720907:HHX720907 HRN720907:HRT720907 IBJ720907:IBP720907 ILF720907:ILL720907 IVB720907:IVH720907 JEX720907:JFD720907 JOT720907:JOZ720907 JYP720907:JYV720907 KIL720907:KIR720907 KSH720907:KSN720907 LCD720907:LCJ720907 LLZ720907:LMF720907 LVV720907:LWB720907 MFR720907:MFX720907 MPN720907:MPT720907 MZJ720907:MZP720907 NJF720907:NJL720907 NTB720907:NTH720907 OCX720907:ODD720907 OMT720907:OMZ720907 OWP720907:OWV720907 PGL720907:PGR720907 PQH720907:PQN720907 QAD720907:QAJ720907 QJZ720907:QKF720907 QTV720907:QUB720907 RDR720907:RDX720907 RNN720907:RNT720907 RXJ720907:RXP720907 SHF720907:SHL720907 SRB720907:SRH720907 TAX720907:TBD720907 TKT720907:TKZ720907 TUP720907:TUV720907 UEL720907:UER720907 UOH720907:UON720907 UYD720907:UYJ720907 VHZ720907:VIF720907 VRV720907:VSB720907 WBR720907:WBX720907 WLN720907:WLT720907 WVJ720907:WVP720907 B786443:H786443 IX786443:JD786443 ST786443:SZ786443 ACP786443:ACV786443 AML786443:AMR786443 AWH786443:AWN786443 BGD786443:BGJ786443 BPZ786443:BQF786443 BZV786443:CAB786443 CJR786443:CJX786443 CTN786443:CTT786443 DDJ786443:DDP786443 DNF786443:DNL786443 DXB786443:DXH786443 EGX786443:EHD786443 EQT786443:EQZ786443 FAP786443:FAV786443 FKL786443:FKR786443 FUH786443:FUN786443 GED786443:GEJ786443 GNZ786443:GOF786443 GXV786443:GYB786443 HHR786443:HHX786443 HRN786443:HRT786443 IBJ786443:IBP786443 ILF786443:ILL786443 IVB786443:IVH786443 JEX786443:JFD786443 JOT786443:JOZ786443 JYP786443:JYV786443 KIL786443:KIR786443 KSH786443:KSN786443 LCD786443:LCJ786443 LLZ786443:LMF786443 LVV786443:LWB786443 MFR786443:MFX786443 MPN786443:MPT786443 MZJ786443:MZP786443 NJF786443:NJL786443 NTB786443:NTH786443 OCX786443:ODD786443 OMT786443:OMZ786443 OWP786443:OWV786443 PGL786443:PGR786443 PQH786443:PQN786443 QAD786443:QAJ786443 QJZ786443:QKF786443 QTV786443:QUB786443 RDR786443:RDX786443 RNN786443:RNT786443 RXJ786443:RXP786443 SHF786443:SHL786443 SRB786443:SRH786443 TAX786443:TBD786443 TKT786443:TKZ786443 TUP786443:TUV786443 UEL786443:UER786443 UOH786443:UON786443 UYD786443:UYJ786443 VHZ786443:VIF786443 VRV786443:VSB786443 WBR786443:WBX786443 WLN786443:WLT786443 WVJ786443:WVP786443 B851979:H851979 IX851979:JD851979 ST851979:SZ851979 ACP851979:ACV851979 AML851979:AMR851979 AWH851979:AWN851979 BGD851979:BGJ851979 BPZ851979:BQF851979 BZV851979:CAB851979 CJR851979:CJX851979 CTN851979:CTT851979 DDJ851979:DDP851979 DNF851979:DNL851979 DXB851979:DXH851979 EGX851979:EHD851979 EQT851979:EQZ851979 FAP851979:FAV851979 FKL851979:FKR851979 FUH851979:FUN851979 GED851979:GEJ851979 GNZ851979:GOF851979 GXV851979:GYB851979 HHR851979:HHX851979 HRN851979:HRT851979 IBJ851979:IBP851979 ILF851979:ILL851979 IVB851979:IVH851979 JEX851979:JFD851979 JOT851979:JOZ851979 JYP851979:JYV851979 KIL851979:KIR851979 KSH851979:KSN851979 LCD851979:LCJ851979 LLZ851979:LMF851979 LVV851979:LWB851979 MFR851979:MFX851979 MPN851979:MPT851979 MZJ851979:MZP851979 NJF851979:NJL851979 NTB851979:NTH851979 OCX851979:ODD851979 OMT851979:OMZ851979 OWP851979:OWV851979 PGL851979:PGR851979 PQH851979:PQN851979 QAD851979:QAJ851979 QJZ851979:QKF851979 QTV851979:QUB851979 RDR851979:RDX851979 RNN851979:RNT851979 RXJ851979:RXP851979 SHF851979:SHL851979 SRB851979:SRH851979 TAX851979:TBD851979 TKT851979:TKZ851979 TUP851979:TUV851979 UEL851979:UER851979 UOH851979:UON851979 UYD851979:UYJ851979 VHZ851979:VIF851979 VRV851979:VSB851979 WBR851979:WBX851979 WLN851979:WLT851979 WVJ851979:WVP851979 B917515:H917515 IX917515:JD917515 ST917515:SZ917515 ACP917515:ACV917515 AML917515:AMR917515 AWH917515:AWN917515 BGD917515:BGJ917515 BPZ917515:BQF917515 BZV917515:CAB917515 CJR917515:CJX917515 CTN917515:CTT917515 DDJ917515:DDP917515 DNF917515:DNL917515 DXB917515:DXH917515 EGX917515:EHD917515 EQT917515:EQZ917515 FAP917515:FAV917515 FKL917515:FKR917515 FUH917515:FUN917515 GED917515:GEJ917515 GNZ917515:GOF917515 GXV917515:GYB917515 HHR917515:HHX917515 HRN917515:HRT917515 IBJ917515:IBP917515 ILF917515:ILL917515 IVB917515:IVH917515 JEX917515:JFD917515 JOT917515:JOZ917515 JYP917515:JYV917515 KIL917515:KIR917515 KSH917515:KSN917515 LCD917515:LCJ917515 LLZ917515:LMF917515 LVV917515:LWB917515 MFR917515:MFX917515 MPN917515:MPT917515 MZJ917515:MZP917515 NJF917515:NJL917515 NTB917515:NTH917515 OCX917515:ODD917515 OMT917515:OMZ917515 OWP917515:OWV917515 PGL917515:PGR917515 PQH917515:PQN917515 QAD917515:QAJ917515 QJZ917515:QKF917515 QTV917515:QUB917515 RDR917515:RDX917515 RNN917515:RNT917515 RXJ917515:RXP917515 SHF917515:SHL917515 SRB917515:SRH917515 TAX917515:TBD917515 TKT917515:TKZ917515 TUP917515:TUV917515 UEL917515:UER917515 UOH917515:UON917515 UYD917515:UYJ917515 VHZ917515:VIF917515 VRV917515:VSB917515 WBR917515:WBX917515 WLN917515:WLT917515 WVJ917515:WVP917515 B983051:H983051 IX983051:JD983051 ST983051:SZ983051 ACP983051:ACV983051 AML983051:AMR983051 AWH983051:AWN983051 BGD983051:BGJ983051 BPZ983051:BQF983051 BZV983051:CAB983051 CJR983051:CJX983051 CTN983051:CTT983051 DDJ983051:DDP983051 DNF983051:DNL983051 DXB983051:DXH983051 EGX983051:EHD983051 EQT983051:EQZ983051 FAP983051:FAV983051 FKL983051:FKR983051 FUH983051:FUN983051 GED983051:GEJ983051 GNZ983051:GOF983051 GXV983051:GYB983051 HHR983051:HHX983051 HRN983051:HRT983051 IBJ983051:IBP983051 ILF983051:ILL983051 IVB983051:IVH983051 JEX983051:JFD983051 JOT983051:JOZ983051 JYP983051:JYV983051 KIL983051:KIR983051 KSH983051:KSN983051 LCD983051:LCJ983051 LLZ983051:LMF983051 LVV983051:LWB983051 MFR983051:MFX983051 MPN983051:MPT983051 MZJ983051:MZP983051 NJF983051:NJL983051 NTB983051:NTH983051 OCX983051:ODD983051 OMT983051:OMZ983051 OWP983051:OWV983051 PGL983051:PGR983051 PQH983051:PQN983051 QAD983051:QAJ983051 QJZ983051:QKF983051 QTV983051:QUB983051 RDR983051:RDX983051 RNN983051:RNT983051 RXJ983051:RXP983051 SHF983051:SHL983051 SRB983051:SRH983051 TAX983051:TBD983051 TKT983051:TKZ983051 TUP983051:TUV983051 UEL983051:UER983051 UOH983051:UON983051 UYD983051:UYJ983051 VHZ983051:VIF983051 VRV983051:VSB983051 WBR983051:WBX983051 WLN983051:WLT983051 WVJ983051:WVP983051 K11:L11 JG11:JH11 TC11:TD11 ACY11:ACZ11 AMU11:AMV11 AWQ11:AWR11 BGM11:BGN11 BQI11:BQJ11 CAE11:CAF11 CKA11:CKB11 CTW11:CTX11 DDS11:DDT11 DNO11:DNP11 DXK11:DXL11 EHG11:EHH11 ERC11:ERD11 FAY11:FAZ11 FKU11:FKV11 FUQ11:FUR11 GEM11:GEN11 GOI11:GOJ11 GYE11:GYF11 HIA11:HIB11 HRW11:HRX11 IBS11:IBT11 ILO11:ILP11 IVK11:IVL11 JFG11:JFH11 JPC11:JPD11 JYY11:JYZ11 KIU11:KIV11 KSQ11:KSR11 LCM11:LCN11 LMI11:LMJ11 LWE11:LWF11 MGA11:MGB11 MPW11:MPX11 MZS11:MZT11 NJO11:NJP11 NTK11:NTL11 ODG11:ODH11 ONC11:OND11 OWY11:OWZ11 PGU11:PGV11 PQQ11:PQR11 QAM11:QAN11 QKI11:QKJ11 QUE11:QUF11 REA11:REB11 RNW11:RNX11 RXS11:RXT11 SHO11:SHP11 SRK11:SRL11 TBG11:TBH11 TLC11:TLD11 TUY11:TUZ11 UEU11:UEV11 UOQ11:UOR11 UYM11:UYN11 VII11:VIJ11 VSE11:VSF11 WCA11:WCB11 WLW11:WLX11 WVS11:WVT11 K65547:L65547 JG65547:JH65547 TC65547:TD65547 ACY65547:ACZ65547 AMU65547:AMV65547 AWQ65547:AWR65547 BGM65547:BGN65547 BQI65547:BQJ65547 CAE65547:CAF65547 CKA65547:CKB65547 CTW65547:CTX65547 DDS65547:DDT65547 DNO65547:DNP65547 DXK65547:DXL65547 EHG65547:EHH65547 ERC65547:ERD65547 FAY65547:FAZ65547 FKU65547:FKV65547 FUQ65547:FUR65547 GEM65547:GEN65547 GOI65547:GOJ65547 GYE65547:GYF65547 HIA65547:HIB65547 HRW65547:HRX65547 IBS65547:IBT65547 ILO65547:ILP65547 IVK65547:IVL65547 JFG65547:JFH65547 JPC65547:JPD65547 JYY65547:JYZ65547 KIU65547:KIV65547 KSQ65547:KSR65547 LCM65547:LCN65547 LMI65547:LMJ65547 LWE65547:LWF65547 MGA65547:MGB65547 MPW65547:MPX65547 MZS65547:MZT65547 NJO65547:NJP65547 NTK65547:NTL65547 ODG65547:ODH65547 ONC65547:OND65547 OWY65547:OWZ65547 PGU65547:PGV65547 PQQ65547:PQR65547 QAM65547:QAN65547 QKI65547:QKJ65547 QUE65547:QUF65547 REA65547:REB65547 RNW65547:RNX65547 RXS65547:RXT65547 SHO65547:SHP65547 SRK65547:SRL65547 TBG65547:TBH65547 TLC65547:TLD65547 TUY65547:TUZ65547 UEU65547:UEV65547 UOQ65547:UOR65547 UYM65547:UYN65547 VII65547:VIJ65547 VSE65547:VSF65547 WCA65547:WCB65547 WLW65547:WLX65547 WVS65547:WVT65547 K131083:L131083 JG131083:JH131083 TC131083:TD131083 ACY131083:ACZ131083 AMU131083:AMV131083 AWQ131083:AWR131083 BGM131083:BGN131083 BQI131083:BQJ131083 CAE131083:CAF131083 CKA131083:CKB131083 CTW131083:CTX131083 DDS131083:DDT131083 DNO131083:DNP131083 DXK131083:DXL131083 EHG131083:EHH131083 ERC131083:ERD131083 FAY131083:FAZ131083 FKU131083:FKV131083 FUQ131083:FUR131083 GEM131083:GEN131083 GOI131083:GOJ131083 GYE131083:GYF131083 HIA131083:HIB131083 HRW131083:HRX131083 IBS131083:IBT131083 ILO131083:ILP131083 IVK131083:IVL131083 JFG131083:JFH131083 JPC131083:JPD131083 JYY131083:JYZ131083 KIU131083:KIV131083 KSQ131083:KSR131083 LCM131083:LCN131083 LMI131083:LMJ131083 LWE131083:LWF131083 MGA131083:MGB131083 MPW131083:MPX131083 MZS131083:MZT131083 NJO131083:NJP131083 NTK131083:NTL131083 ODG131083:ODH131083 ONC131083:OND131083 OWY131083:OWZ131083 PGU131083:PGV131083 PQQ131083:PQR131083 QAM131083:QAN131083 QKI131083:QKJ131083 QUE131083:QUF131083 REA131083:REB131083 RNW131083:RNX131083 RXS131083:RXT131083 SHO131083:SHP131083 SRK131083:SRL131083 TBG131083:TBH131083 TLC131083:TLD131083 TUY131083:TUZ131083 UEU131083:UEV131083 UOQ131083:UOR131083 UYM131083:UYN131083 VII131083:VIJ131083 VSE131083:VSF131083 WCA131083:WCB131083 WLW131083:WLX131083 WVS131083:WVT131083 K196619:L196619 JG196619:JH196619 TC196619:TD196619 ACY196619:ACZ196619 AMU196619:AMV196619 AWQ196619:AWR196619 BGM196619:BGN196619 BQI196619:BQJ196619 CAE196619:CAF196619 CKA196619:CKB196619 CTW196619:CTX196619 DDS196619:DDT196619 DNO196619:DNP196619 DXK196619:DXL196619 EHG196619:EHH196619 ERC196619:ERD196619 FAY196619:FAZ196619 FKU196619:FKV196619 FUQ196619:FUR196619 GEM196619:GEN196619 GOI196619:GOJ196619 GYE196619:GYF196619 HIA196619:HIB196619 HRW196619:HRX196619 IBS196619:IBT196619 ILO196619:ILP196619 IVK196619:IVL196619 JFG196619:JFH196619 JPC196619:JPD196619 JYY196619:JYZ196619 KIU196619:KIV196619 KSQ196619:KSR196619 LCM196619:LCN196619 LMI196619:LMJ196619 LWE196619:LWF196619 MGA196619:MGB196619 MPW196619:MPX196619 MZS196619:MZT196619 NJO196619:NJP196619 NTK196619:NTL196619 ODG196619:ODH196619 ONC196619:OND196619 OWY196619:OWZ196619 PGU196619:PGV196619 PQQ196619:PQR196619 QAM196619:QAN196619 QKI196619:QKJ196619 QUE196619:QUF196619 REA196619:REB196619 RNW196619:RNX196619 RXS196619:RXT196619 SHO196619:SHP196619 SRK196619:SRL196619 TBG196619:TBH196619 TLC196619:TLD196619 TUY196619:TUZ196619 UEU196619:UEV196619 UOQ196619:UOR196619 UYM196619:UYN196619 VII196619:VIJ196619 VSE196619:VSF196619 WCA196619:WCB196619 WLW196619:WLX196619 WVS196619:WVT196619 K262155:L262155 JG262155:JH262155 TC262155:TD262155 ACY262155:ACZ262155 AMU262155:AMV262155 AWQ262155:AWR262155 BGM262155:BGN262155 BQI262155:BQJ262155 CAE262155:CAF262155 CKA262155:CKB262155 CTW262155:CTX262155 DDS262155:DDT262155 DNO262155:DNP262155 DXK262155:DXL262155 EHG262155:EHH262155 ERC262155:ERD262155 FAY262155:FAZ262155 FKU262155:FKV262155 FUQ262155:FUR262155 GEM262155:GEN262155 GOI262155:GOJ262155 GYE262155:GYF262155 HIA262155:HIB262155 HRW262155:HRX262155 IBS262155:IBT262155 ILO262155:ILP262155 IVK262155:IVL262155 JFG262155:JFH262155 JPC262155:JPD262155 JYY262155:JYZ262155 KIU262155:KIV262155 KSQ262155:KSR262155 LCM262155:LCN262155 LMI262155:LMJ262155 LWE262155:LWF262155 MGA262155:MGB262155 MPW262155:MPX262155 MZS262155:MZT262155 NJO262155:NJP262155 NTK262155:NTL262155 ODG262155:ODH262155 ONC262155:OND262155 OWY262155:OWZ262155 PGU262155:PGV262155 PQQ262155:PQR262155 QAM262155:QAN262155 QKI262155:QKJ262155 QUE262155:QUF262155 REA262155:REB262155 RNW262155:RNX262155 RXS262155:RXT262155 SHO262155:SHP262155 SRK262155:SRL262155 TBG262155:TBH262155 TLC262155:TLD262155 TUY262155:TUZ262155 UEU262155:UEV262155 UOQ262155:UOR262155 UYM262155:UYN262155 VII262155:VIJ262155 VSE262155:VSF262155 WCA262155:WCB262155 WLW262155:WLX262155 WVS262155:WVT262155 K327691:L327691 JG327691:JH327691 TC327691:TD327691 ACY327691:ACZ327691 AMU327691:AMV327691 AWQ327691:AWR327691 BGM327691:BGN327691 BQI327691:BQJ327691 CAE327691:CAF327691 CKA327691:CKB327691 CTW327691:CTX327691 DDS327691:DDT327691 DNO327691:DNP327691 DXK327691:DXL327691 EHG327691:EHH327691 ERC327691:ERD327691 FAY327691:FAZ327691 FKU327691:FKV327691 FUQ327691:FUR327691 GEM327691:GEN327691 GOI327691:GOJ327691 GYE327691:GYF327691 HIA327691:HIB327691 HRW327691:HRX327691 IBS327691:IBT327691 ILO327691:ILP327691 IVK327691:IVL327691 JFG327691:JFH327691 JPC327691:JPD327691 JYY327691:JYZ327691 KIU327691:KIV327691 KSQ327691:KSR327691 LCM327691:LCN327691 LMI327691:LMJ327691 LWE327691:LWF327691 MGA327691:MGB327691 MPW327691:MPX327691 MZS327691:MZT327691 NJO327691:NJP327691 NTK327691:NTL327691 ODG327691:ODH327691 ONC327691:OND327691 OWY327691:OWZ327691 PGU327691:PGV327691 PQQ327691:PQR327691 QAM327691:QAN327691 QKI327691:QKJ327691 QUE327691:QUF327691 REA327691:REB327691 RNW327691:RNX327691 RXS327691:RXT327691 SHO327691:SHP327691 SRK327691:SRL327691 TBG327691:TBH327691 TLC327691:TLD327691 TUY327691:TUZ327691 UEU327691:UEV327691 UOQ327691:UOR327691 UYM327691:UYN327691 VII327691:VIJ327691 VSE327691:VSF327691 WCA327691:WCB327691 WLW327691:WLX327691 WVS327691:WVT327691 K393227:L393227 JG393227:JH393227 TC393227:TD393227 ACY393227:ACZ393227 AMU393227:AMV393227 AWQ393227:AWR393227 BGM393227:BGN393227 BQI393227:BQJ393227 CAE393227:CAF393227 CKA393227:CKB393227 CTW393227:CTX393227 DDS393227:DDT393227 DNO393227:DNP393227 DXK393227:DXL393227 EHG393227:EHH393227 ERC393227:ERD393227 FAY393227:FAZ393227 FKU393227:FKV393227 FUQ393227:FUR393227 GEM393227:GEN393227 GOI393227:GOJ393227 GYE393227:GYF393227 HIA393227:HIB393227 HRW393227:HRX393227 IBS393227:IBT393227 ILO393227:ILP393227 IVK393227:IVL393227 JFG393227:JFH393227 JPC393227:JPD393227 JYY393227:JYZ393227 KIU393227:KIV393227 KSQ393227:KSR393227 LCM393227:LCN393227 LMI393227:LMJ393227 LWE393227:LWF393227 MGA393227:MGB393227 MPW393227:MPX393227 MZS393227:MZT393227 NJO393227:NJP393227 NTK393227:NTL393227 ODG393227:ODH393227 ONC393227:OND393227 OWY393227:OWZ393227 PGU393227:PGV393227 PQQ393227:PQR393227 QAM393227:QAN393227 QKI393227:QKJ393227 QUE393227:QUF393227 REA393227:REB393227 RNW393227:RNX393227 RXS393227:RXT393227 SHO393227:SHP393227 SRK393227:SRL393227 TBG393227:TBH393227 TLC393227:TLD393227 TUY393227:TUZ393227 UEU393227:UEV393227 UOQ393227:UOR393227 UYM393227:UYN393227 VII393227:VIJ393227 VSE393227:VSF393227 WCA393227:WCB393227 WLW393227:WLX393227 WVS393227:WVT393227 K458763:L458763 JG458763:JH458763 TC458763:TD458763 ACY458763:ACZ458763 AMU458763:AMV458763 AWQ458763:AWR458763 BGM458763:BGN458763 BQI458763:BQJ458763 CAE458763:CAF458763 CKA458763:CKB458763 CTW458763:CTX458763 DDS458763:DDT458763 DNO458763:DNP458763 DXK458763:DXL458763 EHG458763:EHH458763 ERC458763:ERD458763 FAY458763:FAZ458763 FKU458763:FKV458763 FUQ458763:FUR458763 GEM458763:GEN458763 GOI458763:GOJ458763 GYE458763:GYF458763 HIA458763:HIB458763 HRW458763:HRX458763 IBS458763:IBT458763 ILO458763:ILP458763 IVK458763:IVL458763 JFG458763:JFH458763 JPC458763:JPD458763 JYY458763:JYZ458763 KIU458763:KIV458763 KSQ458763:KSR458763 LCM458763:LCN458763 LMI458763:LMJ458763 LWE458763:LWF458763 MGA458763:MGB458763 MPW458763:MPX458763 MZS458763:MZT458763 NJO458763:NJP458763 NTK458763:NTL458763 ODG458763:ODH458763 ONC458763:OND458763 OWY458763:OWZ458763 PGU458763:PGV458763 PQQ458763:PQR458763 QAM458763:QAN458763 QKI458763:QKJ458763 QUE458763:QUF458763 REA458763:REB458763 RNW458763:RNX458763 RXS458763:RXT458763 SHO458763:SHP458763 SRK458763:SRL458763 TBG458763:TBH458763 TLC458763:TLD458763 TUY458763:TUZ458763 UEU458763:UEV458763 UOQ458763:UOR458763 UYM458763:UYN458763 VII458763:VIJ458763 VSE458763:VSF458763 WCA458763:WCB458763 WLW458763:WLX458763 WVS458763:WVT458763 K524299:L524299 JG524299:JH524299 TC524299:TD524299 ACY524299:ACZ524299 AMU524299:AMV524299 AWQ524299:AWR524299 BGM524299:BGN524299 BQI524299:BQJ524299 CAE524299:CAF524299 CKA524299:CKB524299 CTW524299:CTX524299 DDS524299:DDT524299 DNO524299:DNP524299 DXK524299:DXL524299 EHG524299:EHH524299 ERC524299:ERD524299 FAY524299:FAZ524299 FKU524299:FKV524299 FUQ524299:FUR524299 GEM524299:GEN524299 GOI524299:GOJ524299 GYE524299:GYF524299 HIA524299:HIB524299 HRW524299:HRX524299 IBS524299:IBT524299 ILO524299:ILP524299 IVK524299:IVL524299 JFG524299:JFH524299 JPC524299:JPD524299 JYY524299:JYZ524299 KIU524299:KIV524299 KSQ524299:KSR524299 LCM524299:LCN524299 LMI524299:LMJ524299 LWE524299:LWF524299 MGA524299:MGB524299 MPW524299:MPX524299 MZS524299:MZT524299 NJO524299:NJP524299 NTK524299:NTL524299 ODG524299:ODH524299 ONC524299:OND524299 OWY524299:OWZ524299 PGU524299:PGV524299 PQQ524299:PQR524299 QAM524299:QAN524299 QKI524299:QKJ524299 QUE524299:QUF524299 REA524299:REB524299 RNW524299:RNX524299 RXS524299:RXT524299 SHO524299:SHP524299 SRK524299:SRL524299 TBG524299:TBH524299 TLC524299:TLD524299 TUY524299:TUZ524299 UEU524299:UEV524299 UOQ524299:UOR524299 UYM524299:UYN524299 VII524299:VIJ524299 VSE524299:VSF524299 WCA524299:WCB524299 WLW524299:WLX524299 WVS524299:WVT524299 K589835:L589835 JG589835:JH589835 TC589835:TD589835 ACY589835:ACZ589835 AMU589835:AMV589835 AWQ589835:AWR589835 BGM589835:BGN589835 BQI589835:BQJ589835 CAE589835:CAF589835 CKA589835:CKB589835 CTW589835:CTX589835 DDS589835:DDT589835 DNO589835:DNP589835 DXK589835:DXL589835 EHG589835:EHH589835 ERC589835:ERD589835 FAY589835:FAZ589835 FKU589835:FKV589835 FUQ589835:FUR589835 GEM589835:GEN589835 GOI589835:GOJ589835 GYE589835:GYF589835 HIA589835:HIB589835 HRW589835:HRX589835 IBS589835:IBT589835 ILO589835:ILP589835 IVK589835:IVL589835 JFG589835:JFH589835 JPC589835:JPD589835 JYY589835:JYZ589835 KIU589835:KIV589835 KSQ589835:KSR589835 LCM589835:LCN589835 LMI589835:LMJ589835 LWE589835:LWF589835 MGA589835:MGB589835 MPW589835:MPX589835 MZS589835:MZT589835 NJO589835:NJP589835 NTK589835:NTL589835 ODG589835:ODH589835 ONC589835:OND589835 OWY589835:OWZ589835 PGU589835:PGV589835 PQQ589835:PQR589835 QAM589835:QAN589835 QKI589835:QKJ589835 QUE589835:QUF589835 REA589835:REB589835 RNW589835:RNX589835 RXS589835:RXT589835 SHO589835:SHP589835 SRK589835:SRL589835 TBG589835:TBH589835 TLC589835:TLD589835 TUY589835:TUZ589835 UEU589835:UEV589835 UOQ589835:UOR589835 UYM589835:UYN589835 VII589835:VIJ589835 VSE589835:VSF589835 WCA589835:WCB589835 WLW589835:WLX589835 WVS589835:WVT589835 K655371:L655371 JG655371:JH655371 TC655371:TD655371 ACY655371:ACZ655371 AMU655371:AMV655371 AWQ655371:AWR655371 BGM655371:BGN655371 BQI655371:BQJ655371 CAE655371:CAF655371 CKA655371:CKB655371 CTW655371:CTX655371 DDS655371:DDT655371 DNO655371:DNP655371 DXK655371:DXL655371 EHG655371:EHH655371 ERC655371:ERD655371 FAY655371:FAZ655371 FKU655371:FKV655371 FUQ655371:FUR655371 GEM655371:GEN655371 GOI655371:GOJ655371 GYE655371:GYF655371 HIA655371:HIB655371 HRW655371:HRX655371 IBS655371:IBT655371 ILO655371:ILP655371 IVK655371:IVL655371 JFG655371:JFH655371 JPC655371:JPD655371 JYY655371:JYZ655371 KIU655371:KIV655371 KSQ655371:KSR655371 LCM655371:LCN655371 LMI655371:LMJ655371 LWE655371:LWF655371 MGA655371:MGB655371 MPW655371:MPX655371 MZS655371:MZT655371 NJO655371:NJP655371 NTK655371:NTL655371 ODG655371:ODH655371 ONC655371:OND655371 OWY655371:OWZ655371 PGU655371:PGV655371 PQQ655371:PQR655371 QAM655371:QAN655371 QKI655371:QKJ655371 QUE655371:QUF655371 REA655371:REB655371 RNW655371:RNX655371 RXS655371:RXT655371 SHO655371:SHP655371 SRK655371:SRL655371 TBG655371:TBH655371 TLC655371:TLD655371 TUY655371:TUZ655371 UEU655371:UEV655371 UOQ655371:UOR655371 UYM655371:UYN655371 VII655371:VIJ655371 VSE655371:VSF655371 WCA655371:WCB655371 WLW655371:WLX655371 WVS655371:WVT655371 K720907:L720907 JG720907:JH720907 TC720907:TD720907 ACY720907:ACZ720907 AMU720907:AMV720907 AWQ720907:AWR720907 BGM720907:BGN720907 BQI720907:BQJ720907 CAE720907:CAF720907 CKA720907:CKB720907 CTW720907:CTX720907 DDS720907:DDT720907 DNO720907:DNP720907 DXK720907:DXL720907 EHG720907:EHH720907 ERC720907:ERD720907 FAY720907:FAZ720907 FKU720907:FKV720907 FUQ720907:FUR720907 GEM720907:GEN720907 GOI720907:GOJ720907 GYE720907:GYF720907 HIA720907:HIB720907 HRW720907:HRX720907 IBS720907:IBT720907 ILO720907:ILP720907 IVK720907:IVL720907 JFG720907:JFH720907 JPC720907:JPD720907 JYY720907:JYZ720907 KIU720907:KIV720907 KSQ720907:KSR720907 LCM720907:LCN720907 LMI720907:LMJ720907 LWE720907:LWF720907 MGA720907:MGB720907 MPW720907:MPX720907 MZS720907:MZT720907 NJO720907:NJP720907 NTK720907:NTL720907 ODG720907:ODH720907 ONC720907:OND720907 OWY720907:OWZ720907 PGU720907:PGV720907 PQQ720907:PQR720907 QAM720907:QAN720907 QKI720907:QKJ720907 QUE720907:QUF720907 REA720907:REB720907 RNW720907:RNX720907 RXS720907:RXT720907 SHO720907:SHP720907 SRK720907:SRL720907 TBG720907:TBH720907 TLC720907:TLD720907 TUY720907:TUZ720907 UEU720907:UEV720907 UOQ720907:UOR720907 UYM720907:UYN720907 VII720907:VIJ720907 VSE720907:VSF720907 WCA720907:WCB720907 WLW720907:WLX720907 WVS720907:WVT720907 K786443:L786443 JG786443:JH786443 TC786443:TD786443 ACY786443:ACZ786443 AMU786443:AMV786443 AWQ786443:AWR786443 BGM786443:BGN786443 BQI786443:BQJ786443 CAE786443:CAF786443 CKA786443:CKB786443 CTW786443:CTX786443 DDS786443:DDT786443 DNO786443:DNP786443 DXK786443:DXL786443 EHG786443:EHH786443 ERC786443:ERD786443 FAY786443:FAZ786443 FKU786443:FKV786443 FUQ786443:FUR786443 GEM786443:GEN786443 GOI786443:GOJ786443 GYE786443:GYF786443 HIA786443:HIB786443 HRW786443:HRX786443 IBS786443:IBT786443 ILO786443:ILP786443 IVK786443:IVL786443 JFG786443:JFH786443 JPC786443:JPD786443 JYY786443:JYZ786443 KIU786443:KIV786443 KSQ786443:KSR786443 LCM786443:LCN786443 LMI786443:LMJ786443 LWE786443:LWF786443 MGA786443:MGB786443 MPW786443:MPX786443 MZS786443:MZT786443 NJO786443:NJP786443 NTK786443:NTL786443 ODG786443:ODH786443 ONC786443:OND786443 OWY786443:OWZ786443 PGU786443:PGV786443 PQQ786443:PQR786443 QAM786443:QAN786443 QKI786443:QKJ786443 QUE786443:QUF786443 REA786443:REB786443 RNW786443:RNX786443 RXS786443:RXT786443 SHO786443:SHP786443 SRK786443:SRL786443 TBG786443:TBH786443 TLC786443:TLD786443 TUY786443:TUZ786443 UEU786443:UEV786443 UOQ786443:UOR786443 UYM786443:UYN786443 VII786443:VIJ786443 VSE786443:VSF786443 WCA786443:WCB786443 WLW786443:WLX786443 WVS786443:WVT786443 K851979:L851979 JG851979:JH851979 TC851979:TD851979 ACY851979:ACZ851979 AMU851979:AMV851979 AWQ851979:AWR851979 BGM851979:BGN851979 BQI851979:BQJ851979 CAE851979:CAF851979 CKA851979:CKB851979 CTW851979:CTX851979 DDS851979:DDT851979 DNO851979:DNP851979 DXK851979:DXL851979 EHG851979:EHH851979 ERC851979:ERD851979 FAY851979:FAZ851979 FKU851979:FKV851979 FUQ851979:FUR851979 GEM851979:GEN851979 GOI851979:GOJ851979 GYE851979:GYF851979 HIA851979:HIB851979 HRW851979:HRX851979 IBS851979:IBT851979 ILO851979:ILP851979 IVK851979:IVL851979 JFG851979:JFH851979 JPC851979:JPD851979 JYY851979:JYZ851979 KIU851979:KIV851979 KSQ851979:KSR851979 LCM851979:LCN851979 LMI851979:LMJ851979 LWE851979:LWF851979 MGA851979:MGB851979 MPW851979:MPX851979 MZS851979:MZT851979 NJO851979:NJP851979 NTK851979:NTL851979 ODG851979:ODH851979 ONC851979:OND851979 OWY851979:OWZ851979 PGU851979:PGV851979 PQQ851979:PQR851979 QAM851979:QAN851979 QKI851979:QKJ851979 QUE851979:QUF851979 REA851979:REB851979 RNW851979:RNX851979 RXS851979:RXT851979 SHO851979:SHP851979 SRK851979:SRL851979 TBG851979:TBH851979 TLC851979:TLD851979 TUY851979:TUZ851979 UEU851979:UEV851979 UOQ851979:UOR851979 UYM851979:UYN851979 VII851979:VIJ851979 VSE851979:VSF851979 WCA851979:WCB851979 WLW851979:WLX851979 WVS851979:WVT851979 K917515:L917515 JG917515:JH917515 TC917515:TD917515 ACY917515:ACZ917515 AMU917515:AMV917515 AWQ917515:AWR917515 BGM917515:BGN917515 BQI917515:BQJ917515 CAE917515:CAF917515 CKA917515:CKB917515 CTW917515:CTX917515 DDS917515:DDT917515 DNO917515:DNP917515 DXK917515:DXL917515 EHG917515:EHH917515 ERC917515:ERD917515 FAY917515:FAZ917515 FKU917515:FKV917515 FUQ917515:FUR917515 GEM917515:GEN917515 GOI917515:GOJ917515 GYE917515:GYF917515 HIA917515:HIB917515 HRW917515:HRX917515 IBS917515:IBT917515 ILO917515:ILP917515 IVK917515:IVL917515 JFG917515:JFH917515 JPC917515:JPD917515 JYY917515:JYZ917515 KIU917515:KIV917515 KSQ917515:KSR917515 LCM917515:LCN917515 LMI917515:LMJ917515 LWE917515:LWF917515 MGA917515:MGB917515 MPW917515:MPX917515 MZS917515:MZT917515 NJO917515:NJP917515 NTK917515:NTL917515 ODG917515:ODH917515 ONC917515:OND917515 OWY917515:OWZ917515 PGU917515:PGV917515 PQQ917515:PQR917515 QAM917515:QAN917515 QKI917515:QKJ917515 QUE917515:QUF917515 REA917515:REB917515 RNW917515:RNX917515 RXS917515:RXT917515 SHO917515:SHP917515 SRK917515:SRL917515 TBG917515:TBH917515 TLC917515:TLD917515 TUY917515:TUZ917515 UEU917515:UEV917515 UOQ917515:UOR917515 UYM917515:UYN917515 VII917515:VIJ917515 VSE917515:VSF917515 WCA917515:WCB917515 WLW917515:WLX917515 WVS917515:WVT917515 K983051:L983051 JG983051:JH983051 TC983051:TD983051 ACY983051:ACZ983051 AMU983051:AMV983051 AWQ983051:AWR983051 BGM983051:BGN983051 BQI983051:BQJ983051 CAE983051:CAF983051 CKA983051:CKB983051 CTW983051:CTX983051 DDS983051:DDT983051 DNO983051:DNP983051 DXK983051:DXL983051 EHG983051:EHH983051 ERC983051:ERD983051 FAY983051:FAZ983051 FKU983051:FKV983051 FUQ983051:FUR983051 GEM983051:GEN983051 GOI983051:GOJ983051 GYE983051:GYF983051 HIA983051:HIB983051 HRW983051:HRX983051 IBS983051:IBT983051 ILO983051:ILP983051 IVK983051:IVL983051 JFG983051:JFH983051 JPC983051:JPD983051 JYY983051:JYZ983051 KIU983051:KIV983051 KSQ983051:KSR983051 LCM983051:LCN983051 LMI983051:LMJ983051 LWE983051:LWF983051 MGA983051:MGB983051 MPW983051:MPX983051 MZS983051:MZT983051 NJO983051:NJP983051 NTK983051:NTL983051 ODG983051:ODH983051 ONC983051:OND983051 OWY983051:OWZ983051 PGU983051:PGV983051 PQQ983051:PQR983051 QAM983051:QAN983051 QKI983051:QKJ983051 QUE983051:QUF983051 REA983051:REB983051 RNW983051:RNX983051 RXS983051:RXT983051 SHO983051:SHP983051 SRK983051:SRL983051 TBG983051:TBH983051 TLC983051:TLD983051 TUY983051:TUZ983051 UEU983051:UEV983051 UOQ983051:UOR983051 UYM983051:UYN983051 VII983051:VIJ983051 VSE983051:VSF983051 WCA983051:WCB983051 WLW983051:WLX983051 WVS983051:WVT983051 B38:H38 IX38:JD38 ST38:SZ38 ACP38:ACV38 AML38:AMR38 AWH38:AWN38 BGD38:BGJ38 BPZ38:BQF38 BZV38:CAB38 CJR38:CJX38 CTN38:CTT38 DDJ38:DDP38 DNF38:DNL38 DXB38:DXH38 EGX38:EHD38 EQT38:EQZ38 FAP38:FAV38 FKL38:FKR38 FUH38:FUN38 GED38:GEJ38 GNZ38:GOF38 GXV38:GYB38 HHR38:HHX38 HRN38:HRT38 IBJ38:IBP38 ILF38:ILL38 IVB38:IVH38 JEX38:JFD38 JOT38:JOZ38 JYP38:JYV38 KIL38:KIR38 KSH38:KSN38 LCD38:LCJ38 LLZ38:LMF38 LVV38:LWB38 MFR38:MFX38 MPN38:MPT38 MZJ38:MZP38 NJF38:NJL38 NTB38:NTH38 OCX38:ODD38 OMT38:OMZ38 OWP38:OWV38 PGL38:PGR38 PQH38:PQN38 QAD38:QAJ38 QJZ38:QKF38 QTV38:QUB38 RDR38:RDX38 RNN38:RNT38 RXJ38:RXP38 SHF38:SHL38 SRB38:SRH38 TAX38:TBD38 TKT38:TKZ38 TUP38:TUV38 UEL38:UER38 UOH38:UON38 UYD38:UYJ38 VHZ38:VIF38 VRV38:VSB38 WBR38:WBX38 WLN38:WLT38 WVJ38:WVP38 B65574:H65574 IX65574:JD65574 ST65574:SZ65574 ACP65574:ACV65574 AML65574:AMR65574 AWH65574:AWN65574 BGD65574:BGJ65574 BPZ65574:BQF65574 BZV65574:CAB65574 CJR65574:CJX65574 CTN65574:CTT65574 DDJ65574:DDP65574 DNF65574:DNL65574 DXB65574:DXH65574 EGX65574:EHD65574 EQT65574:EQZ65574 FAP65574:FAV65574 FKL65574:FKR65574 FUH65574:FUN65574 GED65574:GEJ65574 GNZ65574:GOF65574 GXV65574:GYB65574 HHR65574:HHX65574 HRN65574:HRT65574 IBJ65574:IBP65574 ILF65574:ILL65574 IVB65574:IVH65574 JEX65574:JFD65574 JOT65574:JOZ65574 JYP65574:JYV65574 KIL65574:KIR65574 KSH65574:KSN65574 LCD65574:LCJ65574 LLZ65574:LMF65574 LVV65574:LWB65574 MFR65574:MFX65574 MPN65574:MPT65574 MZJ65574:MZP65574 NJF65574:NJL65574 NTB65574:NTH65574 OCX65574:ODD65574 OMT65574:OMZ65574 OWP65574:OWV65574 PGL65574:PGR65574 PQH65574:PQN65574 QAD65574:QAJ65574 QJZ65574:QKF65574 QTV65574:QUB65574 RDR65574:RDX65574 RNN65574:RNT65574 RXJ65574:RXP65574 SHF65574:SHL65574 SRB65574:SRH65574 TAX65574:TBD65574 TKT65574:TKZ65574 TUP65574:TUV65574 UEL65574:UER65574 UOH65574:UON65574 UYD65574:UYJ65574 VHZ65574:VIF65574 VRV65574:VSB65574 WBR65574:WBX65574 WLN65574:WLT65574 WVJ65574:WVP65574 B131110:H131110 IX131110:JD131110 ST131110:SZ131110 ACP131110:ACV131110 AML131110:AMR131110 AWH131110:AWN131110 BGD131110:BGJ131110 BPZ131110:BQF131110 BZV131110:CAB131110 CJR131110:CJX131110 CTN131110:CTT131110 DDJ131110:DDP131110 DNF131110:DNL131110 DXB131110:DXH131110 EGX131110:EHD131110 EQT131110:EQZ131110 FAP131110:FAV131110 FKL131110:FKR131110 FUH131110:FUN131110 GED131110:GEJ131110 GNZ131110:GOF131110 GXV131110:GYB131110 HHR131110:HHX131110 HRN131110:HRT131110 IBJ131110:IBP131110 ILF131110:ILL131110 IVB131110:IVH131110 JEX131110:JFD131110 JOT131110:JOZ131110 JYP131110:JYV131110 KIL131110:KIR131110 KSH131110:KSN131110 LCD131110:LCJ131110 LLZ131110:LMF131110 LVV131110:LWB131110 MFR131110:MFX131110 MPN131110:MPT131110 MZJ131110:MZP131110 NJF131110:NJL131110 NTB131110:NTH131110 OCX131110:ODD131110 OMT131110:OMZ131110 OWP131110:OWV131110 PGL131110:PGR131110 PQH131110:PQN131110 QAD131110:QAJ131110 QJZ131110:QKF131110 QTV131110:QUB131110 RDR131110:RDX131110 RNN131110:RNT131110 RXJ131110:RXP131110 SHF131110:SHL131110 SRB131110:SRH131110 TAX131110:TBD131110 TKT131110:TKZ131110 TUP131110:TUV131110 UEL131110:UER131110 UOH131110:UON131110 UYD131110:UYJ131110 VHZ131110:VIF131110 VRV131110:VSB131110 WBR131110:WBX131110 WLN131110:WLT131110 WVJ131110:WVP131110 B196646:H196646 IX196646:JD196646 ST196646:SZ196646 ACP196646:ACV196646 AML196646:AMR196646 AWH196646:AWN196646 BGD196646:BGJ196646 BPZ196646:BQF196646 BZV196646:CAB196646 CJR196646:CJX196646 CTN196646:CTT196646 DDJ196646:DDP196646 DNF196646:DNL196646 DXB196646:DXH196646 EGX196646:EHD196646 EQT196646:EQZ196646 FAP196646:FAV196646 FKL196646:FKR196646 FUH196646:FUN196646 GED196646:GEJ196646 GNZ196646:GOF196646 GXV196646:GYB196646 HHR196646:HHX196646 HRN196646:HRT196646 IBJ196646:IBP196646 ILF196646:ILL196646 IVB196646:IVH196646 JEX196646:JFD196646 JOT196646:JOZ196646 JYP196646:JYV196646 KIL196646:KIR196646 KSH196646:KSN196646 LCD196646:LCJ196646 LLZ196646:LMF196646 LVV196646:LWB196646 MFR196646:MFX196646 MPN196646:MPT196646 MZJ196646:MZP196646 NJF196646:NJL196646 NTB196646:NTH196646 OCX196646:ODD196646 OMT196646:OMZ196646 OWP196646:OWV196646 PGL196646:PGR196646 PQH196646:PQN196646 QAD196646:QAJ196646 QJZ196646:QKF196646 QTV196646:QUB196646 RDR196646:RDX196646 RNN196646:RNT196646 RXJ196646:RXP196646 SHF196646:SHL196646 SRB196646:SRH196646 TAX196646:TBD196646 TKT196646:TKZ196646 TUP196646:TUV196646 UEL196646:UER196646 UOH196646:UON196646 UYD196646:UYJ196646 VHZ196646:VIF196646 VRV196646:VSB196646 WBR196646:WBX196646 WLN196646:WLT196646 WVJ196646:WVP196646 B262182:H262182 IX262182:JD262182 ST262182:SZ262182 ACP262182:ACV262182 AML262182:AMR262182 AWH262182:AWN262182 BGD262182:BGJ262182 BPZ262182:BQF262182 BZV262182:CAB262182 CJR262182:CJX262182 CTN262182:CTT262182 DDJ262182:DDP262182 DNF262182:DNL262182 DXB262182:DXH262182 EGX262182:EHD262182 EQT262182:EQZ262182 FAP262182:FAV262182 FKL262182:FKR262182 FUH262182:FUN262182 GED262182:GEJ262182 GNZ262182:GOF262182 GXV262182:GYB262182 HHR262182:HHX262182 HRN262182:HRT262182 IBJ262182:IBP262182 ILF262182:ILL262182 IVB262182:IVH262182 JEX262182:JFD262182 JOT262182:JOZ262182 JYP262182:JYV262182 KIL262182:KIR262182 KSH262182:KSN262182 LCD262182:LCJ262182 LLZ262182:LMF262182 LVV262182:LWB262182 MFR262182:MFX262182 MPN262182:MPT262182 MZJ262182:MZP262182 NJF262182:NJL262182 NTB262182:NTH262182 OCX262182:ODD262182 OMT262182:OMZ262182 OWP262182:OWV262182 PGL262182:PGR262182 PQH262182:PQN262182 QAD262182:QAJ262182 QJZ262182:QKF262182 QTV262182:QUB262182 RDR262182:RDX262182 RNN262182:RNT262182 RXJ262182:RXP262182 SHF262182:SHL262182 SRB262182:SRH262182 TAX262182:TBD262182 TKT262182:TKZ262182 TUP262182:TUV262182 UEL262182:UER262182 UOH262182:UON262182 UYD262182:UYJ262182 VHZ262182:VIF262182 VRV262182:VSB262182 WBR262182:WBX262182 WLN262182:WLT262182 WVJ262182:WVP262182 B327718:H327718 IX327718:JD327718 ST327718:SZ327718 ACP327718:ACV327718 AML327718:AMR327718 AWH327718:AWN327718 BGD327718:BGJ327718 BPZ327718:BQF327718 BZV327718:CAB327718 CJR327718:CJX327718 CTN327718:CTT327718 DDJ327718:DDP327718 DNF327718:DNL327718 DXB327718:DXH327718 EGX327718:EHD327718 EQT327718:EQZ327718 FAP327718:FAV327718 FKL327718:FKR327718 FUH327718:FUN327718 GED327718:GEJ327718 GNZ327718:GOF327718 GXV327718:GYB327718 HHR327718:HHX327718 HRN327718:HRT327718 IBJ327718:IBP327718 ILF327718:ILL327718 IVB327718:IVH327718 JEX327718:JFD327718 JOT327718:JOZ327718 JYP327718:JYV327718 KIL327718:KIR327718 KSH327718:KSN327718 LCD327718:LCJ327718 LLZ327718:LMF327718 LVV327718:LWB327718 MFR327718:MFX327718 MPN327718:MPT327718 MZJ327718:MZP327718 NJF327718:NJL327718 NTB327718:NTH327718 OCX327718:ODD327718 OMT327718:OMZ327718 OWP327718:OWV327718 PGL327718:PGR327718 PQH327718:PQN327718 QAD327718:QAJ327718 QJZ327718:QKF327718 QTV327718:QUB327718 RDR327718:RDX327718 RNN327718:RNT327718 RXJ327718:RXP327718 SHF327718:SHL327718 SRB327718:SRH327718 TAX327718:TBD327718 TKT327718:TKZ327718 TUP327718:TUV327718 UEL327718:UER327718 UOH327718:UON327718 UYD327718:UYJ327718 VHZ327718:VIF327718 VRV327718:VSB327718 WBR327718:WBX327718 WLN327718:WLT327718 WVJ327718:WVP327718 B393254:H393254 IX393254:JD393254 ST393254:SZ393254 ACP393254:ACV393254 AML393254:AMR393254 AWH393254:AWN393254 BGD393254:BGJ393254 BPZ393254:BQF393254 BZV393254:CAB393254 CJR393254:CJX393254 CTN393254:CTT393254 DDJ393254:DDP393254 DNF393254:DNL393254 DXB393254:DXH393254 EGX393254:EHD393254 EQT393254:EQZ393254 FAP393254:FAV393254 FKL393254:FKR393254 FUH393254:FUN393254 GED393254:GEJ393254 GNZ393254:GOF393254 GXV393254:GYB393254 HHR393254:HHX393254 HRN393254:HRT393254 IBJ393254:IBP393254 ILF393254:ILL393254 IVB393254:IVH393254 JEX393254:JFD393254 JOT393254:JOZ393254 JYP393254:JYV393254 KIL393254:KIR393254 KSH393254:KSN393254 LCD393254:LCJ393254 LLZ393254:LMF393254 LVV393254:LWB393254 MFR393254:MFX393254 MPN393254:MPT393254 MZJ393254:MZP393254 NJF393254:NJL393254 NTB393254:NTH393254 OCX393254:ODD393254 OMT393254:OMZ393254 OWP393254:OWV393254 PGL393254:PGR393254 PQH393254:PQN393254 QAD393254:QAJ393254 QJZ393254:QKF393254 QTV393254:QUB393254 RDR393254:RDX393254 RNN393254:RNT393254 RXJ393254:RXP393254 SHF393254:SHL393254 SRB393254:SRH393254 TAX393254:TBD393254 TKT393254:TKZ393254 TUP393254:TUV393254 UEL393254:UER393254 UOH393254:UON393254 UYD393254:UYJ393254 VHZ393254:VIF393254 VRV393254:VSB393254 WBR393254:WBX393254 WLN393254:WLT393254 WVJ393254:WVP393254 B458790:H458790 IX458790:JD458790 ST458790:SZ458790 ACP458790:ACV458790 AML458790:AMR458790 AWH458790:AWN458790 BGD458790:BGJ458790 BPZ458790:BQF458790 BZV458790:CAB458790 CJR458790:CJX458790 CTN458790:CTT458790 DDJ458790:DDP458790 DNF458790:DNL458790 DXB458790:DXH458790 EGX458790:EHD458790 EQT458790:EQZ458790 FAP458790:FAV458790 FKL458790:FKR458790 FUH458790:FUN458790 GED458790:GEJ458790 GNZ458790:GOF458790 GXV458790:GYB458790 HHR458790:HHX458790 HRN458790:HRT458790 IBJ458790:IBP458790 ILF458790:ILL458790 IVB458790:IVH458790 JEX458790:JFD458790 JOT458790:JOZ458790 JYP458790:JYV458790 KIL458790:KIR458790 KSH458790:KSN458790 LCD458790:LCJ458790 LLZ458790:LMF458790 LVV458790:LWB458790 MFR458790:MFX458790 MPN458790:MPT458790 MZJ458790:MZP458790 NJF458790:NJL458790 NTB458790:NTH458790 OCX458790:ODD458790 OMT458790:OMZ458790 OWP458790:OWV458790 PGL458790:PGR458790 PQH458790:PQN458790 QAD458790:QAJ458790 QJZ458790:QKF458790 QTV458790:QUB458790 RDR458790:RDX458790 RNN458790:RNT458790 RXJ458790:RXP458790 SHF458790:SHL458790 SRB458790:SRH458790 TAX458790:TBD458790 TKT458790:TKZ458790 TUP458790:TUV458790 UEL458790:UER458790 UOH458790:UON458790 UYD458790:UYJ458790 VHZ458790:VIF458790 VRV458790:VSB458790 WBR458790:WBX458790 WLN458790:WLT458790 WVJ458790:WVP458790 B524326:H524326 IX524326:JD524326 ST524326:SZ524326 ACP524326:ACV524326 AML524326:AMR524326 AWH524326:AWN524326 BGD524326:BGJ524326 BPZ524326:BQF524326 BZV524326:CAB524326 CJR524326:CJX524326 CTN524326:CTT524326 DDJ524326:DDP524326 DNF524326:DNL524326 DXB524326:DXH524326 EGX524326:EHD524326 EQT524326:EQZ524326 FAP524326:FAV524326 FKL524326:FKR524326 FUH524326:FUN524326 GED524326:GEJ524326 GNZ524326:GOF524326 GXV524326:GYB524326 HHR524326:HHX524326 HRN524326:HRT524326 IBJ524326:IBP524326 ILF524326:ILL524326 IVB524326:IVH524326 JEX524326:JFD524326 JOT524326:JOZ524326 JYP524326:JYV524326 KIL524326:KIR524326 KSH524326:KSN524326 LCD524326:LCJ524326 LLZ524326:LMF524326 LVV524326:LWB524326 MFR524326:MFX524326 MPN524326:MPT524326 MZJ524326:MZP524326 NJF524326:NJL524326 NTB524326:NTH524326 OCX524326:ODD524326 OMT524326:OMZ524326 OWP524326:OWV524326 PGL524326:PGR524326 PQH524326:PQN524326 QAD524326:QAJ524326 QJZ524326:QKF524326 QTV524326:QUB524326 RDR524326:RDX524326 RNN524326:RNT524326 RXJ524326:RXP524326 SHF524326:SHL524326 SRB524326:SRH524326 TAX524326:TBD524326 TKT524326:TKZ524326 TUP524326:TUV524326 UEL524326:UER524326 UOH524326:UON524326 UYD524326:UYJ524326 VHZ524326:VIF524326 VRV524326:VSB524326 WBR524326:WBX524326 WLN524326:WLT524326 WVJ524326:WVP524326 B589862:H589862 IX589862:JD589862 ST589862:SZ589862 ACP589862:ACV589862 AML589862:AMR589862 AWH589862:AWN589862 BGD589862:BGJ589862 BPZ589862:BQF589862 BZV589862:CAB589862 CJR589862:CJX589862 CTN589862:CTT589862 DDJ589862:DDP589862 DNF589862:DNL589862 DXB589862:DXH589862 EGX589862:EHD589862 EQT589862:EQZ589862 FAP589862:FAV589862 FKL589862:FKR589862 FUH589862:FUN589862 GED589862:GEJ589862 GNZ589862:GOF589862 GXV589862:GYB589862 HHR589862:HHX589862 HRN589862:HRT589862 IBJ589862:IBP589862 ILF589862:ILL589862 IVB589862:IVH589862 JEX589862:JFD589862 JOT589862:JOZ589862 JYP589862:JYV589862 KIL589862:KIR589862 KSH589862:KSN589862 LCD589862:LCJ589862 LLZ589862:LMF589862 LVV589862:LWB589862 MFR589862:MFX589862 MPN589862:MPT589862 MZJ589862:MZP589862 NJF589862:NJL589862 NTB589862:NTH589862 OCX589862:ODD589862 OMT589862:OMZ589862 OWP589862:OWV589862 PGL589862:PGR589862 PQH589862:PQN589862 QAD589862:QAJ589862 QJZ589862:QKF589862 QTV589862:QUB589862 RDR589862:RDX589862 RNN589862:RNT589862 RXJ589862:RXP589862 SHF589862:SHL589862 SRB589862:SRH589862 TAX589862:TBD589862 TKT589862:TKZ589862 TUP589862:TUV589862 UEL589862:UER589862 UOH589862:UON589862 UYD589862:UYJ589862 VHZ589862:VIF589862 VRV589862:VSB589862 WBR589862:WBX589862 WLN589862:WLT589862 WVJ589862:WVP589862 B655398:H655398 IX655398:JD655398 ST655398:SZ655398 ACP655398:ACV655398 AML655398:AMR655398 AWH655398:AWN655398 BGD655398:BGJ655398 BPZ655398:BQF655398 BZV655398:CAB655398 CJR655398:CJX655398 CTN655398:CTT655398 DDJ655398:DDP655398 DNF655398:DNL655398 DXB655398:DXH655398 EGX655398:EHD655398 EQT655398:EQZ655398 FAP655398:FAV655398 FKL655398:FKR655398 FUH655398:FUN655398 GED655398:GEJ655398 GNZ655398:GOF655398 GXV655398:GYB655398 HHR655398:HHX655398 HRN655398:HRT655398 IBJ655398:IBP655398 ILF655398:ILL655398 IVB655398:IVH655398 JEX655398:JFD655398 JOT655398:JOZ655398 JYP655398:JYV655398 KIL655398:KIR655398 KSH655398:KSN655398 LCD655398:LCJ655398 LLZ655398:LMF655398 LVV655398:LWB655398 MFR655398:MFX655398 MPN655398:MPT655398 MZJ655398:MZP655398 NJF655398:NJL655398 NTB655398:NTH655398 OCX655398:ODD655398 OMT655398:OMZ655398 OWP655398:OWV655398 PGL655398:PGR655398 PQH655398:PQN655398 QAD655398:QAJ655398 QJZ655398:QKF655398 QTV655398:QUB655398 RDR655398:RDX655398 RNN655398:RNT655398 RXJ655398:RXP655398 SHF655398:SHL655398 SRB655398:SRH655398 TAX655398:TBD655398 TKT655398:TKZ655398 TUP655398:TUV655398 UEL655398:UER655398 UOH655398:UON655398 UYD655398:UYJ655398 VHZ655398:VIF655398 VRV655398:VSB655398 WBR655398:WBX655398 WLN655398:WLT655398 WVJ655398:WVP655398 B720934:H720934 IX720934:JD720934 ST720934:SZ720934 ACP720934:ACV720934 AML720934:AMR720934 AWH720934:AWN720934 BGD720934:BGJ720934 BPZ720934:BQF720934 BZV720934:CAB720934 CJR720934:CJX720934 CTN720934:CTT720934 DDJ720934:DDP720934 DNF720934:DNL720934 DXB720934:DXH720934 EGX720934:EHD720934 EQT720934:EQZ720934 FAP720934:FAV720934 FKL720934:FKR720934 FUH720934:FUN720934 GED720934:GEJ720934 GNZ720934:GOF720934 GXV720934:GYB720934 HHR720934:HHX720934 HRN720934:HRT720934 IBJ720934:IBP720934 ILF720934:ILL720934 IVB720934:IVH720934 JEX720934:JFD720934 JOT720934:JOZ720934 JYP720934:JYV720934 KIL720934:KIR720934 KSH720934:KSN720934 LCD720934:LCJ720934 LLZ720934:LMF720934 LVV720934:LWB720934 MFR720934:MFX720934 MPN720934:MPT720934 MZJ720934:MZP720934 NJF720934:NJL720934 NTB720934:NTH720934 OCX720934:ODD720934 OMT720934:OMZ720934 OWP720934:OWV720934 PGL720934:PGR720934 PQH720934:PQN720934 QAD720934:QAJ720934 QJZ720934:QKF720934 QTV720934:QUB720934 RDR720934:RDX720934 RNN720934:RNT720934 RXJ720934:RXP720934 SHF720934:SHL720934 SRB720934:SRH720934 TAX720934:TBD720934 TKT720934:TKZ720934 TUP720934:TUV720934 UEL720934:UER720934 UOH720934:UON720934 UYD720934:UYJ720934 VHZ720934:VIF720934 VRV720934:VSB720934 WBR720934:WBX720934 WLN720934:WLT720934 WVJ720934:WVP720934 B786470:H786470 IX786470:JD786470 ST786470:SZ786470 ACP786470:ACV786470 AML786470:AMR786470 AWH786470:AWN786470 BGD786470:BGJ786470 BPZ786470:BQF786470 BZV786470:CAB786470 CJR786470:CJX786470 CTN786470:CTT786470 DDJ786470:DDP786470 DNF786470:DNL786470 DXB786470:DXH786470 EGX786470:EHD786470 EQT786470:EQZ786470 FAP786470:FAV786470 FKL786470:FKR786470 FUH786470:FUN786470 GED786470:GEJ786470 GNZ786470:GOF786470 GXV786470:GYB786470 HHR786470:HHX786470 HRN786470:HRT786470 IBJ786470:IBP786470 ILF786470:ILL786470 IVB786470:IVH786470 JEX786470:JFD786470 JOT786470:JOZ786470 JYP786470:JYV786470 KIL786470:KIR786470 KSH786470:KSN786470 LCD786470:LCJ786470 LLZ786470:LMF786470 LVV786470:LWB786470 MFR786470:MFX786470 MPN786470:MPT786470 MZJ786470:MZP786470 NJF786470:NJL786470 NTB786470:NTH786470 OCX786470:ODD786470 OMT786470:OMZ786470 OWP786470:OWV786470 PGL786470:PGR786470 PQH786470:PQN786470 QAD786470:QAJ786470 QJZ786470:QKF786470 QTV786470:QUB786470 RDR786470:RDX786470 RNN786470:RNT786470 RXJ786470:RXP786470 SHF786470:SHL786470 SRB786470:SRH786470 TAX786470:TBD786470 TKT786470:TKZ786470 TUP786470:TUV786470 UEL786470:UER786470 UOH786470:UON786470 UYD786470:UYJ786470 VHZ786470:VIF786470 VRV786470:VSB786470 WBR786470:WBX786470 WLN786470:WLT786470 WVJ786470:WVP786470 B852006:H852006 IX852006:JD852006 ST852006:SZ852006 ACP852006:ACV852006 AML852006:AMR852006 AWH852006:AWN852006 BGD852006:BGJ852006 BPZ852006:BQF852006 BZV852006:CAB852006 CJR852006:CJX852006 CTN852006:CTT852006 DDJ852006:DDP852006 DNF852006:DNL852006 DXB852006:DXH852006 EGX852006:EHD852006 EQT852006:EQZ852006 FAP852006:FAV852006 FKL852006:FKR852006 FUH852006:FUN852006 GED852006:GEJ852006 GNZ852006:GOF852006 GXV852006:GYB852006 HHR852006:HHX852006 HRN852006:HRT852006 IBJ852006:IBP852006 ILF852006:ILL852006 IVB852006:IVH852006 JEX852006:JFD852006 JOT852006:JOZ852006 JYP852006:JYV852006 KIL852006:KIR852006 KSH852006:KSN852006 LCD852006:LCJ852006 LLZ852006:LMF852006 LVV852006:LWB852006 MFR852006:MFX852006 MPN852006:MPT852006 MZJ852006:MZP852006 NJF852006:NJL852006 NTB852006:NTH852006 OCX852006:ODD852006 OMT852006:OMZ852006 OWP852006:OWV852006 PGL852006:PGR852006 PQH852006:PQN852006 QAD852006:QAJ852006 QJZ852006:QKF852006 QTV852006:QUB852006 RDR852006:RDX852006 RNN852006:RNT852006 RXJ852006:RXP852006 SHF852006:SHL852006 SRB852006:SRH852006 TAX852006:TBD852006 TKT852006:TKZ852006 TUP852006:TUV852006 UEL852006:UER852006 UOH852006:UON852006 UYD852006:UYJ852006 VHZ852006:VIF852006 VRV852006:VSB852006 WBR852006:WBX852006 WLN852006:WLT852006 WVJ852006:WVP852006 B917542:H917542 IX917542:JD917542 ST917542:SZ917542 ACP917542:ACV917542 AML917542:AMR917542 AWH917542:AWN917542 BGD917542:BGJ917542 BPZ917542:BQF917542 BZV917542:CAB917542 CJR917542:CJX917542 CTN917542:CTT917542 DDJ917542:DDP917542 DNF917542:DNL917542 DXB917542:DXH917542 EGX917542:EHD917542 EQT917542:EQZ917542 FAP917542:FAV917542 FKL917542:FKR917542 FUH917542:FUN917542 GED917542:GEJ917542 GNZ917542:GOF917542 GXV917542:GYB917542 HHR917542:HHX917542 HRN917542:HRT917542 IBJ917542:IBP917542 ILF917542:ILL917542 IVB917542:IVH917542 JEX917542:JFD917542 JOT917542:JOZ917542 JYP917542:JYV917542 KIL917542:KIR917542 KSH917542:KSN917542 LCD917542:LCJ917542 LLZ917542:LMF917542 LVV917542:LWB917542 MFR917542:MFX917542 MPN917542:MPT917542 MZJ917542:MZP917542 NJF917542:NJL917542 NTB917542:NTH917542 OCX917542:ODD917542 OMT917542:OMZ917542 OWP917542:OWV917542 PGL917542:PGR917542 PQH917542:PQN917542 QAD917542:QAJ917542 QJZ917542:QKF917542 QTV917542:QUB917542 RDR917542:RDX917542 RNN917542:RNT917542 RXJ917542:RXP917542 SHF917542:SHL917542 SRB917542:SRH917542 TAX917542:TBD917542 TKT917542:TKZ917542 TUP917542:TUV917542 UEL917542:UER917542 UOH917542:UON917542 UYD917542:UYJ917542 VHZ917542:VIF917542 VRV917542:VSB917542 WBR917542:WBX917542 WLN917542:WLT917542 WVJ917542:WVP917542 B983078:H983078 IX983078:JD983078 ST983078:SZ983078 ACP983078:ACV983078 AML983078:AMR983078 AWH983078:AWN983078 BGD983078:BGJ983078 BPZ983078:BQF983078 BZV983078:CAB983078 CJR983078:CJX983078 CTN983078:CTT983078 DDJ983078:DDP983078 DNF983078:DNL983078 DXB983078:DXH983078 EGX983078:EHD983078 EQT983078:EQZ983078 FAP983078:FAV983078 FKL983078:FKR983078 FUH983078:FUN983078 GED983078:GEJ983078 GNZ983078:GOF983078 GXV983078:GYB983078 HHR983078:HHX983078 HRN983078:HRT983078 IBJ983078:IBP983078 ILF983078:ILL983078 IVB983078:IVH983078 JEX983078:JFD983078 JOT983078:JOZ983078 JYP983078:JYV983078 KIL983078:KIR983078 KSH983078:KSN983078 LCD983078:LCJ983078 LLZ983078:LMF983078 LVV983078:LWB983078 MFR983078:MFX983078 MPN983078:MPT983078 MZJ983078:MZP983078 NJF983078:NJL983078 NTB983078:NTH983078 OCX983078:ODD983078 OMT983078:OMZ983078 OWP983078:OWV983078 PGL983078:PGR983078 PQH983078:PQN983078 QAD983078:QAJ983078 QJZ983078:QKF983078 QTV983078:QUB983078 RDR983078:RDX983078 RNN983078:RNT983078 RXJ983078:RXP983078 SHF983078:SHL983078 SRB983078:SRH983078 TAX983078:TBD983078 TKT983078:TKZ983078 TUP983078:TUV983078 UEL983078:UER983078 UOH983078:UON983078 UYD983078:UYJ983078 VHZ983078:VIF983078 VRV983078:VSB983078 WBR983078:WBX983078 WLN983078:WLT983078 WVJ983078:WVP983078 B35:H35 IX35:JD35 ST35:SZ35 ACP35:ACV35 AML35:AMR35 AWH35:AWN35 BGD35:BGJ35 BPZ35:BQF35 BZV35:CAB35 CJR35:CJX35 CTN35:CTT35 DDJ35:DDP35 DNF35:DNL35 DXB35:DXH35 EGX35:EHD35 EQT35:EQZ35 FAP35:FAV35 FKL35:FKR35 FUH35:FUN35 GED35:GEJ35 GNZ35:GOF35 GXV35:GYB35 HHR35:HHX35 HRN35:HRT35 IBJ35:IBP35 ILF35:ILL35 IVB35:IVH35 JEX35:JFD35 JOT35:JOZ35 JYP35:JYV35 KIL35:KIR35 KSH35:KSN35 LCD35:LCJ35 LLZ35:LMF35 LVV35:LWB35 MFR35:MFX35 MPN35:MPT35 MZJ35:MZP35 NJF35:NJL35 NTB35:NTH35 OCX35:ODD35 OMT35:OMZ35 OWP35:OWV35 PGL35:PGR35 PQH35:PQN35 QAD35:QAJ35 QJZ35:QKF35 QTV35:QUB35 RDR35:RDX35 RNN35:RNT35 RXJ35:RXP35 SHF35:SHL35 SRB35:SRH35 TAX35:TBD35 TKT35:TKZ35 TUP35:TUV35 UEL35:UER35 UOH35:UON35 UYD35:UYJ35 VHZ35:VIF35 VRV35:VSB35 WBR35:WBX35 WLN35:WLT35 WVJ35:WVP35 B65571:H65571 IX65571:JD65571 ST65571:SZ65571 ACP65571:ACV65571 AML65571:AMR65571 AWH65571:AWN65571 BGD65571:BGJ65571 BPZ65571:BQF65571 BZV65571:CAB65571 CJR65571:CJX65571 CTN65571:CTT65571 DDJ65571:DDP65571 DNF65571:DNL65571 DXB65571:DXH65571 EGX65571:EHD65571 EQT65571:EQZ65571 FAP65571:FAV65571 FKL65571:FKR65571 FUH65571:FUN65571 GED65571:GEJ65571 GNZ65571:GOF65571 GXV65571:GYB65571 HHR65571:HHX65571 HRN65571:HRT65571 IBJ65571:IBP65571 ILF65571:ILL65571 IVB65571:IVH65571 JEX65571:JFD65571 JOT65571:JOZ65571 JYP65571:JYV65571 KIL65571:KIR65571 KSH65571:KSN65571 LCD65571:LCJ65571 LLZ65571:LMF65571 LVV65571:LWB65571 MFR65571:MFX65571 MPN65571:MPT65571 MZJ65571:MZP65571 NJF65571:NJL65571 NTB65571:NTH65571 OCX65571:ODD65571 OMT65571:OMZ65571 OWP65571:OWV65571 PGL65571:PGR65571 PQH65571:PQN65571 QAD65571:QAJ65571 QJZ65571:QKF65571 QTV65571:QUB65571 RDR65571:RDX65571 RNN65571:RNT65571 RXJ65571:RXP65571 SHF65571:SHL65571 SRB65571:SRH65571 TAX65571:TBD65571 TKT65571:TKZ65571 TUP65571:TUV65571 UEL65571:UER65571 UOH65571:UON65571 UYD65571:UYJ65571 VHZ65571:VIF65571 VRV65571:VSB65571 WBR65571:WBX65571 WLN65571:WLT65571 WVJ65571:WVP65571 B131107:H131107 IX131107:JD131107 ST131107:SZ131107 ACP131107:ACV131107 AML131107:AMR131107 AWH131107:AWN131107 BGD131107:BGJ131107 BPZ131107:BQF131107 BZV131107:CAB131107 CJR131107:CJX131107 CTN131107:CTT131107 DDJ131107:DDP131107 DNF131107:DNL131107 DXB131107:DXH131107 EGX131107:EHD131107 EQT131107:EQZ131107 FAP131107:FAV131107 FKL131107:FKR131107 FUH131107:FUN131107 GED131107:GEJ131107 GNZ131107:GOF131107 GXV131107:GYB131107 HHR131107:HHX131107 HRN131107:HRT131107 IBJ131107:IBP131107 ILF131107:ILL131107 IVB131107:IVH131107 JEX131107:JFD131107 JOT131107:JOZ131107 JYP131107:JYV131107 KIL131107:KIR131107 KSH131107:KSN131107 LCD131107:LCJ131107 LLZ131107:LMF131107 LVV131107:LWB131107 MFR131107:MFX131107 MPN131107:MPT131107 MZJ131107:MZP131107 NJF131107:NJL131107 NTB131107:NTH131107 OCX131107:ODD131107 OMT131107:OMZ131107 OWP131107:OWV131107 PGL131107:PGR131107 PQH131107:PQN131107 QAD131107:QAJ131107 QJZ131107:QKF131107 QTV131107:QUB131107 RDR131107:RDX131107 RNN131107:RNT131107 RXJ131107:RXP131107 SHF131107:SHL131107 SRB131107:SRH131107 TAX131107:TBD131107 TKT131107:TKZ131107 TUP131107:TUV131107 UEL131107:UER131107 UOH131107:UON131107 UYD131107:UYJ131107 VHZ131107:VIF131107 VRV131107:VSB131107 WBR131107:WBX131107 WLN131107:WLT131107 WVJ131107:WVP131107 B196643:H196643 IX196643:JD196643 ST196643:SZ196643 ACP196643:ACV196643 AML196643:AMR196643 AWH196643:AWN196643 BGD196643:BGJ196643 BPZ196643:BQF196643 BZV196643:CAB196643 CJR196643:CJX196643 CTN196643:CTT196643 DDJ196643:DDP196643 DNF196643:DNL196643 DXB196643:DXH196643 EGX196643:EHD196643 EQT196643:EQZ196643 FAP196643:FAV196643 FKL196643:FKR196643 FUH196643:FUN196643 GED196643:GEJ196643 GNZ196643:GOF196643 GXV196643:GYB196643 HHR196643:HHX196643 HRN196643:HRT196643 IBJ196643:IBP196643 ILF196643:ILL196643 IVB196643:IVH196643 JEX196643:JFD196643 JOT196643:JOZ196643 JYP196643:JYV196643 KIL196643:KIR196643 KSH196643:KSN196643 LCD196643:LCJ196643 LLZ196643:LMF196643 LVV196643:LWB196643 MFR196643:MFX196643 MPN196643:MPT196643 MZJ196643:MZP196643 NJF196643:NJL196643 NTB196643:NTH196643 OCX196643:ODD196643 OMT196643:OMZ196643 OWP196643:OWV196643 PGL196643:PGR196643 PQH196643:PQN196643 QAD196643:QAJ196643 QJZ196643:QKF196643 QTV196643:QUB196643 RDR196643:RDX196643 RNN196643:RNT196643 RXJ196643:RXP196643 SHF196643:SHL196643 SRB196643:SRH196643 TAX196643:TBD196643 TKT196643:TKZ196643 TUP196643:TUV196643 UEL196643:UER196643 UOH196643:UON196643 UYD196643:UYJ196643 VHZ196643:VIF196643 VRV196643:VSB196643 WBR196643:WBX196643 WLN196643:WLT196643 WVJ196643:WVP196643 B262179:H262179 IX262179:JD262179 ST262179:SZ262179 ACP262179:ACV262179 AML262179:AMR262179 AWH262179:AWN262179 BGD262179:BGJ262179 BPZ262179:BQF262179 BZV262179:CAB262179 CJR262179:CJX262179 CTN262179:CTT262179 DDJ262179:DDP262179 DNF262179:DNL262179 DXB262179:DXH262179 EGX262179:EHD262179 EQT262179:EQZ262179 FAP262179:FAV262179 FKL262179:FKR262179 FUH262179:FUN262179 GED262179:GEJ262179 GNZ262179:GOF262179 GXV262179:GYB262179 HHR262179:HHX262179 HRN262179:HRT262179 IBJ262179:IBP262179 ILF262179:ILL262179 IVB262179:IVH262179 JEX262179:JFD262179 JOT262179:JOZ262179 JYP262179:JYV262179 KIL262179:KIR262179 KSH262179:KSN262179 LCD262179:LCJ262179 LLZ262179:LMF262179 LVV262179:LWB262179 MFR262179:MFX262179 MPN262179:MPT262179 MZJ262179:MZP262179 NJF262179:NJL262179 NTB262179:NTH262179 OCX262179:ODD262179 OMT262179:OMZ262179 OWP262179:OWV262179 PGL262179:PGR262179 PQH262179:PQN262179 QAD262179:QAJ262179 QJZ262179:QKF262179 QTV262179:QUB262179 RDR262179:RDX262179 RNN262179:RNT262179 RXJ262179:RXP262179 SHF262179:SHL262179 SRB262179:SRH262179 TAX262179:TBD262179 TKT262179:TKZ262179 TUP262179:TUV262179 UEL262179:UER262179 UOH262179:UON262179 UYD262179:UYJ262179 VHZ262179:VIF262179 VRV262179:VSB262179 WBR262179:WBX262179 WLN262179:WLT262179 WVJ262179:WVP262179 B327715:H327715 IX327715:JD327715 ST327715:SZ327715 ACP327715:ACV327715 AML327715:AMR327715 AWH327715:AWN327715 BGD327715:BGJ327715 BPZ327715:BQF327715 BZV327715:CAB327715 CJR327715:CJX327715 CTN327715:CTT327715 DDJ327715:DDP327715 DNF327715:DNL327715 DXB327715:DXH327715 EGX327715:EHD327715 EQT327715:EQZ327715 FAP327715:FAV327715 FKL327715:FKR327715 FUH327715:FUN327715 GED327715:GEJ327715 GNZ327715:GOF327715 GXV327715:GYB327715 HHR327715:HHX327715 HRN327715:HRT327715 IBJ327715:IBP327715 ILF327715:ILL327715 IVB327715:IVH327715 JEX327715:JFD327715 JOT327715:JOZ327715 JYP327715:JYV327715 KIL327715:KIR327715 KSH327715:KSN327715 LCD327715:LCJ327715 LLZ327715:LMF327715 LVV327715:LWB327715 MFR327715:MFX327715 MPN327715:MPT327715 MZJ327715:MZP327715 NJF327715:NJL327715 NTB327715:NTH327715 OCX327715:ODD327715 OMT327715:OMZ327715 OWP327715:OWV327715 PGL327715:PGR327715 PQH327715:PQN327715 QAD327715:QAJ327715 QJZ327715:QKF327715 QTV327715:QUB327715 RDR327715:RDX327715 RNN327715:RNT327715 RXJ327715:RXP327715 SHF327715:SHL327715 SRB327715:SRH327715 TAX327715:TBD327715 TKT327715:TKZ327715 TUP327715:TUV327715 UEL327715:UER327715 UOH327715:UON327715 UYD327715:UYJ327715 VHZ327715:VIF327715 VRV327715:VSB327715 WBR327715:WBX327715 WLN327715:WLT327715 WVJ327715:WVP327715 B393251:H393251 IX393251:JD393251 ST393251:SZ393251 ACP393251:ACV393251 AML393251:AMR393251 AWH393251:AWN393251 BGD393251:BGJ393251 BPZ393251:BQF393251 BZV393251:CAB393251 CJR393251:CJX393251 CTN393251:CTT393251 DDJ393251:DDP393251 DNF393251:DNL393251 DXB393251:DXH393251 EGX393251:EHD393251 EQT393251:EQZ393251 FAP393251:FAV393251 FKL393251:FKR393251 FUH393251:FUN393251 GED393251:GEJ393251 GNZ393251:GOF393251 GXV393251:GYB393251 HHR393251:HHX393251 HRN393251:HRT393251 IBJ393251:IBP393251 ILF393251:ILL393251 IVB393251:IVH393251 JEX393251:JFD393251 JOT393251:JOZ393251 JYP393251:JYV393251 KIL393251:KIR393251 KSH393251:KSN393251 LCD393251:LCJ393251 LLZ393251:LMF393251 LVV393251:LWB393251 MFR393251:MFX393251 MPN393251:MPT393251 MZJ393251:MZP393251 NJF393251:NJL393251 NTB393251:NTH393251 OCX393251:ODD393251 OMT393251:OMZ393251 OWP393251:OWV393251 PGL393251:PGR393251 PQH393251:PQN393251 QAD393251:QAJ393251 QJZ393251:QKF393251 QTV393251:QUB393251 RDR393251:RDX393251 RNN393251:RNT393251 RXJ393251:RXP393251 SHF393251:SHL393251 SRB393251:SRH393251 TAX393251:TBD393251 TKT393251:TKZ393251 TUP393251:TUV393251 UEL393251:UER393251 UOH393251:UON393251 UYD393251:UYJ393251 VHZ393251:VIF393251 VRV393251:VSB393251 WBR393251:WBX393251 WLN393251:WLT393251 WVJ393251:WVP393251 B458787:H458787 IX458787:JD458787 ST458787:SZ458787 ACP458787:ACV458787 AML458787:AMR458787 AWH458787:AWN458787 BGD458787:BGJ458787 BPZ458787:BQF458787 BZV458787:CAB458787 CJR458787:CJX458787 CTN458787:CTT458787 DDJ458787:DDP458787 DNF458787:DNL458787 DXB458787:DXH458787 EGX458787:EHD458787 EQT458787:EQZ458787 FAP458787:FAV458787 FKL458787:FKR458787 FUH458787:FUN458787 GED458787:GEJ458787 GNZ458787:GOF458787 GXV458787:GYB458787 HHR458787:HHX458787 HRN458787:HRT458787 IBJ458787:IBP458787 ILF458787:ILL458787 IVB458787:IVH458787 JEX458787:JFD458787 JOT458787:JOZ458787 JYP458787:JYV458787 KIL458787:KIR458787 KSH458787:KSN458787 LCD458787:LCJ458787 LLZ458787:LMF458787 LVV458787:LWB458787 MFR458787:MFX458787 MPN458787:MPT458787 MZJ458787:MZP458787 NJF458787:NJL458787 NTB458787:NTH458787 OCX458787:ODD458787 OMT458787:OMZ458787 OWP458787:OWV458787 PGL458787:PGR458787 PQH458787:PQN458787 QAD458787:QAJ458787 QJZ458787:QKF458787 QTV458787:QUB458787 RDR458787:RDX458787 RNN458787:RNT458787 RXJ458787:RXP458787 SHF458787:SHL458787 SRB458787:SRH458787 TAX458787:TBD458787 TKT458787:TKZ458787 TUP458787:TUV458787 UEL458787:UER458787 UOH458787:UON458787 UYD458787:UYJ458787 VHZ458787:VIF458787 VRV458787:VSB458787 WBR458787:WBX458787 WLN458787:WLT458787 WVJ458787:WVP458787 B524323:H524323 IX524323:JD524323 ST524323:SZ524323 ACP524323:ACV524323 AML524323:AMR524323 AWH524323:AWN524323 BGD524323:BGJ524323 BPZ524323:BQF524323 BZV524323:CAB524323 CJR524323:CJX524323 CTN524323:CTT524323 DDJ524323:DDP524323 DNF524323:DNL524323 DXB524323:DXH524323 EGX524323:EHD524323 EQT524323:EQZ524323 FAP524323:FAV524323 FKL524323:FKR524323 FUH524323:FUN524323 GED524323:GEJ524323 GNZ524323:GOF524323 GXV524323:GYB524323 HHR524323:HHX524323 HRN524323:HRT524323 IBJ524323:IBP524323 ILF524323:ILL524323 IVB524323:IVH524323 JEX524323:JFD524323 JOT524323:JOZ524323 JYP524323:JYV524323 KIL524323:KIR524323 KSH524323:KSN524323 LCD524323:LCJ524323 LLZ524323:LMF524323 LVV524323:LWB524323 MFR524323:MFX524323 MPN524323:MPT524323 MZJ524323:MZP524323 NJF524323:NJL524323 NTB524323:NTH524323 OCX524323:ODD524323 OMT524323:OMZ524323 OWP524323:OWV524323 PGL524323:PGR524323 PQH524323:PQN524323 QAD524323:QAJ524323 QJZ524323:QKF524323 QTV524323:QUB524323 RDR524323:RDX524323 RNN524323:RNT524323 RXJ524323:RXP524323 SHF524323:SHL524323 SRB524323:SRH524323 TAX524323:TBD524323 TKT524323:TKZ524323 TUP524323:TUV524323 UEL524323:UER524323 UOH524323:UON524323 UYD524323:UYJ524323 VHZ524323:VIF524323 VRV524323:VSB524323 WBR524323:WBX524323 WLN524323:WLT524323 WVJ524323:WVP524323 B589859:H589859 IX589859:JD589859 ST589859:SZ589859 ACP589859:ACV589859 AML589859:AMR589859 AWH589859:AWN589859 BGD589859:BGJ589859 BPZ589859:BQF589859 BZV589859:CAB589859 CJR589859:CJX589859 CTN589859:CTT589859 DDJ589859:DDP589859 DNF589859:DNL589859 DXB589859:DXH589859 EGX589859:EHD589859 EQT589859:EQZ589859 FAP589859:FAV589859 FKL589859:FKR589859 FUH589859:FUN589859 GED589859:GEJ589859 GNZ589859:GOF589859 GXV589859:GYB589859 HHR589859:HHX589859 HRN589859:HRT589859 IBJ589859:IBP589859 ILF589859:ILL589859 IVB589859:IVH589859 JEX589859:JFD589859 JOT589859:JOZ589859 JYP589859:JYV589859 KIL589859:KIR589859 KSH589859:KSN589859 LCD589859:LCJ589859 LLZ589859:LMF589859 LVV589859:LWB589859 MFR589859:MFX589859 MPN589859:MPT589859 MZJ589859:MZP589859 NJF589859:NJL589859 NTB589859:NTH589859 OCX589859:ODD589859 OMT589859:OMZ589859 OWP589859:OWV589859 PGL589859:PGR589859 PQH589859:PQN589859 QAD589859:QAJ589859 QJZ589859:QKF589859 QTV589859:QUB589859 RDR589859:RDX589859 RNN589859:RNT589859 RXJ589859:RXP589859 SHF589859:SHL589859 SRB589859:SRH589859 TAX589859:TBD589859 TKT589859:TKZ589859 TUP589859:TUV589859 UEL589859:UER589859 UOH589859:UON589859 UYD589859:UYJ589859 VHZ589859:VIF589859 VRV589859:VSB589859 WBR589859:WBX589859 WLN589859:WLT589859 WVJ589859:WVP589859 B655395:H655395 IX655395:JD655395 ST655395:SZ655395 ACP655395:ACV655395 AML655395:AMR655395 AWH655395:AWN655395 BGD655395:BGJ655395 BPZ655395:BQF655395 BZV655395:CAB655395 CJR655395:CJX655395 CTN655395:CTT655395 DDJ655395:DDP655395 DNF655395:DNL655395 DXB655395:DXH655395 EGX655395:EHD655395 EQT655395:EQZ655395 FAP655395:FAV655395 FKL655395:FKR655395 FUH655395:FUN655395 GED655395:GEJ655395 GNZ655395:GOF655395 GXV655395:GYB655395 HHR655395:HHX655395 HRN655395:HRT655395 IBJ655395:IBP655395 ILF655395:ILL655395 IVB655395:IVH655395 JEX655395:JFD655395 JOT655395:JOZ655395 JYP655395:JYV655395 KIL655395:KIR655395 KSH655395:KSN655395 LCD655395:LCJ655395 LLZ655395:LMF655395 LVV655395:LWB655395 MFR655395:MFX655395 MPN655395:MPT655395 MZJ655395:MZP655395 NJF655395:NJL655395 NTB655395:NTH655395 OCX655395:ODD655395 OMT655395:OMZ655395 OWP655395:OWV655395 PGL655395:PGR655395 PQH655395:PQN655395 QAD655395:QAJ655395 QJZ655395:QKF655395 QTV655395:QUB655395 RDR655395:RDX655395 RNN655395:RNT655395 RXJ655395:RXP655395 SHF655395:SHL655395 SRB655395:SRH655395 TAX655395:TBD655395 TKT655395:TKZ655395 TUP655395:TUV655395 UEL655395:UER655395 UOH655395:UON655395 UYD655395:UYJ655395 VHZ655395:VIF655395 VRV655395:VSB655395 WBR655395:WBX655395 WLN655395:WLT655395 WVJ655395:WVP655395 B720931:H720931 IX720931:JD720931 ST720931:SZ720931 ACP720931:ACV720931 AML720931:AMR720931 AWH720931:AWN720931 BGD720931:BGJ720931 BPZ720931:BQF720931 BZV720931:CAB720931 CJR720931:CJX720931 CTN720931:CTT720931 DDJ720931:DDP720931 DNF720931:DNL720931 DXB720931:DXH720931 EGX720931:EHD720931 EQT720931:EQZ720931 FAP720931:FAV720931 FKL720931:FKR720931 FUH720931:FUN720931 GED720931:GEJ720931 GNZ720931:GOF720931 GXV720931:GYB720931 HHR720931:HHX720931 HRN720931:HRT720931 IBJ720931:IBP720931 ILF720931:ILL720931 IVB720931:IVH720931 JEX720931:JFD720931 JOT720931:JOZ720931 JYP720931:JYV720931 KIL720931:KIR720931 KSH720931:KSN720931 LCD720931:LCJ720931 LLZ720931:LMF720931 LVV720931:LWB720931 MFR720931:MFX720931 MPN720931:MPT720931 MZJ720931:MZP720931 NJF720931:NJL720931 NTB720931:NTH720931 OCX720931:ODD720931 OMT720931:OMZ720931 OWP720931:OWV720931 PGL720931:PGR720931 PQH720931:PQN720931 QAD720931:QAJ720931 QJZ720931:QKF720931 QTV720931:QUB720931 RDR720931:RDX720931 RNN720931:RNT720931 RXJ720931:RXP720931 SHF720931:SHL720931 SRB720931:SRH720931 TAX720931:TBD720931 TKT720931:TKZ720931 TUP720931:TUV720931 UEL720931:UER720931 UOH720931:UON720931 UYD720931:UYJ720931 VHZ720931:VIF720931 VRV720931:VSB720931 WBR720931:WBX720931 WLN720931:WLT720931 WVJ720931:WVP720931 B786467:H786467 IX786467:JD786467 ST786467:SZ786467 ACP786467:ACV786467 AML786467:AMR786467 AWH786467:AWN786467 BGD786467:BGJ786467 BPZ786467:BQF786467 BZV786467:CAB786467 CJR786467:CJX786467 CTN786467:CTT786467 DDJ786467:DDP786467 DNF786467:DNL786467 DXB786467:DXH786467 EGX786467:EHD786467 EQT786467:EQZ786467 FAP786467:FAV786467 FKL786467:FKR786467 FUH786467:FUN786467 GED786467:GEJ786467 GNZ786467:GOF786467 GXV786467:GYB786467 HHR786467:HHX786467 HRN786467:HRT786467 IBJ786467:IBP786467 ILF786467:ILL786467 IVB786467:IVH786467 JEX786467:JFD786467 JOT786467:JOZ786467 JYP786467:JYV786467 KIL786467:KIR786467 KSH786467:KSN786467 LCD786467:LCJ786467 LLZ786467:LMF786467 LVV786467:LWB786467 MFR786467:MFX786467 MPN786467:MPT786467 MZJ786467:MZP786467 NJF786467:NJL786467 NTB786467:NTH786467 OCX786467:ODD786467 OMT786467:OMZ786467 OWP786467:OWV786467 PGL786467:PGR786467 PQH786467:PQN786467 QAD786467:QAJ786467 QJZ786467:QKF786467 QTV786467:QUB786467 RDR786467:RDX786467 RNN786467:RNT786467 RXJ786467:RXP786467 SHF786467:SHL786467 SRB786467:SRH786467 TAX786467:TBD786467 TKT786467:TKZ786467 TUP786467:TUV786467 UEL786467:UER786467 UOH786467:UON786467 UYD786467:UYJ786467 VHZ786467:VIF786467 VRV786467:VSB786467 WBR786467:WBX786467 WLN786467:WLT786467 WVJ786467:WVP786467 B852003:H852003 IX852003:JD852003 ST852003:SZ852003 ACP852003:ACV852003 AML852003:AMR852003 AWH852003:AWN852003 BGD852003:BGJ852003 BPZ852003:BQF852003 BZV852003:CAB852003 CJR852003:CJX852003 CTN852003:CTT852003 DDJ852003:DDP852003 DNF852003:DNL852003 DXB852003:DXH852003 EGX852003:EHD852003 EQT852003:EQZ852003 FAP852003:FAV852003 FKL852003:FKR852003 FUH852003:FUN852003 GED852003:GEJ852003 GNZ852003:GOF852003 GXV852003:GYB852003 HHR852003:HHX852003 HRN852003:HRT852003 IBJ852003:IBP852003 ILF852003:ILL852003 IVB852003:IVH852003 JEX852003:JFD852003 JOT852003:JOZ852003 JYP852003:JYV852003 KIL852003:KIR852003 KSH852003:KSN852003 LCD852003:LCJ852003 LLZ852003:LMF852003 LVV852003:LWB852003 MFR852003:MFX852003 MPN852003:MPT852003 MZJ852003:MZP852003 NJF852003:NJL852003 NTB852003:NTH852003 OCX852003:ODD852003 OMT852003:OMZ852003 OWP852003:OWV852003 PGL852003:PGR852003 PQH852003:PQN852003 QAD852003:QAJ852003 QJZ852003:QKF852003 QTV852003:QUB852003 RDR852003:RDX852003 RNN852003:RNT852003 RXJ852003:RXP852003 SHF852003:SHL852003 SRB852003:SRH852003 TAX852003:TBD852003 TKT852003:TKZ852003 TUP852003:TUV852003 UEL852003:UER852003 UOH852003:UON852003 UYD852003:UYJ852003 VHZ852003:VIF852003 VRV852003:VSB852003 WBR852003:WBX852003 WLN852003:WLT852003 WVJ852003:WVP852003 B917539:H917539 IX917539:JD917539 ST917539:SZ917539 ACP917539:ACV917539 AML917539:AMR917539 AWH917539:AWN917539 BGD917539:BGJ917539 BPZ917539:BQF917539 BZV917539:CAB917539 CJR917539:CJX917539 CTN917539:CTT917539 DDJ917539:DDP917539 DNF917539:DNL917539 DXB917539:DXH917539 EGX917539:EHD917539 EQT917539:EQZ917539 FAP917539:FAV917539 FKL917539:FKR917539 FUH917539:FUN917539 GED917539:GEJ917539 GNZ917539:GOF917539 GXV917539:GYB917539 HHR917539:HHX917539 HRN917539:HRT917539 IBJ917539:IBP917539 ILF917539:ILL917539 IVB917539:IVH917539 JEX917539:JFD917539 JOT917539:JOZ917539 JYP917539:JYV917539 KIL917539:KIR917539 KSH917539:KSN917539 LCD917539:LCJ917539 LLZ917539:LMF917539 LVV917539:LWB917539 MFR917539:MFX917539 MPN917539:MPT917539 MZJ917539:MZP917539 NJF917539:NJL917539 NTB917539:NTH917539 OCX917539:ODD917539 OMT917539:OMZ917539 OWP917539:OWV917539 PGL917539:PGR917539 PQH917539:PQN917539 QAD917539:QAJ917539 QJZ917539:QKF917539 QTV917539:QUB917539 RDR917539:RDX917539 RNN917539:RNT917539 RXJ917539:RXP917539 SHF917539:SHL917539 SRB917539:SRH917539 TAX917539:TBD917539 TKT917539:TKZ917539 TUP917539:TUV917539 UEL917539:UER917539 UOH917539:UON917539 UYD917539:UYJ917539 VHZ917539:VIF917539 VRV917539:VSB917539 WBR917539:WBX917539 WLN917539:WLT917539 WVJ917539:WVP917539 B983075:H983075 IX983075:JD983075 ST983075:SZ983075 ACP983075:ACV983075 AML983075:AMR983075 AWH983075:AWN983075 BGD983075:BGJ983075 BPZ983075:BQF983075 BZV983075:CAB983075 CJR983075:CJX983075 CTN983075:CTT983075 DDJ983075:DDP983075 DNF983075:DNL983075 DXB983075:DXH983075 EGX983075:EHD983075 EQT983075:EQZ983075 FAP983075:FAV983075 FKL983075:FKR983075 FUH983075:FUN983075 GED983075:GEJ983075 GNZ983075:GOF983075 GXV983075:GYB983075 HHR983075:HHX983075 HRN983075:HRT983075 IBJ983075:IBP983075 ILF983075:ILL983075 IVB983075:IVH983075 JEX983075:JFD983075 JOT983075:JOZ983075 JYP983075:JYV983075 KIL983075:KIR983075 KSH983075:KSN983075 LCD983075:LCJ983075 LLZ983075:LMF983075 LVV983075:LWB983075 MFR983075:MFX983075 MPN983075:MPT983075 MZJ983075:MZP983075 NJF983075:NJL983075 NTB983075:NTH983075 OCX983075:ODD983075 OMT983075:OMZ983075 OWP983075:OWV983075 PGL983075:PGR983075 PQH983075:PQN983075 QAD983075:QAJ983075 QJZ983075:QKF983075 QTV983075:QUB983075 RDR983075:RDX983075 RNN983075:RNT983075 RXJ983075:RXP983075 SHF983075:SHL983075 SRB983075:SRH983075 TAX983075:TBD983075 TKT983075:TKZ983075 TUP983075:TUV983075 UEL983075:UER983075 UOH983075:UON983075 UYD983075:UYJ983075 VHZ983075:VIF983075 VRV983075:VSB983075 WBR983075:WBX983075 WLN983075:WLT983075 WVJ983075:WVP983075 B32:H32 IX32:JD32 ST32:SZ32 ACP32:ACV32 AML32:AMR32 AWH32:AWN32 BGD32:BGJ32 BPZ32:BQF32 BZV32:CAB32 CJR32:CJX32 CTN32:CTT32 DDJ32:DDP32 DNF32:DNL32 DXB32:DXH32 EGX32:EHD32 EQT32:EQZ32 FAP32:FAV32 FKL32:FKR32 FUH32:FUN32 GED32:GEJ32 GNZ32:GOF32 GXV32:GYB32 HHR32:HHX32 HRN32:HRT32 IBJ32:IBP32 ILF32:ILL32 IVB32:IVH32 JEX32:JFD32 JOT32:JOZ32 JYP32:JYV32 KIL32:KIR32 KSH32:KSN32 LCD32:LCJ32 LLZ32:LMF32 LVV32:LWB32 MFR32:MFX32 MPN32:MPT32 MZJ32:MZP32 NJF32:NJL32 NTB32:NTH32 OCX32:ODD32 OMT32:OMZ32 OWP32:OWV32 PGL32:PGR32 PQH32:PQN32 QAD32:QAJ32 QJZ32:QKF32 QTV32:QUB32 RDR32:RDX32 RNN32:RNT32 RXJ32:RXP32 SHF32:SHL32 SRB32:SRH32 TAX32:TBD32 TKT32:TKZ32 TUP32:TUV32 UEL32:UER32 UOH32:UON32 UYD32:UYJ32 VHZ32:VIF32 VRV32:VSB32 WBR32:WBX32 WLN32:WLT32 WVJ32:WVP32 B65568:H65568 IX65568:JD65568 ST65568:SZ65568 ACP65568:ACV65568 AML65568:AMR65568 AWH65568:AWN65568 BGD65568:BGJ65568 BPZ65568:BQF65568 BZV65568:CAB65568 CJR65568:CJX65568 CTN65568:CTT65568 DDJ65568:DDP65568 DNF65568:DNL65568 DXB65568:DXH65568 EGX65568:EHD65568 EQT65568:EQZ65568 FAP65568:FAV65568 FKL65568:FKR65568 FUH65568:FUN65568 GED65568:GEJ65568 GNZ65568:GOF65568 GXV65568:GYB65568 HHR65568:HHX65568 HRN65568:HRT65568 IBJ65568:IBP65568 ILF65568:ILL65568 IVB65568:IVH65568 JEX65568:JFD65568 JOT65568:JOZ65568 JYP65568:JYV65568 KIL65568:KIR65568 KSH65568:KSN65568 LCD65568:LCJ65568 LLZ65568:LMF65568 LVV65568:LWB65568 MFR65568:MFX65568 MPN65568:MPT65568 MZJ65568:MZP65568 NJF65568:NJL65568 NTB65568:NTH65568 OCX65568:ODD65568 OMT65568:OMZ65568 OWP65568:OWV65568 PGL65568:PGR65568 PQH65568:PQN65568 QAD65568:QAJ65568 QJZ65568:QKF65568 QTV65568:QUB65568 RDR65568:RDX65568 RNN65568:RNT65568 RXJ65568:RXP65568 SHF65568:SHL65568 SRB65568:SRH65568 TAX65568:TBD65568 TKT65568:TKZ65568 TUP65568:TUV65568 UEL65568:UER65568 UOH65568:UON65568 UYD65568:UYJ65568 VHZ65568:VIF65568 VRV65568:VSB65568 WBR65568:WBX65568 WLN65568:WLT65568 WVJ65568:WVP65568 B131104:H131104 IX131104:JD131104 ST131104:SZ131104 ACP131104:ACV131104 AML131104:AMR131104 AWH131104:AWN131104 BGD131104:BGJ131104 BPZ131104:BQF131104 BZV131104:CAB131104 CJR131104:CJX131104 CTN131104:CTT131104 DDJ131104:DDP131104 DNF131104:DNL131104 DXB131104:DXH131104 EGX131104:EHD131104 EQT131104:EQZ131104 FAP131104:FAV131104 FKL131104:FKR131104 FUH131104:FUN131104 GED131104:GEJ131104 GNZ131104:GOF131104 GXV131104:GYB131104 HHR131104:HHX131104 HRN131104:HRT131104 IBJ131104:IBP131104 ILF131104:ILL131104 IVB131104:IVH131104 JEX131104:JFD131104 JOT131104:JOZ131104 JYP131104:JYV131104 KIL131104:KIR131104 KSH131104:KSN131104 LCD131104:LCJ131104 LLZ131104:LMF131104 LVV131104:LWB131104 MFR131104:MFX131104 MPN131104:MPT131104 MZJ131104:MZP131104 NJF131104:NJL131104 NTB131104:NTH131104 OCX131104:ODD131104 OMT131104:OMZ131104 OWP131104:OWV131104 PGL131104:PGR131104 PQH131104:PQN131104 QAD131104:QAJ131104 QJZ131104:QKF131104 QTV131104:QUB131104 RDR131104:RDX131104 RNN131104:RNT131104 RXJ131104:RXP131104 SHF131104:SHL131104 SRB131104:SRH131104 TAX131104:TBD131104 TKT131104:TKZ131104 TUP131104:TUV131104 UEL131104:UER131104 UOH131104:UON131104 UYD131104:UYJ131104 VHZ131104:VIF131104 VRV131104:VSB131104 WBR131104:WBX131104 WLN131104:WLT131104 WVJ131104:WVP131104 B196640:H196640 IX196640:JD196640 ST196640:SZ196640 ACP196640:ACV196640 AML196640:AMR196640 AWH196640:AWN196640 BGD196640:BGJ196640 BPZ196640:BQF196640 BZV196640:CAB196640 CJR196640:CJX196640 CTN196640:CTT196640 DDJ196640:DDP196640 DNF196640:DNL196640 DXB196640:DXH196640 EGX196640:EHD196640 EQT196640:EQZ196640 FAP196640:FAV196640 FKL196640:FKR196640 FUH196640:FUN196640 GED196640:GEJ196640 GNZ196640:GOF196640 GXV196640:GYB196640 HHR196640:HHX196640 HRN196640:HRT196640 IBJ196640:IBP196640 ILF196640:ILL196640 IVB196640:IVH196640 JEX196640:JFD196640 JOT196640:JOZ196640 JYP196640:JYV196640 KIL196640:KIR196640 KSH196640:KSN196640 LCD196640:LCJ196640 LLZ196640:LMF196640 LVV196640:LWB196640 MFR196640:MFX196640 MPN196640:MPT196640 MZJ196640:MZP196640 NJF196640:NJL196640 NTB196640:NTH196640 OCX196640:ODD196640 OMT196640:OMZ196640 OWP196640:OWV196640 PGL196640:PGR196640 PQH196640:PQN196640 QAD196640:QAJ196640 QJZ196640:QKF196640 QTV196640:QUB196640 RDR196640:RDX196640 RNN196640:RNT196640 RXJ196640:RXP196640 SHF196640:SHL196640 SRB196640:SRH196640 TAX196640:TBD196640 TKT196640:TKZ196640 TUP196640:TUV196640 UEL196640:UER196640 UOH196640:UON196640 UYD196640:UYJ196640 VHZ196640:VIF196640 VRV196640:VSB196640 WBR196640:WBX196640 WLN196640:WLT196640 WVJ196640:WVP196640 B262176:H262176 IX262176:JD262176 ST262176:SZ262176 ACP262176:ACV262176 AML262176:AMR262176 AWH262176:AWN262176 BGD262176:BGJ262176 BPZ262176:BQF262176 BZV262176:CAB262176 CJR262176:CJX262176 CTN262176:CTT262176 DDJ262176:DDP262176 DNF262176:DNL262176 DXB262176:DXH262176 EGX262176:EHD262176 EQT262176:EQZ262176 FAP262176:FAV262176 FKL262176:FKR262176 FUH262176:FUN262176 GED262176:GEJ262176 GNZ262176:GOF262176 GXV262176:GYB262176 HHR262176:HHX262176 HRN262176:HRT262176 IBJ262176:IBP262176 ILF262176:ILL262176 IVB262176:IVH262176 JEX262176:JFD262176 JOT262176:JOZ262176 JYP262176:JYV262176 KIL262176:KIR262176 KSH262176:KSN262176 LCD262176:LCJ262176 LLZ262176:LMF262176 LVV262176:LWB262176 MFR262176:MFX262176 MPN262176:MPT262176 MZJ262176:MZP262176 NJF262176:NJL262176 NTB262176:NTH262176 OCX262176:ODD262176 OMT262176:OMZ262176 OWP262176:OWV262176 PGL262176:PGR262176 PQH262176:PQN262176 QAD262176:QAJ262176 QJZ262176:QKF262176 QTV262176:QUB262176 RDR262176:RDX262176 RNN262176:RNT262176 RXJ262176:RXP262176 SHF262176:SHL262176 SRB262176:SRH262176 TAX262176:TBD262176 TKT262176:TKZ262176 TUP262176:TUV262176 UEL262176:UER262176 UOH262176:UON262176 UYD262176:UYJ262176 VHZ262176:VIF262176 VRV262176:VSB262176 WBR262176:WBX262176 WLN262176:WLT262176 WVJ262176:WVP262176 B327712:H327712 IX327712:JD327712 ST327712:SZ327712 ACP327712:ACV327712 AML327712:AMR327712 AWH327712:AWN327712 BGD327712:BGJ327712 BPZ327712:BQF327712 BZV327712:CAB327712 CJR327712:CJX327712 CTN327712:CTT327712 DDJ327712:DDP327712 DNF327712:DNL327712 DXB327712:DXH327712 EGX327712:EHD327712 EQT327712:EQZ327712 FAP327712:FAV327712 FKL327712:FKR327712 FUH327712:FUN327712 GED327712:GEJ327712 GNZ327712:GOF327712 GXV327712:GYB327712 HHR327712:HHX327712 HRN327712:HRT327712 IBJ327712:IBP327712 ILF327712:ILL327712 IVB327712:IVH327712 JEX327712:JFD327712 JOT327712:JOZ327712 JYP327712:JYV327712 KIL327712:KIR327712 KSH327712:KSN327712 LCD327712:LCJ327712 LLZ327712:LMF327712 LVV327712:LWB327712 MFR327712:MFX327712 MPN327712:MPT327712 MZJ327712:MZP327712 NJF327712:NJL327712 NTB327712:NTH327712 OCX327712:ODD327712 OMT327712:OMZ327712 OWP327712:OWV327712 PGL327712:PGR327712 PQH327712:PQN327712 QAD327712:QAJ327712 QJZ327712:QKF327712 QTV327712:QUB327712 RDR327712:RDX327712 RNN327712:RNT327712 RXJ327712:RXP327712 SHF327712:SHL327712 SRB327712:SRH327712 TAX327712:TBD327712 TKT327712:TKZ327712 TUP327712:TUV327712 UEL327712:UER327712 UOH327712:UON327712 UYD327712:UYJ327712 VHZ327712:VIF327712 VRV327712:VSB327712 WBR327712:WBX327712 WLN327712:WLT327712 WVJ327712:WVP327712 B393248:H393248 IX393248:JD393248 ST393248:SZ393248 ACP393248:ACV393248 AML393248:AMR393248 AWH393248:AWN393248 BGD393248:BGJ393248 BPZ393248:BQF393248 BZV393248:CAB393248 CJR393248:CJX393248 CTN393248:CTT393248 DDJ393248:DDP393248 DNF393248:DNL393248 DXB393248:DXH393248 EGX393248:EHD393248 EQT393248:EQZ393248 FAP393248:FAV393248 FKL393248:FKR393248 FUH393248:FUN393248 GED393248:GEJ393248 GNZ393248:GOF393248 GXV393248:GYB393248 HHR393248:HHX393248 HRN393248:HRT393248 IBJ393248:IBP393248 ILF393248:ILL393248 IVB393248:IVH393248 JEX393248:JFD393248 JOT393248:JOZ393248 JYP393248:JYV393248 KIL393248:KIR393248 KSH393248:KSN393248 LCD393248:LCJ393248 LLZ393248:LMF393248 LVV393248:LWB393248 MFR393248:MFX393248 MPN393248:MPT393248 MZJ393248:MZP393248 NJF393248:NJL393248 NTB393248:NTH393248 OCX393248:ODD393248 OMT393248:OMZ393248 OWP393248:OWV393248 PGL393248:PGR393248 PQH393248:PQN393248 QAD393248:QAJ393248 QJZ393248:QKF393248 QTV393248:QUB393248 RDR393248:RDX393248 RNN393248:RNT393248 RXJ393248:RXP393248 SHF393248:SHL393248 SRB393248:SRH393248 TAX393248:TBD393248 TKT393248:TKZ393248 TUP393248:TUV393248 UEL393248:UER393248 UOH393248:UON393248 UYD393248:UYJ393248 VHZ393248:VIF393248 VRV393248:VSB393248 WBR393248:WBX393248 WLN393248:WLT393248 WVJ393248:WVP393248 B458784:H458784 IX458784:JD458784 ST458784:SZ458784 ACP458784:ACV458784 AML458784:AMR458784 AWH458784:AWN458784 BGD458784:BGJ458784 BPZ458784:BQF458784 BZV458784:CAB458784 CJR458784:CJX458784 CTN458784:CTT458784 DDJ458784:DDP458784 DNF458784:DNL458784 DXB458784:DXH458784 EGX458784:EHD458784 EQT458784:EQZ458784 FAP458784:FAV458784 FKL458784:FKR458784 FUH458784:FUN458784 GED458784:GEJ458784 GNZ458784:GOF458784 GXV458784:GYB458784 HHR458784:HHX458784 HRN458784:HRT458784 IBJ458784:IBP458784 ILF458784:ILL458784 IVB458784:IVH458784 JEX458784:JFD458784 JOT458784:JOZ458784 JYP458784:JYV458784 KIL458784:KIR458784 KSH458784:KSN458784 LCD458784:LCJ458784 LLZ458784:LMF458784 LVV458784:LWB458784 MFR458784:MFX458784 MPN458784:MPT458784 MZJ458784:MZP458784 NJF458784:NJL458784 NTB458784:NTH458784 OCX458784:ODD458784 OMT458784:OMZ458784 OWP458784:OWV458784 PGL458784:PGR458784 PQH458784:PQN458784 QAD458784:QAJ458784 QJZ458784:QKF458784 QTV458784:QUB458784 RDR458784:RDX458784 RNN458784:RNT458784 RXJ458784:RXP458784 SHF458784:SHL458784 SRB458784:SRH458784 TAX458784:TBD458784 TKT458784:TKZ458784 TUP458784:TUV458784 UEL458784:UER458784 UOH458784:UON458784 UYD458784:UYJ458784 VHZ458784:VIF458784 VRV458784:VSB458784 WBR458784:WBX458784 WLN458784:WLT458784 WVJ458784:WVP458784 B524320:H524320 IX524320:JD524320 ST524320:SZ524320 ACP524320:ACV524320 AML524320:AMR524320 AWH524320:AWN524320 BGD524320:BGJ524320 BPZ524320:BQF524320 BZV524320:CAB524320 CJR524320:CJX524320 CTN524320:CTT524320 DDJ524320:DDP524320 DNF524320:DNL524320 DXB524320:DXH524320 EGX524320:EHD524320 EQT524320:EQZ524320 FAP524320:FAV524320 FKL524320:FKR524320 FUH524320:FUN524320 GED524320:GEJ524320 GNZ524320:GOF524320 GXV524320:GYB524320 HHR524320:HHX524320 HRN524320:HRT524320 IBJ524320:IBP524320 ILF524320:ILL524320 IVB524320:IVH524320 JEX524320:JFD524320 JOT524320:JOZ524320 JYP524320:JYV524320 KIL524320:KIR524320 KSH524320:KSN524320 LCD524320:LCJ524320 LLZ524320:LMF524320 LVV524320:LWB524320 MFR524320:MFX524320 MPN524320:MPT524320 MZJ524320:MZP524320 NJF524320:NJL524320 NTB524320:NTH524320 OCX524320:ODD524320 OMT524320:OMZ524320 OWP524320:OWV524320 PGL524320:PGR524320 PQH524320:PQN524320 QAD524320:QAJ524320 QJZ524320:QKF524320 QTV524320:QUB524320 RDR524320:RDX524320 RNN524320:RNT524320 RXJ524320:RXP524320 SHF524320:SHL524320 SRB524320:SRH524320 TAX524320:TBD524320 TKT524320:TKZ524320 TUP524320:TUV524320 UEL524320:UER524320 UOH524320:UON524320 UYD524320:UYJ524320 VHZ524320:VIF524320 VRV524320:VSB524320 WBR524320:WBX524320 WLN524320:WLT524320 WVJ524320:WVP524320 B589856:H589856 IX589856:JD589856 ST589856:SZ589856 ACP589856:ACV589856 AML589856:AMR589856 AWH589856:AWN589856 BGD589856:BGJ589856 BPZ589856:BQF589856 BZV589856:CAB589856 CJR589856:CJX589856 CTN589856:CTT589856 DDJ589856:DDP589856 DNF589856:DNL589856 DXB589856:DXH589856 EGX589856:EHD589856 EQT589856:EQZ589856 FAP589856:FAV589856 FKL589856:FKR589856 FUH589856:FUN589856 GED589856:GEJ589856 GNZ589856:GOF589856 GXV589856:GYB589856 HHR589856:HHX589856 HRN589856:HRT589856 IBJ589856:IBP589856 ILF589856:ILL589856 IVB589856:IVH589856 JEX589856:JFD589856 JOT589856:JOZ589856 JYP589856:JYV589856 KIL589856:KIR589856 KSH589856:KSN589856 LCD589856:LCJ589856 LLZ589856:LMF589856 LVV589856:LWB589856 MFR589856:MFX589856 MPN589856:MPT589856 MZJ589856:MZP589856 NJF589856:NJL589856 NTB589856:NTH589856 OCX589856:ODD589856 OMT589856:OMZ589856 OWP589856:OWV589856 PGL589856:PGR589856 PQH589856:PQN589856 QAD589856:QAJ589856 QJZ589856:QKF589856 QTV589856:QUB589856 RDR589856:RDX589856 RNN589856:RNT589856 RXJ589856:RXP589856 SHF589856:SHL589856 SRB589856:SRH589856 TAX589856:TBD589856 TKT589856:TKZ589856 TUP589856:TUV589856 UEL589856:UER589856 UOH589856:UON589856 UYD589856:UYJ589856 VHZ589856:VIF589856 VRV589856:VSB589856 WBR589856:WBX589856 WLN589856:WLT589856 WVJ589856:WVP589856 B655392:H655392 IX655392:JD655392 ST655392:SZ655392 ACP655392:ACV655392 AML655392:AMR655392 AWH655392:AWN655392 BGD655392:BGJ655392 BPZ655392:BQF655392 BZV655392:CAB655392 CJR655392:CJX655392 CTN655392:CTT655392 DDJ655392:DDP655392 DNF655392:DNL655392 DXB655392:DXH655392 EGX655392:EHD655392 EQT655392:EQZ655392 FAP655392:FAV655392 FKL655392:FKR655392 FUH655392:FUN655392 GED655392:GEJ655392 GNZ655392:GOF655392 GXV655392:GYB655392 HHR655392:HHX655392 HRN655392:HRT655392 IBJ655392:IBP655392 ILF655392:ILL655392 IVB655392:IVH655392 JEX655392:JFD655392 JOT655392:JOZ655392 JYP655392:JYV655392 KIL655392:KIR655392 KSH655392:KSN655392 LCD655392:LCJ655392 LLZ655392:LMF655392 LVV655392:LWB655392 MFR655392:MFX655392 MPN655392:MPT655392 MZJ655392:MZP655392 NJF655392:NJL655392 NTB655392:NTH655392 OCX655392:ODD655392 OMT655392:OMZ655392 OWP655392:OWV655392 PGL655392:PGR655392 PQH655392:PQN655392 QAD655392:QAJ655392 QJZ655392:QKF655392 QTV655392:QUB655392 RDR655392:RDX655392 RNN655392:RNT655392 RXJ655392:RXP655392 SHF655392:SHL655392 SRB655392:SRH655392 TAX655392:TBD655392 TKT655392:TKZ655392 TUP655392:TUV655392 UEL655392:UER655392 UOH655392:UON655392 UYD655392:UYJ655392 VHZ655392:VIF655392 VRV655392:VSB655392 WBR655392:WBX655392 WLN655392:WLT655392 WVJ655392:WVP655392 B720928:H720928 IX720928:JD720928 ST720928:SZ720928 ACP720928:ACV720928 AML720928:AMR720928 AWH720928:AWN720928 BGD720928:BGJ720928 BPZ720928:BQF720928 BZV720928:CAB720928 CJR720928:CJX720928 CTN720928:CTT720928 DDJ720928:DDP720928 DNF720928:DNL720928 DXB720928:DXH720928 EGX720928:EHD720928 EQT720928:EQZ720928 FAP720928:FAV720928 FKL720928:FKR720928 FUH720928:FUN720928 GED720928:GEJ720928 GNZ720928:GOF720928 GXV720928:GYB720928 HHR720928:HHX720928 HRN720928:HRT720928 IBJ720928:IBP720928 ILF720928:ILL720928 IVB720928:IVH720928 JEX720928:JFD720928 JOT720928:JOZ720928 JYP720928:JYV720928 KIL720928:KIR720928 KSH720928:KSN720928 LCD720928:LCJ720928 LLZ720928:LMF720928 LVV720928:LWB720928 MFR720928:MFX720928 MPN720928:MPT720928 MZJ720928:MZP720928 NJF720928:NJL720928 NTB720928:NTH720928 OCX720928:ODD720928 OMT720928:OMZ720928 OWP720928:OWV720928 PGL720928:PGR720928 PQH720928:PQN720928 QAD720928:QAJ720928 QJZ720928:QKF720928 QTV720928:QUB720928 RDR720928:RDX720928 RNN720928:RNT720928 RXJ720928:RXP720928 SHF720928:SHL720928 SRB720928:SRH720928 TAX720928:TBD720928 TKT720928:TKZ720928 TUP720928:TUV720928 UEL720928:UER720928 UOH720928:UON720928 UYD720928:UYJ720928 VHZ720928:VIF720928 VRV720928:VSB720928 WBR720928:WBX720928 WLN720928:WLT720928 WVJ720928:WVP720928 B786464:H786464 IX786464:JD786464 ST786464:SZ786464 ACP786464:ACV786464 AML786464:AMR786464 AWH786464:AWN786464 BGD786464:BGJ786464 BPZ786464:BQF786464 BZV786464:CAB786464 CJR786464:CJX786464 CTN786464:CTT786464 DDJ786464:DDP786464 DNF786464:DNL786464 DXB786464:DXH786464 EGX786464:EHD786464 EQT786464:EQZ786464 FAP786464:FAV786464 FKL786464:FKR786464 FUH786464:FUN786464 GED786464:GEJ786464 GNZ786464:GOF786464 GXV786464:GYB786464 HHR786464:HHX786464 HRN786464:HRT786464 IBJ786464:IBP786464 ILF786464:ILL786464 IVB786464:IVH786464 JEX786464:JFD786464 JOT786464:JOZ786464 JYP786464:JYV786464 KIL786464:KIR786464 KSH786464:KSN786464 LCD786464:LCJ786464 LLZ786464:LMF786464 LVV786464:LWB786464 MFR786464:MFX786464 MPN786464:MPT786464 MZJ786464:MZP786464 NJF786464:NJL786464 NTB786464:NTH786464 OCX786464:ODD786464 OMT786464:OMZ786464 OWP786464:OWV786464 PGL786464:PGR786464 PQH786464:PQN786464 QAD786464:QAJ786464 QJZ786464:QKF786464 QTV786464:QUB786464 RDR786464:RDX786464 RNN786464:RNT786464 RXJ786464:RXP786464 SHF786464:SHL786464 SRB786464:SRH786464 TAX786464:TBD786464 TKT786464:TKZ786464 TUP786464:TUV786464 UEL786464:UER786464 UOH786464:UON786464 UYD786464:UYJ786464 VHZ786464:VIF786464 VRV786464:VSB786464 WBR786464:WBX786464 WLN786464:WLT786464 WVJ786464:WVP786464 B852000:H852000 IX852000:JD852000 ST852000:SZ852000 ACP852000:ACV852000 AML852000:AMR852000 AWH852000:AWN852000 BGD852000:BGJ852000 BPZ852000:BQF852000 BZV852000:CAB852000 CJR852000:CJX852000 CTN852000:CTT852000 DDJ852000:DDP852000 DNF852000:DNL852000 DXB852000:DXH852000 EGX852000:EHD852000 EQT852000:EQZ852000 FAP852000:FAV852000 FKL852000:FKR852000 FUH852000:FUN852000 GED852000:GEJ852000 GNZ852000:GOF852000 GXV852000:GYB852000 HHR852000:HHX852000 HRN852000:HRT852000 IBJ852000:IBP852000 ILF852000:ILL852000 IVB852000:IVH852000 JEX852000:JFD852000 JOT852000:JOZ852000 JYP852000:JYV852000 KIL852000:KIR852000 KSH852000:KSN852000 LCD852000:LCJ852000 LLZ852000:LMF852000 LVV852000:LWB852000 MFR852000:MFX852000 MPN852000:MPT852000 MZJ852000:MZP852000 NJF852000:NJL852000 NTB852000:NTH852000 OCX852000:ODD852000 OMT852000:OMZ852000 OWP852000:OWV852000 PGL852000:PGR852000 PQH852000:PQN852000 QAD852000:QAJ852000 QJZ852000:QKF852000 QTV852000:QUB852000 RDR852000:RDX852000 RNN852000:RNT852000 RXJ852000:RXP852000 SHF852000:SHL852000 SRB852000:SRH852000 TAX852000:TBD852000 TKT852000:TKZ852000 TUP852000:TUV852000 UEL852000:UER852000 UOH852000:UON852000 UYD852000:UYJ852000 VHZ852000:VIF852000 VRV852000:VSB852000 WBR852000:WBX852000 WLN852000:WLT852000 WVJ852000:WVP852000 B917536:H917536 IX917536:JD917536 ST917536:SZ917536 ACP917536:ACV917536 AML917536:AMR917536 AWH917536:AWN917536 BGD917536:BGJ917536 BPZ917536:BQF917536 BZV917536:CAB917536 CJR917536:CJX917536 CTN917536:CTT917536 DDJ917536:DDP917536 DNF917536:DNL917536 DXB917536:DXH917536 EGX917536:EHD917536 EQT917536:EQZ917536 FAP917536:FAV917536 FKL917536:FKR917536 FUH917536:FUN917536 GED917536:GEJ917536 GNZ917536:GOF917536 GXV917536:GYB917536 HHR917536:HHX917536 HRN917536:HRT917536 IBJ917536:IBP917536 ILF917536:ILL917536 IVB917536:IVH917536 JEX917536:JFD917536 JOT917536:JOZ917536 JYP917536:JYV917536 KIL917536:KIR917536 KSH917536:KSN917536 LCD917536:LCJ917536 LLZ917536:LMF917536 LVV917536:LWB917536 MFR917536:MFX917536 MPN917536:MPT917536 MZJ917536:MZP917536 NJF917536:NJL917536 NTB917536:NTH917536 OCX917536:ODD917536 OMT917536:OMZ917536 OWP917536:OWV917536 PGL917536:PGR917536 PQH917536:PQN917536 QAD917536:QAJ917536 QJZ917536:QKF917536 QTV917536:QUB917536 RDR917536:RDX917536 RNN917536:RNT917536 RXJ917536:RXP917536 SHF917536:SHL917536 SRB917536:SRH917536 TAX917536:TBD917536 TKT917536:TKZ917536 TUP917536:TUV917536 UEL917536:UER917536 UOH917536:UON917536 UYD917536:UYJ917536 VHZ917536:VIF917536 VRV917536:VSB917536 WBR917536:WBX917536 WLN917536:WLT917536 WVJ917536:WVP917536 B983072:H983072 IX983072:JD983072 ST983072:SZ983072 ACP983072:ACV983072 AML983072:AMR983072 AWH983072:AWN983072 BGD983072:BGJ983072 BPZ983072:BQF983072 BZV983072:CAB983072 CJR983072:CJX983072 CTN983072:CTT983072 DDJ983072:DDP983072 DNF983072:DNL983072 DXB983072:DXH983072 EGX983072:EHD983072 EQT983072:EQZ983072 FAP983072:FAV983072 FKL983072:FKR983072 FUH983072:FUN983072 GED983072:GEJ983072 GNZ983072:GOF983072 GXV983072:GYB983072 HHR983072:HHX983072 HRN983072:HRT983072 IBJ983072:IBP983072 ILF983072:ILL983072 IVB983072:IVH983072 JEX983072:JFD983072 JOT983072:JOZ983072 JYP983072:JYV983072 KIL983072:KIR983072 KSH983072:KSN983072 LCD983072:LCJ983072 LLZ983072:LMF983072 LVV983072:LWB983072 MFR983072:MFX983072 MPN983072:MPT983072 MZJ983072:MZP983072 NJF983072:NJL983072 NTB983072:NTH983072 OCX983072:ODD983072 OMT983072:OMZ983072 OWP983072:OWV983072 PGL983072:PGR983072 PQH983072:PQN983072 QAD983072:QAJ983072 QJZ983072:QKF983072 QTV983072:QUB983072 RDR983072:RDX983072 RNN983072:RNT983072 RXJ983072:RXP983072 SHF983072:SHL983072 SRB983072:SRH983072 TAX983072:TBD983072 TKT983072:TKZ983072 TUP983072:TUV983072 UEL983072:UER983072 UOH983072:UON983072 UYD983072:UYJ983072 VHZ983072:VIF983072 VRV983072:VSB983072 WBR983072:WBX983072 WLN983072:WLT983072 WVJ983072:WVP983072 B29:H29 IX29:JD29 ST29:SZ29 ACP29:ACV29 AML29:AMR29 AWH29:AWN29 BGD29:BGJ29 BPZ29:BQF29 BZV29:CAB29 CJR29:CJX29 CTN29:CTT29 DDJ29:DDP29 DNF29:DNL29 DXB29:DXH29 EGX29:EHD29 EQT29:EQZ29 FAP29:FAV29 FKL29:FKR29 FUH29:FUN29 GED29:GEJ29 GNZ29:GOF29 GXV29:GYB29 HHR29:HHX29 HRN29:HRT29 IBJ29:IBP29 ILF29:ILL29 IVB29:IVH29 JEX29:JFD29 JOT29:JOZ29 JYP29:JYV29 KIL29:KIR29 KSH29:KSN29 LCD29:LCJ29 LLZ29:LMF29 LVV29:LWB29 MFR29:MFX29 MPN29:MPT29 MZJ29:MZP29 NJF29:NJL29 NTB29:NTH29 OCX29:ODD29 OMT29:OMZ29 OWP29:OWV29 PGL29:PGR29 PQH29:PQN29 QAD29:QAJ29 QJZ29:QKF29 QTV29:QUB29 RDR29:RDX29 RNN29:RNT29 RXJ29:RXP29 SHF29:SHL29 SRB29:SRH29 TAX29:TBD29 TKT29:TKZ29 TUP29:TUV29 UEL29:UER29 UOH29:UON29 UYD29:UYJ29 VHZ29:VIF29 VRV29:VSB29 WBR29:WBX29 WLN29:WLT29 WVJ29:WVP29 B65565:H65565 IX65565:JD65565 ST65565:SZ65565 ACP65565:ACV65565 AML65565:AMR65565 AWH65565:AWN65565 BGD65565:BGJ65565 BPZ65565:BQF65565 BZV65565:CAB65565 CJR65565:CJX65565 CTN65565:CTT65565 DDJ65565:DDP65565 DNF65565:DNL65565 DXB65565:DXH65565 EGX65565:EHD65565 EQT65565:EQZ65565 FAP65565:FAV65565 FKL65565:FKR65565 FUH65565:FUN65565 GED65565:GEJ65565 GNZ65565:GOF65565 GXV65565:GYB65565 HHR65565:HHX65565 HRN65565:HRT65565 IBJ65565:IBP65565 ILF65565:ILL65565 IVB65565:IVH65565 JEX65565:JFD65565 JOT65565:JOZ65565 JYP65565:JYV65565 KIL65565:KIR65565 KSH65565:KSN65565 LCD65565:LCJ65565 LLZ65565:LMF65565 LVV65565:LWB65565 MFR65565:MFX65565 MPN65565:MPT65565 MZJ65565:MZP65565 NJF65565:NJL65565 NTB65565:NTH65565 OCX65565:ODD65565 OMT65565:OMZ65565 OWP65565:OWV65565 PGL65565:PGR65565 PQH65565:PQN65565 QAD65565:QAJ65565 QJZ65565:QKF65565 QTV65565:QUB65565 RDR65565:RDX65565 RNN65565:RNT65565 RXJ65565:RXP65565 SHF65565:SHL65565 SRB65565:SRH65565 TAX65565:TBD65565 TKT65565:TKZ65565 TUP65565:TUV65565 UEL65565:UER65565 UOH65565:UON65565 UYD65565:UYJ65565 VHZ65565:VIF65565 VRV65565:VSB65565 WBR65565:WBX65565 WLN65565:WLT65565 WVJ65565:WVP65565 B131101:H131101 IX131101:JD131101 ST131101:SZ131101 ACP131101:ACV131101 AML131101:AMR131101 AWH131101:AWN131101 BGD131101:BGJ131101 BPZ131101:BQF131101 BZV131101:CAB131101 CJR131101:CJX131101 CTN131101:CTT131101 DDJ131101:DDP131101 DNF131101:DNL131101 DXB131101:DXH131101 EGX131101:EHD131101 EQT131101:EQZ131101 FAP131101:FAV131101 FKL131101:FKR131101 FUH131101:FUN131101 GED131101:GEJ131101 GNZ131101:GOF131101 GXV131101:GYB131101 HHR131101:HHX131101 HRN131101:HRT131101 IBJ131101:IBP131101 ILF131101:ILL131101 IVB131101:IVH131101 JEX131101:JFD131101 JOT131101:JOZ131101 JYP131101:JYV131101 KIL131101:KIR131101 KSH131101:KSN131101 LCD131101:LCJ131101 LLZ131101:LMF131101 LVV131101:LWB131101 MFR131101:MFX131101 MPN131101:MPT131101 MZJ131101:MZP131101 NJF131101:NJL131101 NTB131101:NTH131101 OCX131101:ODD131101 OMT131101:OMZ131101 OWP131101:OWV131101 PGL131101:PGR131101 PQH131101:PQN131101 QAD131101:QAJ131101 QJZ131101:QKF131101 QTV131101:QUB131101 RDR131101:RDX131101 RNN131101:RNT131101 RXJ131101:RXP131101 SHF131101:SHL131101 SRB131101:SRH131101 TAX131101:TBD131101 TKT131101:TKZ131101 TUP131101:TUV131101 UEL131101:UER131101 UOH131101:UON131101 UYD131101:UYJ131101 VHZ131101:VIF131101 VRV131101:VSB131101 WBR131101:WBX131101 WLN131101:WLT131101 WVJ131101:WVP131101 B196637:H196637 IX196637:JD196637 ST196637:SZ196637 ACP196637:ACV196637 AML196637:AMR196637 AWH196637:AWN196637 BGD196637:BGJ196637 BPZ196637:BQF196637 BZV196637:CAB196637 CJR196637:CJX196637 CTN196637:CTT196637 DDJ196637:DDP196637 DNF196637:DNL196637 DXB196637:DXH196637 EGX196637:EHD196637 EQT196637:EQZ196637 FAP196637:FAV196637 FKL196637:FKR196637 FUH196637:FUN196637 GED196637:GEJ196637 GNZ196637:GOF196637 GXV196637:GYB196637 HHR196637:HHX196637 HRN196637:HRT196637 IBJ196637:IBP196637 ILF196637:ILL196637 IVB196637:IVH196637 JEX196637:JFD196637 JOT196637:JOZ196637 JYP196637:JYV196637 KIL196637:KIR196637 KSH196637:KSN196637 LCD196637:LCJ196637 LLZ196637:LMF196637 LVV196637:LWB196637 MFR196637:MFX196637 MPN196637:MPT196637 MZJ196637:MZP196637 NJF196637:NJL196637 NTB196637:NTH196637 OCX196637:ODD196637 OMT196637:OMZ196637 OWP196637:OWV196637 PGL196637:PGR196637 PQH196637:PQN196637 QAD196637:QAJ196637 QJZ196637:QKF196637 QTV196637:QUB196637 RDR196637:RDX196637 RNN196637:RNT196637 RXJ196637:RXP196637 SHF196637:SHL196637 SRB196637:SRH196637 TAX196637:TBD196637 TKT196637:TKZ196637 TUP196637:TUV196637 UEL196637:UER196637 UOH196637:UON196637 UYD196637:UYJ196637 VHZ196637:VIF196637 VRV196637:VSB196637 WBR196637:WBX196637 WLN196637:WLT196637 WVJ196637:WVP196637 B262173:H262173 IX262173:JD262173 ST262173:SZ262173 ACP262173:ACV262173 AML262173:AMR262173 AWH262173:AWN262173 BGD262173:BGJ262173 BPZ262173:BQF262173 BZV262173:CAB262173 CJR262173:CJX262173 CTN262173:CTT262173 DDJ262173:DDP262173 DNF262173:DNL262173 DXB262173:DXH262173 EGX262173:EHD262173 EQT262173:EQZ262173 FAP262173:FAV262173 FKL262173:FKR262173 FUH262173:FUN262173 GED262173:GEJ262173 GNZ262173:GOF262173 GXV262173:GYB262173 HHR262173:HHX262173 HRN262173:HRT262173 IBJ262173:IBP262173 ILF262173:ILL262173 IVB262173:IVH262173 JEX262173:JFD262173 JOT262173:JOZ262173 JYP262173:JYV262173 KIL262173:KIR262173 KSH262173:KSN262173 LCD262173:LCJ262173 LLZ262173:LMF262173 LVV262173:LWB262173 MFR262173:MFX262173 MPN262173:MPT262173 MZJ262173:MZP262173 NJF262173:NJL262173 NTB262173:NTH262173 OCX262173:ODD262173 OMT262173:OMZ262173 OWP262173:OWV262173 PGL262173:PGR262173 PQH262173:PQN262173 QAD262173:QAJ262173 QJZ262173:QKF262173 QTV262173:QUB262173 RDR262173:RDX262173 RNN262173:RNT262173 RXJ262173:RXP262173 SHF262173:SHL262173 SRB262173:SRH262173 TAX262173:TBD262173 TKT262173:TKZ262173 TUP262173:TUV262173 UEL262173:UER262173 UOH262173:UON262173 UYD262173:UYJ262173 VHZ262173:VIF262173 VRV262173:VSB262173 WBR262173:WBX262173 WLN262173:WLT262173 WVJ262173:WVP262173 B327709:H327709 IX327709:JD327709 ST327709:SZ327709 ACP327709:ACV327709 AML327709:AMR327709 AWH327709:AWN327709 BGD327709:BGJ327709 BPZ327709:BQF327709 BZV327709:CAB327709 CJR327709:CJX327709 CTN327709:CTT327709 DDJ327709:DDP327709 DNF327709:DNL327709 DXB327709:DXH327709 EGX327709:EHD327709 EQT327709:EQZ327709 FAP327709:FAV327709 FKL327709:FKR327709 FUH327709:FUN327709 GED327709:GEJ327709 GNZ327709:GOF327709 GXV327709:GYB327709 HHR327709:HHX327709 HRN327709:HRT327709 IBJ327709:IBP327709 ILF327709:ILL327709 IVB327709:IVH327709 JEX327709:JFD327709 JOT327709:JOZ327709 JYP327709:JYV327709 KIL327709:KIR327709 KSH327709:KSN327709 LCD327709:LCJ327709 LLZ327709:LMF327709 LVV327709:LWB327709 MFR327709:MFX327709 MPN327709:MPT327709 MZJ327709:MZP327709 NJF327709:NJL327709 NTB327709:NTH327709 OCX327709:ODD327709 OMT327709:OMZ327709 OWP327709:OWV327709 PGL327709:PGR327709 PQH327709:PQN327709 QAD327709:QAJ327709 QJZ327709:QKF327709 QTV327709:QUB327709 RDR327709:RDX327709 RNN327709:RNT327709 RXJ327709:RXP327709 SHF327709:SHL327709 SRB327709:SRH327709 TAX327709:TBD327709 TKT327709:TKZ327709 TUP327709:TUV327709 UEL327709:UER327709 UOH327709:UON327709 UYD327709:UYJ327709 VHZ327709:VIF327709 VRV327709:VSB327709 WBR327709:WBX327709 WLN327709:WLT327709 WVJ327709:WVP327709 B393245:H393245 IX393245:JD393245 ST393245:SZ393245 ACP393245:ACV393245 AML393245:AMR393245 AWH393245:AWN393245 BGD393245:BGJ393245 BPZ393245:BQF393245 BZV393245:CAB393245 CJR393245:CJX393245 CTN393245:CTT393245 DDJ393245:DDP393245 DNF393245:DNL393245 DXB393245:DXH393245 EGX393245:EHD393245 EQT393245:EQZ393245 FAP393245:FAV393245 FKL393245:FKR393245 FUH393245:FUN393245 GED393245:GEJ393245 GNZ393245:GOF393245 GXV393245:GYB393245 HHR393245:HHX393245 HRN393245:HRT393245 IBJ393245:IBP393245 ILF393245:ILL393245 IVB393245:IVH393245 JEX393245:JFD393245 JOT393245:JOZ393245 JYP393245:JYV393245 KIL393245:KIR393245 KSH393245:KSN393245 LCD393245:LCJ393245 LLZ393245:LMF393245 LVV393245:LWB393245 MFR393245:MFX393245 MPN393245:MPT393245 MZJ393245:MZP393245 NJF393245:NJL393245 NTB393245:NTH393245 OCX393245:ODD393245 OMT393245:OMZ393245 OWP393245:OWV393245 PGL393245:PGR393245 PQH393245:PQN393245 QAD393245:QAJ393245 QJZ393245:QKF393245 QTV393245:QUB393245 RDR393245:RDX393245 RNN393245:RNT393245 RXJ393245:RXP393245 SHF393245:SHL393245 SRB393245:SRH393245 TAX393245:TBD393245 TKT393245:TKZ393245 TUP393245:TUV393245 UEL393245:UER393245 UOH393245:UON393245 UYD393245:UYJ393245 VHZ393245:VIF393245 VRV393245:VSB393245 WBR393245:WBX393245 WLN393245:WLT393245 WVJ393245:WVP393245 B458781:H458781 IX458781:JD458781 ST458781:SZ458781 ACP458781:ACV458781 AML458781:AMR458781 AWH458781:AWN458781 BGD458781:BGJ458781 BPZ458781:BQF458781 BZV458781:CAB458781 CJR458781:CJX458781 CTN458781:CTT458781 DDJ458781:DDP458781 DNF458781:DNL458781 DXB458781:DXH458781 EGX458781:EHD458781 EQT458781:EQZ458781 FAP458781:FAV458781 FKL458781:FKR458781 FUH458781:FUN458781 GED458781:GEJ458781 GNZ458781:GOF458781 GXV458781:GYB458781 HHR458781:HHX458781 HRN458781:HRT458781 IBJ458781:IBP458781 ILF458781:ILL458781 IVB458781:IVH458781 JEX458781:JFD458781 JOT458781:JOZ458781 JYP458781:JYV458781 KIL458781:KIR458781 KSH458781:KSN458781 LCD458781:LCJ458781 LLZ458781:LMF458781 LVV458781:LWB458781 MFR458781:MFX458781 MPN458781:MPT458781 MZJ458781:MZP458781 NJF458781:NJL458781 NTB458781:NTH458781 OCX458781:ODD458781 OMT458781:OMZ458781 OWP458781:OWV458781 PGL458781:PGR458781 PQH458781:PQN458781 QAD458781:QAJ458781 QJZ458781:QKF458781 QTV458781:QUB458781 RDR458781:RDX458781 RNN458781:RNT458781 RXJ458781:RXP458781 SHF458781:SHL458781 SRB458781:SRH458781 TAX458781:TBD458781 TKT458781:TKZ458781 TUP458781:TUV458781 UEL458781:UER458781 UOH458781:UON458781 UYD458781:UYJ458781 VHZ458781:VIF458781 VRV458781:VSB458781 WBR458781:WBX458781 WLN458781:WLT458781 WVJ458781:WVP458781 B524317:H524317 IX524317:JD524317 ST524317:SZ524317 ACP524317:ACV524317 AML524317:AMR524317 AWH524317:AWN524317 BGD524317:BGJ524317 BPZ524317:BQF524317 BZV524317:CAB524317 CJR524317:CJX524317 CTN524317:CTT524317 DDJ524317:DDP524317 DNF524317:DNL524317 DXB524317:DXH524317 EGX524317:EHD524317 EQT524317:EQZ524317 FAP524317:FAV524317 FKL524317:FKR524317 FUH524317:FUN524317 GED524317:GEJ524317 GNZ524317:GOF524317 GXV524317:GYB524317 HHR524317:HHX524317 HRN524317:HRT524317 IBJ524317:IBP524317 ILF524317:ILL524317 IVB524317:IVH524317 JEX524317:JFD524317 JOT524317:JOZ524317 JYP524317:JYV524317 KIL524317:KIR524317 KSH524317:KSN524317 LCD524317:LCJ524317 LLZ524317:LMF524317 LVV524317:LWB524317 MFR524317:MFX524317 MPN524317:MPT524317 MZJ524317:MZP524317 NJF524317:NJL524317 NTB524317:NTH524317 OCX524317:ODD524317 OMT524317:OMZ524317 OWP524317:OWV524317 PGL524317:PGR524317 PQH524317:PQN524317 QAD524317:QAJ524317 QJZ524317:QKF524317 QTV524317:QUB524317 RDR524317:RDX524317 RNN524317:RNT524317 RXJ524317:RXP524317 SHF524317:SHL524317 SRB524317:SRH524317 TAX524317:TBD524317 TKT524317:TKZ524317 TUP524317:TUV524317 UEL524317:UER524317 UOH524317:UON524317 UYD524317:UYJ524317 VHZ524317:VIF524317 VRV524317:VSB524317 WBR524317:WBX524317 WLN524317:WLT524317 WVJ524317:WVP524317 B589853:H589853 IX589853:JD589853 ST589853:SZ589853 ACP589853:ACV589853 AML589853:AMR589853 AWH589853:AWN589853 BGD589853:BGJ589853 BPZ589853:BQF589853 BZV589853:CAB589853 CJR589853:CJX589853 CTN589853:CTT589853 DDJ589853:DDP589853 DNF589853:DNL589853 DXB589853:DXH589853 EGX589853:EHD589853 EQT589853:EQZ589853 FAP589853:FAV589853 FKL589853:FKR589853 FUH589853:FUN589853 GED589853:GEJ589853 GNZ589853:GOF589853 GXV589853:GYB589853 HHR589853:HHX589853 HRN589853:HRT589853 IBJ589853:IBP589853 ILF589853:ILL589853 IVB589853:IVH589853 JEX589853:JFD589853 JOT589853:JOZ589853 JYP589853:JYV589853 KIL589853:KIR589853 KSH589853:KSN589853 LCD589853:LCJ589853 LLZ589853:LMF589853 LVV589853:LWB589853 MFR589853:MFX589853 MPN589853:MPT589853 MZJ589853:MZP589853 NJF589853:NJL589853 NTB589853:NTH589853 OCX589853:ODD589853 OMT589853:OMZ589853 OWP589853:OWV589853 PGL589853:PGR589853 PQH589853:PQN589853 QAD589853:QAJ589853 QJZ589853:QKF589853 QTV589853:QUB589853 RDR589853:RDX589853 RNN589853:RNT589853 RXJ589853:RXP589853 SHF589853:SHL589853 SRB589853:SRH589853 TAX589853:TBD589853 TKT589853:TKZ589853 TUP589853:TUV589853 UEL589853:UER589853 UOH589853:UON589853 UYD589853:UYJ589853 VHZ589853:VIF589853 VRV589853:VSB589853 WBR589853:WBX589853 WLN589853:WLT589853 WVJ589853:WVP589853 B655389:H655389 IX655389:JD655389 ST655389:SZ655389 ACP655389:ACV655389 AML655389:AMR655389 AWH655389:AWN655389 BGD655389:BGJ655389 BPZ655389:BQF655389 BZV655389:CAB655389 CJR655389:CJX655389 CTN655389:CTT655389 DDJ655389:DDP655389 DNF655389:DNL655389 DXB655389:DXH655389 EGX655389:EHD655389 EQT655389:EQZ655389 FAP655389:FAV655389 FKL655389:FKR655389 FUH655389:FUN655389 GED655389:GEJ655389 GNZ655389:GOF655389 GXV655389:GYB655389 HHR655389:HHX655389 HRN655389:HRT655389 IBJ655389:IBP655389 ILF655389:ILL655389 IVB655389:IVH655389 JEX655389:JFD655389 JOT655389:JOZ655389 JYP655389:JYV655389 KIL655389:KIR655389 KSH655389:KSN655389 LCD655389:LCJ655389 LLZ655389:LMF655389 LVV655389:LWB655389 MFR655389:MFX655389 MPN655389:MPT655389 MZJ655389:MZP655389 NJF655389:NJL655389 NTB655389:NTH655389 OCX655389:ODD655389 OMT655389:OMZ655389 OWP655389:OWV655389 PGL655389:PGR655389 PQH655389:PQN655389 QAD655389:QAJ655389 QJZ655389:QKF655389 QTV655389:QUB655389 RDR655389:RDX655389 RNN655389:RNT655389 RXJ655389:RXP655389 SHF655389:SHL655389 SRB655389:SRH655389 TAX655389:TBD655389 TKT655389:TKZ655389 TUP655389:TUV655389 UEL655389:UER655389 UOH655389:UON655389 UYD655389:UYJ655389 VHZ655389:VIF655389 VRV655389:VSB655389 WBR655389:WBX655389 WLN655389:WLT655389 WVJ655389:WVP655389 B720925:H720925 IX720925:JD720925 ST720925:SZ720925 ACP720925:ACV720925 AML720925:AMR720925 AWH720925:AWN720925 BGD720925:BGJ720925 BPZ720925:BQF720925 BZV720925:CAB720925 CJR720925:CJX720925 CTN720925:CTT720925 DDJ720925:DDP720925 DNF720925:DNL720925 DXB720925:DXH720925 EGX720925:EHD720925 EQT720925:EQZ720925 FAP720925:FAV720925 FKL720925:FKR720925 FUH720925:FUN720925 GED720925:GEJ720925 GNZ720925:GOF720925 GXV720925:GYB720925 HHR720925:HHX720925 HRN720925:HRT720925 IBJ720925:IBP720925 ILF720925:ILL720925 IVB720925:IVH720925 JEX720925:JFD720925 JOT720925:JOZ720925 JYP720925:JYV720925 KIL720925:KIR720925 KSH720925:KSN720925 LCD720925:LCJ720925 LLZ720925:LMF720925 LVV720925:LWB720925 MFR720925:MFX720925 MPN720925:MPT720925 MZJ720925:MZP720925 NJF720925:NJL720925 NTB720925:NTH720925 OCX720925:ODD720925 OMT720925:OMZ720925 OWP720925:OWV720925 PGL720925:PGR720925 PQH720925:PQN720925 QAD720925:QAJ720925 QJZ720925:QKF720925 QTV720925:QUB720925 RDR720925:RDX720925 RNN720925:RNT720925 RXJ720925:RXP720925 SHF720925:SHL720925 SRB720925:SRH720925 TAX720925:TBD720925 TKT720925:TKZ720925 TUP720925:TUV720925 UEL720925:UER720925 UOH720925:UON720925 UYD720925:UYJ720925 VHZ720925:VIF720925 VRV720925:VSB720925 WBR720925:WBX720925 WLN720925:WLT720925 WVJ720925:WVP720925 B786461:H786461 IX786461:JD786461 ST786461:SZ786461 ACP786461:ACV786461 AML786461:AMR786461 AWH786461:AWN786461 BGD786461:BGJ786461 BPZ786461:BQF786461 BZV786461:CAB786461 CJR786461:CJX786461 CTN786461:CTT786461 DDJ786461:DDP786461 DNF786461:DNL786461 DXB786461:DXH786461 EGX786461:EHD786461 EQT786461:EQZ786461 FAP786461:FAV786461 FKL786461:FKR786461 FUH786461:FUN786461 GED786461:GEJ786461 GNZ786461:GOF786461 GXV786461:GYB786461 HHR786461:HHX786461 HRN786461:HRT786461 IBJ786461:IBP786461 ILF786461:ILL786461 IVB786461:IVH786461 JEX786461:JFD786461 JOT786461:JOZ786461 JYP786461:JYV786461 KIL786461:KIR786461 KSH786461:KSN786461 LCD786461:LCJ786461 LLZ786461:LMF786461 LVV786461:LWB786461 MFR786461:MFX786461 MPN786461:MPT786461 MZJ786461:MZP786461 NJF786461:NJL786461 NTB786461:NTH786461 OCX786461:ODD786461 OMT786461:OMZ786461 OWP786461:OWV786461 PGL786461:PGR786461 PQH786461:PQN786461 QAD786461:QAJ786461 QJZ786461:QKF786461 QTV786461:QUB786461 RDR786461:RDX786461 RNN786461:RNT786461 RXJ786461:RXP786461 SHF786461:SHL786461 SRB786461:SRH786461 TAX786461:TBD786461 TKT786461:TKZ786461 TUP786461:TUV786461 UEL786461:UER786461 UOH786461:UON786461 UYD786461:UYJ786461 VHZ786461:VIF786461 VRV786461:VSB786461 WBR786461:WBX786461 WLN786461:WLT786461 WVJ786461:WVP786461 B851997:H851997 IX851997:JD851997 ST851997:SZ851997 ACP851997:ACV851997 AML851997:AMR851997 AWH851997:AWN851997 BGD851997:BGJ851997 BPZ851997:BQF851997 BZV851997:CAB851997 CJR851997:CJX851997 CTN851997:CTT851997 DDJ851997:DDP851997 DNF851997:DNL851997 DXB851997:DXH851997 EGX851997:EHD851997 EQT851997:EQZ851997 FAP851997:FAV851997 FKL851997:FKR851997 FUH851997:FUN851997 GED851997:GEJ851997 GNZ851997:GOF851997 GXV851997:GYB851997 HHR851997:HHX851997 HRN851997:HRT851997 IBJ851997:IBP851997 ILF851997:ILL851997 IVB851997:IVH851997 JEX851997:JFD851997 JOT851997:JOZ851997 JYP851997:JYV851997 KIL851997:KIR851997 KSH851997:KSN851997 LCD851997:LCJ851997 LLZ851997:LMF851997 LVV851997:LWB851997 MFR851997:MFX851997 MPN851997:MPT851997 MZJ851997:MZP851997 NJF851997:NJL851997 NTB851997:NTH851997 OCX851997:ODD851997 OMT851997:OMZ851997 OWP851997:OWV851997 PGL851997:PGR851997 PQH851997:PQN851997 QAD851997:QAJ851997 QJZ851997:QKF851997 QTV851997:QUB851997 RDR851997:RDX851997 RNN851997:RNT851997 RXJ851997:RXP851997 SHF851997:SHL851997 SRB851997:SRH851997 TAX851997:TBD851997 TKT851997:TKZ851997 TUP851997:TUV851997 UEL851997:UER851997 UOH851997:UON851997 UYD851997:UYJ851997 VHZ851997:VIF851997 VRV851997:VSB851997 WBR851997:WBX851997 WLN851997:WLT851997 WVJ851997:WVP851997 B917533:H917533 IX917533:JD917533 ST917533:SZ917533 ACP917533:ACV917533 AML917533:AMR917533 AWH917533:AWN917533 BGD917533:BGJ917533 BPZ917533:BQF917533 BZV917533:CAB917533 CJR917533:CJX917533 CTN917533:CTT917533 DDJ917533:DDP917533 DNF917533:DNL917533 DXB917533:DXH917533 EGX917533:EHD917533 EQT917533:EQZ917533 FAP917533:FAV917533 FKL917533:FKR917533 FUH917533:FUN917533 GED917533:GEJ917533 GNZ917533:GOF917533 GXV917533:GYB917533 HHR917533:HHX917533 HRN917533:HRT917533 IBJ917533:IBP917533 ILF917533:ILL917533 IVB917533:IVH917533 JEX917533:JFD917533 JOT917533:JOZ917533 JYP917533:JYV917533 KIL917533:KIR917533 KSH917533:KSN917533 LCD917533:LCJ917533 LLZ917533:LMF917533 LVV917533:LWB917533 MFR917533:MFX917533 MPN917533:MPT917533 MZJ917533:MZP917533 NJF917533:NJL917533 NTB917533:NTH917533 OCX917533:ODD917533 OMT917533:OMZ917533 OWP917533:OWV917533 PGL917533:PGR917533 PQH917533:PQN917533 QAD917533:QAJ917533 QJZ917533:QKF917533 QTV917533:QUB917533 RDR917533:RDX917533 RNN917533:RNT917533 RXJ917533:RXP917533 SHF917533:SHL917533 SRB917533:SRH917533 TAX917533:TBD917533 TKT917533:TKZ917533 TUP917533:TUV917533 UEL917533:UER917533 UOH917533:UON917533 UYD917533:UYJ917533 VHZ917533:VIF917533 VRV917533:VSB917533 WBR917533:WBX917533 WLN917533:WLT917533 WVJ917533:WVP917533 B983069:H983069 IX983069:JD983069 ST983069:SZ983069 ACP983069:ACV983069 AML983069:AMR983069 AWH983069:AWN983069 BGD983069:BGJ983069 BPZ983069:BQF983069 BZV983069:CAB983069 CJR983069:CJX983069 CTN983069:CTT983069 DDJ983069:DDP983069 DNF983069:DNL983069 DXB983069:DXH983069 EGX983069:EHD983069 EQT983069:EQZ983069 FAP983069:FAV983069 FKL983069:FKR983069 FUH983069:FUN983069 GED983069:GEJ983069 GNZ983069:GOF983069 GXV983069:GYB983069 HHR983069:HHX983069 HRN983069:HRT983069 IBJ983069:IBP983069 ILF983069:ILL983069 IVB983069:IVH983069 JEX983069:JFD983069 JOT983069:JOZ983069 JYP983069:JYV983069 KIL983069:KIR983069 KSH983069:KSN983069 LCD983069:LCJ983069 LLZ983069:LMF983069 LVV983069:LWB983069 MFR983069:MFX983069 MPN983069:MPT983069 MZJ983069:MZP983069 NJF983069:NJL983069 NTB983069:NTH983069 OCX983069:ODD983069 OMT983069:OMZ983069 OWP983069:OWV983069 PGL983069:PGR983069 PQH983069:PQN983069 QAD983069:QAJ983069 QJZ983069:QKF983069 QTV983069:QUB983069 RDR983069:RDX983069 RNN983069:RNT983069 RXJ983069:RXP983069 SHF983069:SHL983069 SRB983069:SRH983069 TAX983069:TBD983069 TKT983069:TKZ983069 TUP983069:TUV983069 UEL983069:UER983069 UOH983069:UON983069 UYD983069:UYJ983069 VHZ983069:VIF983069 VRV983069:VSB983069 WBR983069:WBX983069 WLN983069:WLT983069 WVJ983069:WVP983069 B26:H26 IX26:JD26 ST26:SZ26 ACP26:ACV26 AML26:AMR26 AWH26:AWN26 BGD26:BGJ26 BPZ26:BQF26 BZV26:CAB26 CJR26:CJX26 CTN26:CTT26 DDJ26:DDP26 DNF26:DNL26 DXB26:DXH26 EGX26:EHD26 EQT26:EQZ26 FAP26:FAV26 FKL26:FKR26 FUH26:FUN26 GED26:GEJ26 GNZ26:GOF26 GXV26:GYB26 HHR26:HHX26 HRN26:HRT26 IBJ26:IBP26 ILF26:ILL26 IVB26:IVH26 JEX26:JFD26 JOT26:JOZ26 JYP26:JYV26 KIL26:KIR26 KSH26:KSN26 LCD26:LCJ26 LLZ26:LMF26 LVV26:LWB26 MFR26:MFX26 MPN26:MPT26 MZJ26:MZP26 NJF26:NJL26 NTB26:NTH26 OCX26:ODD26 OMT26:OMZ26 OWP26:OWV26 PGL26:PGR26 PQH26:PQN26 QAD26:QAJ26 QJZ26:QKF26 QTV26:QUB26 RDR26:RDX26 RNN26:RNT26 RXJ26:RXP26 SHF26:SHL26 SRB26:SRH26 TAX26:TBD26 TKT26:TKZ26 TUP26:TUV26 UEL26:UER26 UOH26:UON26 UYD26:UYJ26 VHZ26:VIF26 VRV26:VSB26 WBR26:WBX26 WLN26:WLT26 WVJ26:WVP26 B65562:H65562 IX65562:JD65562 ST65562:SZ65562 ACP65562:ACV65562 AML65562:AMR65562 AWH65562:AWN65562 BGD65562:BGJ65562 BPZ65562:BQF65562 BZV65562:CAB65562 CJR65562:CJX65562 CTN65562:CTT65562 DDJ65562:DDP65562 DNF65562:DNL65562 DXB65562:DXH65562 EGX65562:EHD65562 EQT65562:EQZ65562 FAP65562:FAV65562 FKL65562:FKR65562 FUH65562:FUN65562 GED65562:GEJ65562 GNZ65562:GOF65562 GXV65562:GYB65562 HHR65562:HHX65562 HRN65562:HRT65562 IBJ65562:IBP65562 ILF65562:ILL65562 IVB65562:IVH65562 JEX65562:JFD65562 JOT65562:JOZ65562 JYP65562:JYV65562 KIL65562:KIR65562 KSH65562:KSN65562 LCD65562:LCJ65562 LLZ65562:LMF65562 LVV65562:LWB65562 MFR65562:MFX65562 MPN65562:MPT65562 MZJ65562:MZP65562 NJF65562:NJL65562 NTB65562:NTH65562 OCX65562:ODD65562 OMT65562:OMZ65562 OWP65562:OWV65562 PGL65562:PGR65562 PQH65562:PQN65562 QAD65562:QAJ65562 QJZ65562:QKF65562 QTV65562:QUB65562 RDR65562:RDX65562 RNN65562:RNT65562 RXJ65562:RXP65562 SHF65562:SHL65562 SRB65562:SRH65562 TAX65562:TBD65562 TKT65562:TKZ65562 TUP65562:TUV65562 UEL65562:UER65562 UOH65562:UON65562 UYD65562:UYJ65562 VHZ65562:VIF65562 VRV65562:VSB65562 WBR65562:WBX65562 WLN65562:WLT65562 WVJ65562:WVP65562 B131098:H131098 IX131098:JD131098 ST131098:SZ131098 ACP131098:ACV131098 AML131098:AMR131098 AWH131098:AWN131098 BGD131098:BGJ131098 BPZ131098:BQF131098 BZV131098:CAB131098 CJR131098:CJX131098 CTN131098:CTT131098 DDJ131098:DDP131098 DNF131098:DNL131098 DXB131098:DXH131098 EGX131098:EHD131098 EQT131098:EQZ131098 FAP131098:FAV131098 FKL131098:FKR131098 FUH131098:FUN131098 GED131098:GEJ131098 GNZ131098:GOF131098 GXV131098:GYB131098 HHR131098:HHX131098 HRN131098:HRT131098 IBJ131098:IBP131098 ILF131098:ILL131098 IVB131098:IVH131098 JEX131098:JFD131098 JOT131098:JOZ131098 JYP131098:JYV131098 KIL131098:KIR131098 KSH131098:KSN131098 LCD131098:LCJ131098 LLZ131098:LMF131098 LVV131098:LWB131098 MFR131098:MFX131098 MPN131098:MPT131098 MZJ131098:MZP131098 NJF131098:NJL131098 NTB131098:NTH131098 OCX131098:ODD131098 OMT131098:OMZ131098 OWP131098:OWV131098 PGL131098:PGR131098 PQH131098:PQN131098 QAD131098:QAJ131098 QJZ131098:QKF131098 QTV131098:QUB131098 RDR131098:RDX131098 RNN131098:RNT131098 RXJ131098:RXP131098 SHF131098:SHL131098 SRB131098:SRH131098 TAX131098:TBD131098 TKT131098:TKZ131098 TUP131098:TUV131098 UEL131098:UER131098 UOH131098:UON131098 UYD131098:UYJ131098 VHZ131098:VIF131098 VRV131098:VSB131098 WBR131098:WBX131098 WLN131098:WLT131098 WVJ131098:WVP131098 B196634:H196634 IX196634:JD196634 ST196634:SZ196634 ACP196634:ACV196634 AML196634:AMR196634 AWH196634:AWN196634 BGD196634:BGJ196634 BPZ196634:BQF196634 BZV196634:CAB196634 CJR196634:CJX196634 CTN196634:CTT196634 DDJ196634:DDP196634 DNF196634:DNL196634 DXB196634:DXH196634 EGX196634:EHD196634 EQT196634:EQZ196634 FAP196634:FAV196634 FKL196634:FKR196634 FUH196634:FUN196634 GED196634:GEJ196634 GNZ196634:GOF196634 GXV196634:GYB196634 HHR196634:HHX196634 HRN196634:HRT196634 IBJ196634:IBP196634 ILF196634:ILL196634 IVB196634:IVH196634 JEX196634:JFD196634 JOT196634:JOZ196634 JYP196634:JYV196634 KIL196634:KIR196634 KSH196634:KSN196634 LCD196634:LCJ196634 LLZ196634:LMF196634 LVV196634:LWB196634 MFR196634:MFX196634 MPN196634:MPT196634 MZJ196634:MZP196634 NJF196634:NJL196634 NTB196634:NTH196634 OCX196634:ODD196634 OMT196634:OMZ196634 OWP196634:OWV196634 PGL196634:PGR196634 PQH196634:PQN196634 QAD196634:QAJ196634 QJZ196634:QKF196634 QTV196634:QUB196634 RDR196634:RDX196634 RNN196634:RNT196634 RXJ196634:RXP196634 SHF196634:SHL196634 SRB196634:SRH196634 TAX196634:TBD196634 TKT196634:TKZ196634 TUP196634:TUV196634 UEL196634:UER196634 UOH196634:UON196634 UYD196634:UYJ196634 VHZ196634:VIF196634 VRV196634:VSB196634 WBR196634:WBX196634 WLN196634:WLT196634 WVJ196634:WVP196634 B262170:H262170 IX262170:JD262170 ST262170:SZ262170 ACP262170:ACV262170 AML262170:AMR262170 AWH262170:AWN262170 BGD262170:BGJ262170 BPZ262170:BQF262170 BZV262170:CAB262170 CJR262170:CJX262170 CTN262170:CTT262170 DDJ262170:DDP262170 DNF262170:DNL262170 DXB262170:DXH262170 EGX262170:EHD262170 EQT262170:EQZ262170 FAP262170:FAV262170 FKL262170:FKR262170 FUH262170:FUN262170 GED262170:GEJ262170 GNZ262170:GOF262170 GXV262170:GYB262170 HHR262170:HHX262170 HRN262170:HRT262170 IBJ262170:IBP262170 ILF262170:ILL262170 IVB262170:IVH262170 JEX262170:JFD262170 JOT262170:JOZ262170 JYP262170:JYV262170 KIL262170:KIR262170 KSH262170:KSN262170 LCD262170:LCJ262170 LLZ262170:LMF262170 LVV262170:LWB262170 MFR262170:MFX262170 MPN262170:MPT262170 MZJ262170:MZP262170 NJF262170:NJL262170 NTB262170:NTH262170 OCX262170:ODD262170 OMT262170:OMZ262170 OWP262170:OWV262170 PGL262170:PGR262170 PQH262170:PQN262170 QAD262170:QAJ262170 QJZ262170:QKF262170 QTV262170:QUB262170 RDR262170:RDX262170 RNN262170:RNT262170 RXJ262170:RXP262170 SHF262170:SHL262170 SRB262170:SRH262170 TAX262170:TBD262170 TKT262170:TKZ262170 TUP262170:TUV262170 UEL262170:UER262170 UOH262170:UON262170 UYD262170:UYJ262170 VHZ262170:VIF262170 VRV262170:VSB262170 WBR262170:WBX262170 WLN262170:WLT262170 WVJ262170:WVP262170 B327706:H327706 IX327706:JD327706 ST327706:SZ327706 ACP327706:ACV327706 AML327706:AMR327706 AWH327706:AWN327706 BGD327706:BGJ327706 BPZ327706:BQF327706 BZV327706:CAB327706 CJR327706:CJX327706 CTN327706:CTT327706 DDJ327706:DDP327706 DNF327706:DNL327706 DXB327706:DXH327706 EGX327706:EHD327706 EQT327706:EQZ327706 FAP327706:FAV327706 FKL327706:FKR327706 FUH327706:FUN327706 GED327706:GEJ327706 GNZ327706:GOF327706 GXV327706:GYB327706 HHR327706:HHX327706 HRN327706:HRT327706 IBJ327706:IBP327706 ILF327706:ILL327706 IVB327706:IVH327706 JEX327706:JFD327706 JOT327706:JOZ327706 JYP327706:JYV327706 KIL327706:KIR327706 KSH327706:KSN327706 LCD327706:LCJ327706 LLZ327706:LMF327706 LVV327706:LWB327706 MFR327706:MFX327706 MPN327706:MPT327706 MZJ327706:MZP327706 NJF327706:NJL327706 NTB327706:NTH327706 OCX327706:ODD327706 OMT327706:OMZ327706 OWP327706:OWV327706 PGL327706:PGR327706 PQH327706:PQN327706 QAD327706:QAJ327706 QJZ327706:QKF327706 QTV327706:QUB327706 RDR327706:RDX327706 RNN327706:RNT327706 RXJ327706:RXP327706 SHF327706:SHL327706 SRB327706:SRH327706 TAX327706:TBD327706 TKT327706:TKZ327706 TUP327706:TUV327706 UEL327706:UER327706 UOH327706:UON327706 UYD327706:UYJ327706 VHZ327706:VIF327706 VRV327706:VSB327706 WBR327706:WBX327706 WLN327706:WLT327706 WVJ327706:WVP327706 B393242:H393242 IX393242:JD393242 ST393242:SZ393242 ACP393242:ACV393242 AML393242:AMR393242 AWH393242:AWN393242 BGD393242:BGJ393242 BPZ393242:BQF393242 BZV393242:CAB393242 CJR393242:CJX393242 CTN393242:CTT393242 DDJ393242:DDP393242 DNF393242:DNL393242 DXB393242:DXH393242 EGX393242:EHD393242 EQT393242:EQZ393242 FAP393242:FAV393242 FKL393242:FKR393242 FUH393242:FUN393242 GED393242:GEJ393242 GNZ393242:GOF393242 GXV393242:GYB393242 HHR393242:HHX393242 HRN393242:HRT393242 IBJ393242:IBP393242 ILF393242:ILL393242 IVB393242:IVH393242 JEX393242:JFD393242 JOT393242:JOZ393242 JYP393242:JYV393242 KIL393242:KIR393242 KSH393242:KSN393242 LCD393242:LCJ393242 LLZ393242:LMF393242 LVV393242:LWB393242 MFR393242:MFX393242 MPN393242:MPT393242 MZJ393242:MZP393242 NJF393242:NJL393242 NTB393242:NTH393242 OCX393242:ODD393242 OMT393242:OMZ393242 OWP393242:OWV393242 PGL393242:PGR393242 PQH393242:PQN393242 QAD393242:QAJ393242 QJZ393242:QKF393242 QTV393242:QUB393242 RDR393242:RDX393242 RNN393242:RNT393242 RXJ393242:RXP393242 SHF393242:SHL393242 SRB393242:SRH393242 TAX393242:TBD393242 TKT393242:TKZ393242 TUP393242:TUV393242 UEL393242:UER393242 UOH393242:UON393242 UYD393242:UYJ393242 VHZ393242:VIF393242 VRV393242:VSB393242 WBR393242:WBX393242 WLN393242:WLT393242 WVJ393242:WVP393242 B458778:H458778 IX458778:JD458778 ST458778:SZ458778 ACP458778:ACV458778 AML458778:AMR458778 AWH458778:AWN458778 BGD458778:BGJ458778 BPZ458778:BQF458778 BZV458778:CAB458778 CJR458778:CJX458778 CTN458778:CTT458778 DDJ458778:DDP458778 DNF458778:DNL458778 DXB458778:DXH458778 EGX458778:EHD458778 EQT458778:EQZ458778 FAP458778:FAV458778 FKL458778:FKR458778 FUH458778:FUN458778 GED458778:GEJ458778 GNZ458778:GOF458778 GXV458778:GYB458778 HHR458778:HHX458778 HRN458778:HRT458778 IBJ458778:IBP458778 ILF458778:ILL458778 IVB458778:IVH458778 JEX458778:JFD458778 JOT458778:JOZ458778 JYP458778:JYV458778 KIL458778:KIR458778 KSH458778:KSN458778 LCD458778:LCJ458778 LLZ458778:LMF458778 LVV458778:LWB458778 MFR458778:MFX458778 MPN458778:MPT458778 MZJ458778:MZP458778 NJF458778:NJL458778 NTB458778:NTH458778 OCX458778:ODD458778 OMT458778:OMZ458778 OWP458778:OWV458778 PGL458778:PGR458778 PQH458778:PQN458778 QAD458778:QAJ458778 QJZ458778:QKF458778 QTV458778:QUB458778 RDR458778:RDX458778 RNN458778:RNT458778 RXJ458778:RXP458778 SHF458778:SHL458778 SRB458778:SRH458778 TAX458778:TBD458778 TKT458778:TKZ458778 TUP458778:TUV458778 UEL458778:UER458778 UOH458778:UON458778 UYD458778:UYJ458778 VHZ458778:VIF458778 VRV458778:VSB458778 WBR458778:WBX458778 WLN458778:WLT458778 WVJ458778:WVP458778 B524314:H524314 IX524314:JD524314 ST524314:SZ524314 ACP524314:ACV524314 AML524314:AMR524314 AWH524314:AWN524314 BGD524314:BGJ524314 BPZ524314:BQF524314 BZV524314:CAB524314 CJR524314:CJX524314 CTN524314:CTT524314 DDJ524314:DDP524314 DNF524314:DNL524314 DXB524314:DXH524314 EGX524314:EHD524314 EQT524314:EQZ524314 FAP524314:FAV524314 FKL524314:FKR524314 FUH524314:FUN524314 GED524314:GEJ524314 GNZ524314:GOF524314 GXV524314:GYB524314 HHR524314:HHX524314 HRN524314:HRT524314 IBJ524314:IBP524314 ILF524314:ILL524314 IVB524314:IVH524314 JEX524314:JFD524314 JOT524314:JOZ524314 JYP524314:JYV524314 KIL524314:KIR524314 KSH524314:KSN524314 LCD524314:LCJ524314 LLZ524314:LMF524314 LVV524314:LWB524314 MFR524314:MFX524314 MPN524314:MPT524314 MZJ524314:MZP524314 NJF524314:NJL524314 NTB524314:NTH524314 OCX524314:ODD524314 OMT524314:OMZ524314 OWP524314:OWV524314 PGL524314:PGR524314 PQH524314:PQN524314 QAD524314:QAJ524314 QJZ524314:QKF524314 QTV524314:QUB524314 RDR524314:RDX524314 RNN524314:RNT524314 RXJ524314:RXP524314 SHF524314:SHL524314 SRB524314:SRH524314 TAX524314:TBD524314 TKT524314:TKZ524314 TUP524314:TUV524314 UEL524314:UER524314 UOH524314:UON524314 UYD524314:UYJ524314 VHZ524314:VIF524314 VRV524314:VSB524314 WBR524314:WBX524314 WLN524314:WLT524314 WVJ524314:WVP524314 B589850:H589850 IX589850:JD589850 ST589850:SZ589850 ACP589850:ACV589850 AML589850:AMR589850 AWH589850:AWN589850 BGD589850:BGJ589850 BPZ589850:BQF589850 BZV589850:CAB589850 CJR589850:CJX589850 CTN589850:CTT589850 DDJ589850:DDP589850 DNF589850:DNL589850 DXB589850:DXH589850 EGX589850:EHD589850 EQT589850:EQZ589850 FAP589850:FAV589850 FKL589850:FKR589850 FUH589850:FUN589850 GED589850:GEJ589850 GNZ589850:GOF589850 GXV589850:GYB589850 HHR589850:HHX589850 HRN589850:HRT589850 IBJ589850:IBP589850 ILF589850:ILL589850 IVB589850:IVH589850 JEX589850:JFD589850 JOT589850:JOZ589850 JYP589850:JYV589850 KIL589850:KIR589850 KSH589850:KSN589850 LCD589850:LCJ589850 LLZ589850:LMF589850 LVV589850:LWB589850 MFR589850:MFX589850 MPN589850:MPT589850 MZJ589850:MZP589850 NJF589850:NJL589850 NTB589850:NTH589850 OCX589850:ODD589850 OMT589850:OMZ589850 OWP589850:OWV589850 PGL589850:PGR589850 PQH589850:PQN589850 QAD589850:QAJ589850 QJZ589850:QKF589850 QTV589850:QUB589850 RDR589850:RDX589850 RNN589850:RNT589850 RXJ589850:RXP589850 SHF589850:SHL589850 SRB589850:SRH589850 TAX589850:TBD589850 TKT589850:TKZ589850 TUP589850:TUV589850 UEL589850:UER589850 UOH589850:UON589850 UYD589850:UYJ589850 VHZ589850:VIF589850 VRV589850:VSB589850 WBR589850:WBX589850 WLN589850:WLT589850 WVJ589850:WVP589850 B655386:H655386 IX655386:JD655386 ST655386:SZ655386 ACP655386:ACV655386 AML655386:AMR655386 AWH655386:AWN655386 BGD655386:BGJ655386 BPZ655386:BQF655386 BZV655386:CAB655386 CJR655386:CJX655386 CTN655386:CTT655386 DDJ655386:DDP655386 DNF655386:DNL655386 DXB655386:DXH655386 EGX655386:EHD655386 EQT655386:EQZ655386 FAP655386:FAV655386 FKL655386:FKR655386 FUH655386:FUN655386 GED655386:GEJ655386 GNZ655386:GOF655386 GXV655386:GYB655386 HHR655386:HHX655386 HRN655386:HRT655386 IBJ655386:IBP655386 ILF655386:ILL655386 IVB655386:IVH655386 JEX655386:JFD655386 JOT655386:JOZ655386 JYP655386:JYV655386 KIL655386:KIR655386 KSH655386:KSN655386 LCD655386:LCJ655386 LLZ655386:LMF655386 LVV655386:LWB655386 MFR655386:MFX655386 MPN655386:MPT655386 MZJ655386:MZP655386 NJF655386:NJL655386 NTB655386:NTH655386 OCX655386:ODD655386 OMT655386:OMZ655386 OWP655386:OWV655386 PGL655386:PGR655386 PQH655386:PQN655386 QAD655386:QAJ655386 QJZ655386:QKF655386 QTV655386:QUB655386 RDR655386:RDX655386 RNN655386:RNT655386 RXJ655386:RXP655386 SHF655386:SHL655386 SRB655386:SRH655386 TAX655386:TBD655386 TKT655386:TKZ655386 TUP655386:TUV655386 UEL655386:UER655386 UOH655386:UON655386 UYD655386:UYJ655386 VHZ655386:VIF655386 VRV655386:VSB655386 WBR655386:WBX655386 WLN655386:WLT655386 WVJ655386:WVP655386 B720922:H720922 IX720922:JD720922 ST720922:SZ720922 ACP720922:ACV720922 AML720922:AMR720922 AWH720922:AWN720922 BGD720922:BGJ720922 BPZ720922:BQF720922 BZV720922:CAB720922 CJR720922:CJX720922 CTN720922:CTT720922 DDJ720922:DDP720922 DNF720922:DNL720922 DXB720922:DXH720922 EGX720922:EHD720922 EQT720922:EQZ720922 FAP720922:FAV720922 FKL720922:FKR720922 FUH720922:FUN720922 GED720922:GEJ720922 GNZ720922:GOF720922 GXV720922:GYB720922 HHR720922:HHX720922 HRN720922:HRT720922 IBJ720922:IBP720922 ILF720922:ILL720922 IVB720922:IVH720922 JEX720922:JFD720922 JOT720922:JOZ720922 JYP720922:JYV720922 KIL720922:KIR720922 KSH720922:KSN720922 LCD720922:LCJ720922 LLZ720922:LMF720922 LVV720922:LWB720922 MFR720922:MFX720922 MPN720922:MPT720922 MZJ720922:MZP720922 NJF720922:NJL720922 NTB720922:NTH720922 OCX720922:ODD720922 OMT720922:OMZ720922 OWP720922:OWV720922 PGL720922:PGR720922 PQH720922:PQN720922 QAD720922:QAJ720922 QJZ720922:QKF720922 QTV720922:QUB720922 RDR720922:RDX720922 RNN720922:RNT720922 RXJ720922:RXP720922 SHF720922:SHL720922 SRB720922:SRH720922 TAX720922:TBD720922 TKT720922:TKZ720922 TUP720922:TUV720922 UEL720922:UER720922 UOH720922:UON720922 UYD720922:UYJ720922 VHZ720922:VIF720922 VRV720922:VSB720922 WBR720922:WBX720922 WLN720922:WLT720922 WVJ720922:WVP720922 B786458:H786458 IX786458:JD786458 ST786458:SZ786458 ACP786458:ACV786458 AML786458:AMR786458 AWH786458:AWN786458 BGD786458:BGJ786458 BPZ786458:BQF786458 BZV786458:CAB786458 CJR786458:CJX786458 CTN786458:CTT786458 DDJ786458:DDP786458 DNF786458:DNL786458 DXB786458:DXH786458 EGX786458:EHD786458 EQT786458:EQZ786458 FAP786458:FAV786458 FKL786458:FKR786458 FUH786458:FUN786458 GED786458:GEJ786458 GNZ786458:GOF786458 GXV786458:GYB786458 HHR786458:HHX786458 HRN786458:HRT786458 IBJ786458:IBP786458 ILF786458:ILL786458 IVB786458:IVH786458 JEX786458:JFD786458 JOT786458:JOZ786458 JYP786458:JYV786458 KIL786458:KIR786458 KSH786458:KSN786458 LCD786458:LCJ786458 LLZ786458:LMF786458 LVV786458:LWB786458 MFR786458:MFX786458 MPN786458:MPT786458 MZJ786458:MZP786458 NJF786458:NJL786458 NTB786458:NTH786458 OCX786458:ODD786458 OMT786458:OMZ786458 OWP786458:OWV786458 PGL786458:PGR786458 PQH786458:PQN786458 QAD786458:QAJ786458 QJZ786458:QKF786458 QTV786458:QUB786458 RDR786458:RDX786458 RNN786458:RNT786458 RXJ786458:RXP786458 SHF786458:SHL786458 SRB786458:SRH786458 TAX786458:TBD786458 TKT786458:TKZ786458 TUP786458:TUV786458 UEL786458:UER786458 UOH786458:UON786458 UYD786458:UYJ786458 VHZ786458:VIF786458 VRV786458:VSB786458 WBR786458:WBX786458 WLN786458:WLT786458 WVJ786458:WVP786458 B851994:H851994 IX851994:JD851994 ST851994:SZ851994 ACP851994:ACV851994 AML851994:AMR851994 AWH851994:AWN851994 BGD851994:BGJ851994 BPZ851994:BQF851994 BZV851994:CAB851994 CJR851994:CJX851994 CTN851994:CTT851994 DDJ851994:DDP851994 DNF851994:DNL851994 DXB851994:DXH851994 EGX851994:EHD851994 EQT851994:EQZ851994 FAP851994:FAV851994 FKL851994:FKR851994 FUH851994:FUN851994 GED851994:GEJ851994 GNZ851994:GOF851994 GXV851994:GYB851994 HHR851994:HHX851994 HRN851994:HRT851994 IBJ851994:IBP851994 ILF851994:ILL851994 IVB851994:IVH851994 JEX851994:JFD851994 JOT851994:JOZ851994 JYP851994:JYV851994 KIL851994:KIR851994 KSH851994:KSN851994 LCD851994:LCJ851994 LLZ851994:LMF851994 LVV851994:LWB851994 MFR851994:MFX851994 MPN851994:MPT851994 MZJ851994:MZP851994 NJF851994:NJL851994 NTB851994:NTH851994 OCX851994:ODD851994 OMT851994:OMZ851994 OWP851994:OWV851994 PGL851994:PGR851994 PQH851994:PQN851994 QAD851994:QAJ851994 QJZ851994:QKF851994 QTV851994:QUB851994 RDR851994:RDX851994 RNN851994:RNT851994 RXJ851994:RXP851994 SHF851994:SHL851994 SRB851994:SRH851994 TAX851994:TBD851994 TKT851994:TKZ851994 TUP851994:TUV851994 UEL851994:UER851994 UOH851994:UON851994 UYD851994:UYJ851994 VHZ851994:VIF851994 VRV851994:VSB851994 WBR851994:WBX851994 WLN851994:WLT851994 WVJ851994:WVP851994 B917530:H917530 IX917530:JD917530 ST917530:SZ917530 ACP917530:ACV917530 AML917530:AMR917530 AWH917530:AWN917530 BGD917530:BGJ917530 BPZ917530:BQF917530 BZV917530:CAB917530 CJR917530:CJX917530 CTN917530:CTT917530 DDJ917530:DDP917530 DNF917530:DNL917530 DXB917530:DXH917530 EGX917530:EHD917530 EQT917530:EQZ917530 FAP917530:FAV917530 FKL917530:FKR917530 FUH917530:FUN917530 GED917530:GEJ917530 GNZ917530:GOF917530 GXV917530:GYB917530 HHR917530:HHX917530 HRN917530:HRT917530 IBJ917530:IBP917530 ILF917530:ILL917530 IVB917530:IVH917530 JEX917530:JFD917530 JOT917530:JOZ917530 JYP917530:JYV917530 KIL917530:KIR917530 KSH917530:KSN917530 LCD917530:LCJ917530 LLZ917530:LMF917530 LVV917530:LWB917530 MFR917530:MFX917530 MPN917530:MPT917530 MZJ917530:MZP917530 NJF917530:NJL917530 NTB917530:NTH917530 OCX917530:ODD917530 OMT917530:OMZ917530 OWP917530:OWV917530 PGL917530:PGR917530 PQH917530:PQN917530 QAD917530:QAJ917530 QJZ917530:QKF917530 QTV917530:QUB917530 RDR917530:RDX917530 RNN917530:RNT917530 RXJ917530:RXP917530 SHF917530:SHL917530 SRB917530:SRH917530 TAX917530:TBD917530 TKT917530:TKZ917530 TUP917530:TUV917530 UEL917530:UER917530 UOH917530:UON917530 UYD917530:UYJ917530 VHZ917530:VIF917530 VRV917530:VSB917530 WBR917530:WBX917530 WLN917530:WLT917530 WVJ917530:WVP917530 B983066:H983066 IX983066:JD983066 ST983066:SZ983066 ACP983066:ACV983066 AML983066:AMR983066 AWH983066:AWN983066 BGD983066:BGJ983066 BPZ983066:BQF983066 BZV983066:CAB983066 CJR983066:CJX983066 CTN983066:CTT983066 DDJ983066:DDP983066 DNF983066:DNL983066 DXB983066:DXH983066 EGX983066:EHD983066 EQT983066:EQZ983066 FAP983066:FAV983066 FKL983066:FKR983066 FUH983066:FUN983066 GED983066:GEJ983066 GNZ983066:GOF983066 GXV983066:GYB983066 HHR983066:HHX983066 HRN983066:HRT983066 IBJ983066:IBP983066 ILF983066:ILL983066 IVB983066:IVH983066 JEX983066:JFD983066 JOT983066:JOZ983066 JYP983066:JYV983066 KIL983066:KIR983066 KSH983066:KSN983066 LCD983066:LCJ983066 LLZ983066:LMF983066 LVV983066:LWB983066 MFR983066:MFX983066 MPN983066:MPT983066 MZJ983066:MZP983066 NJF983066:NJL983066 NTB983066:NTH983066 OCX983066:ODD983066 OMT983066:OMZ983066 OWP983066:OWV983066 PGL983066:PGR983066 PQH983066:PQN983066 QAD983066:QAJ983066 QJZ983066:QKF983066 QTV983066:QUB983066 RDR983066:RDX983066 RNN983066:RNT983066 RXJ983066:RXP983066 SHF983066:SHL983066 SRB983066:SRH983066 TAX983066:TBD983066 TKT983066:TKZ983066 TUP983066:TUV983066 UEL983066:UER983066 UOH983066:UON983066 UYD983066:UYJ983066 VHZ983066:VIF983066 VRV983066:VSB983066 WBR983066:WBX983066 WLN983066:WLT983066 WVJ983066:WVP983066 B23:H23 IX23:JD23 ST23:SZ23 ACP23:ACV23 AML23:AMR23 AWH23:AWN23 BGD23:BGJ23 BPZ23:BQF23 BZV23:CAB23 CJR23:CJX23 CTN23:CTT23 DDJ23:DDP23 DNF23:DNL23 DXB23:DXH23 EGX23:EHD23 EQT23:EQZ23 FAP23:FAV23 FKL23:FKR23 FUH23:FUN23 GED23:GEJ23 GNZ23:GOF23 GXV23:GYB23 HHR23:HHX23 HRN23:HRT23 IBJ23:IBP23 ILF23:ILL23 IVB23:IVH23 JEX23:JFD23 JOT23:JOZ23 JYP23:JYV23 KIL23:KIR23 KSH23:KSN23 LCD23:LCJ23 LLZ23:LMF23 LVV23:LWB23 MFR23:MFX23 MPN23:MPT23 MZJ23:MZP23 NJF23:NJL23 NTB23:NTH23 OCX23:ODD23 OMT23:OMZ23 OWP23:OWV23 PGL23:PGR23 PQH23:PQN23 QAD23:QAJ23 QJZ23:QKF23 QTV23:QUB23 RDR23:RDX23 RNN23:RNT23 RXJ23:RXP23 SHF23:SHL23 SRB23:SRH23 TAX23:TBD23 TKT23:TKZ23 TUP23:TUV23 UEL23:UER23 UOH23:UON23 UYD23:UYJ23 VHZ23:VIF23 VRV23:VSB23 WBR23:WBX23 WLN23:WLT23 WVJ23:WVP23 B65559:H65559 IX65559:JD65559 ST65559:SZ65559 ACP65559:ACV65559 AML65559:AMR65559 AWH65559:AWN65559 BGD65559:BGJ65559 BPZ65559:BQF65559 BZV65559:CAB65559 CJR65559:CJX65559 CTN65559:CTT65559 DDJ65559:DDP65559 DNF65559:DNL65559 DXB65559:DXH65559 EGX65559:EHD65559 EQT65559:EQZ65559 FAP65559:FAV65559 FKL65559:FKR65559 FUH65559:FUN65559 GED65559:GEJ65559 GNZ65559:GOF65559 GXV65559:GYB65559 HHR65559:HHX65559 HRN65559:HRT65559 IBJ65559:IBP65559 ILF65559:ILL65559 IVB65559:IVH65559 JEX65559:JFD65559 JOT65559:JOZ65559 JYP65559:JYV65559 KIL65559:KIR65559 KSH65559:KSN65559 LCD65559:LCJ65559 LLZ65559:LMF65559 LVV65559:LWB65559 MFR65559:MFX65559 MPN65559:MPT65559 MZJ65559:MZP65559 NJF65559:NJL65559 NTB65559:NTH65559 OCX65559:ODD65559 OMT65559:OMZ65559 OWP65559:OWV65559 PGL65559:PGR65559 PQH65559:PQN65559 QAD65559:QAJ65559 QJZ65559:QKF65559 QTV65559:QUB65559 RDR65559:RDX65559 RNN65559:RNT65559 RXJ65559:RXP65559 SHF65559:SHL65559 SRB65559:SRH65559 TAX65559:TBD65559 TKT65559:TKZ65559 TUP65559:TUV65559 UEL65559:UER65559 UOH65559:UON65559 UYD65559:UYJ65559 VHZ65559:VIF65559 VRV65559:VSB65559 WBR65559:WBX65559 WLN65559:WLT65559 WVJ65559:WVP65559 B131095:H131095 IX131095:JD131095 ST131095:SZ131095 ACP131095:ACV131095 AML131095:AMR131095 AWH131095:AWN131095 BGD131095:BGJ131095 BPZ131095:BQF131095 BZV131095:CAB131095 CJR131095:CJX131095 CTN131095:CTT131095 DDJ131095:DDP131095 DNF131095:DNL131095 DXB131095:DXH131095 EGX131095:EHD131095 EQT131095:EQZ131095 FAP131095:FAV131095 FKL131095:FKR131095 FUH131095:FUN131095 GED131095:GEJ131095 GNZ131095:GOF131095 GXV131095:GYB131095 HHR131095:HHX131095 HRN131095:HRT131095 IBJ131095:IBP131095 ILF131095:ILL131095 IVB131095:IVH131095 JEX131095:JFD131095 JOT131095:JOZ131095 JYP131095:JYV131095 KIL131095:KIR131095 KSH131095:KSN131095 LCD131095:LCJ131095 LLZ131095:LMF131095 LVV131095:LWB131095 MFR131095:MFX131095 MPN131095:MPT131095 MZJ131095:MZP131095 NJF131095:NJL131095 NTB131095:NTH131095 OCX131095:ODD131095 OMT131095:OMZ131095 OWP131095:OWV131095 PGL131095:PGR131095 PQH131095:PQN131095 QAD131095:QAJ131095 QJZ131095:QKF131095 QTV131095:QUB131095 RDR131095:RDX131095 RNN131095:RNT131095 RXJ131095:RXP131095 SHF131095:SHL131095 SRB131095:SRH131095 TAX131095:TBD131095 TKT131095:TKZ131095 TUP131095:TUV131095 UEL131095:UER131095 UOH131095:UON131095 UYD131095:UYJ131095 VHZ131095:VIF131095 VRV131095:VSB131095 WBR131095:WBX131095 WLN131095:WLT131095 WVJ131095:WVP131095 B196631:H196631 IX196631:JD196631 ST196631:SZ196631 ACP196631:ACV196631 AML196631:AMR196631 AWH196631:AWN196631 BGD196631:BGJ196631 BPZ196631:BQF196631 BZV196631:CAB196631 CJR196631:CJX196631 CTN196631:CTT196631 DDJ196631:DDP196631 DNF196631:DNL196631 DXB196631:DXH196631 EGX196631:EHD196631 EQT196631:EQZ196631 FAP196631:FAV196631 FKL196631:FKR196631 FUH196631:FUN196631 GED196631:GEJ196631 GNZ196631:GOF196631 GXV196631:GYB196631 HHR196631:HHX196631 HRN196631:HRT196631 IBJ196631:IBP196631 ILF196631:ILL196631 IVB196631:IVH196631 JEX196631:JFD196631 JOT196631:JOZ196631 JYP196631:JYV196631 KIL196631:KIR196631 KSH196631:KSN196631 LCD196631:LCJ196631 LLZ196631:LMF196631 LVV196631:LWB196631 MFR196631:MFX196631 MPN196631:MPT196631 MZJ196631:MZP196631 NJF196631:NJL196631 NTB196631:NTH196631 OCX196631:ODD196631 OMT196631:OMZ196631 OWP196631:OWV196631 PGL196631:PGR196631 PQH196631:PQN196631 QAD196631:QAJ196631 QJZ196631:QKF196631 QTV196631:QUB196631 RDR196631:RDX196631 RNN196631:RNT196631 RXJ196631:RXP196631 SHF196631:SHL196631 SRB196631:SRH196631 TAX196631:TBD196631 TKT196631:TKZ196631 TUP196631:TUV196631 UEL196631:UER196631 UOH196631:UON196631 UYD196631:UYJ196631 VHZ196631:VIF196631 VRV196631:VSB196631 WBR196631:WBX196631 WLN196631:WLT196631 WVJ196631:WVP196631 B262167:H262167 IX262167:JD262167 ST262167:SZ262167 ACP262167:ACV262167 AML262167:AMR262167 AWH262167:AWN262167 BGD262167:BGJ262167 BPZ262167:BQF262167 BZV262167:CAB262167 CJR262167:CJX262167 CTN262167:CTT262167 DDJ262167:DDP262167 DNF262167:DNL262167 DXB262167:DXH262167 EGX262167:EHD262167 EQT262167:EQZ262167 FAP262167:FAV262167 FKL262167:FKR262167 FUH262167:FUN262167 GED262167:GEJ262167 GNZ262167:GOF262167 GXV262167:GYB262167 HHR262167:HHX262167 HRN262167:HRT262167 IBJ262167:IBP262167 ILF262167:ILL262167 IVB262167:IVH262167 JEX262167:JFD262167 JOT262167:JOZ262167 JYP262167:JYV262167 KIL262167:KIR262167 KSH262167:KSN262167 LCD262167:LCJ262167 LLZ262167:LMF262167 LVV262167:LWB262167 MFR262167:MFX262167 MPN262167:MPT262167 MZJ262167:MZP262167 NJF262167:NJL262167 NTB262167:NTH262167 OCX262167:ODD262167 OMT262167:OMZ262167 OWP262167:OWV262167 PGL262167:PGR262167 PQH262167:PQN262167 QAD262167:QAJ262167 QJZ262167:QKF262167 QTV262167:QUB262167 RDR262167:RDX262167 RNN262167:RNT262167 RXJ262167:RXP262167 SHF262167:SHL262167 SRB262167:SRH262167 TAX262167:TBD262167 TKT262167:TKZ262167 TUP262167:TUV262167 UEL262167:UER262167 UOH262167:UON262167 UYD262167:UYJ262167 VHZ262167:VIF262167 VRV262167:VSB262167 WBR262167:WBX262167 WLN262167:WLT262167 WVJ262167:WVP262167 B327703:H327703 IX327703:JD327703 ST327703:SZ327703 ACP327703:ACV327703 AML327703:AMR327703 AWH327703:AWN327703 BGD327703:BGJ327703 BPZ327703:BQF327703 BZV327703:CAB327703 CJR327703:CJX327703 CTN327703:CTT327703 DDJ327703:DDP327703 DNF327703:DNL327703 DXB327703:DXH327703 EGX327703:EHD327703 EQT327703:EQZ327703 FAP327703:FAV327703 FKL327703:FKR327703 FUH327703:FUN327703 GED327703:GEJ327703 GNZ327703:GOF327703 GXV327703:GYB327703 HHR327703:HHX327703 HRN327703:HRT327703 IBJ327703:IBP327703 ILF327703:ILL327703 IVB327703:IVH327703 JEX327703:JFD327703 JOT327703:JOZ327703 JYP327703:JYV327703 KIL327703:KIR327703 KSH327703:KSN327703 LCD327703:LCJ327703 LLZ327703:LMF327703 LVV327703:LWB327703 MFR327703:MFX327703 MPN327703:MPT327703 MZJ327703:MZP327703 NJF327703:NJL327703 NTB327703:NTH327703 OCX327703:ODD327703 OMT327703:OMZ327703 OWP327703:OWV327703 PGL327703:PGR327703 PQH327703:PQN327703 QAD327703:QAJ327703 QJZ327703:QKF327703 QTV327703:QUB327703 RDR327703:RDX327703 RNN327703:RNT327703 RXJ327703:RXP327703 SHF327703:SHL327703 SRB327703:SRH327703 TAX327703:TBD327703 TKT327703:TKZ327703 TUP327703:TUV327703 UEL327703:UER327703 UOH327703:UON327703 UYD327703:UYJ327703 VHZ327703:VIF327703 VRV327703:VSB327703 WBR327703:WBX327703 WLN327703:WLT327703 WVJ327703:WVP327703 B393239:H393239 IX393239:JD393239 ST393239:SZ393239 ACP393239:ACV393239 AML393239:AMR393239 AWH393239:AWN393239 BGD393239:BGJ393239 BPZ393239:BQF393239 BZV393239:CAB393239 CJR393239:CJX393239 CTN393239:CTT393239 DDJ393239:DDP393239 DNF393239:DNL393239 DXB393239:DXH393239 EGX393239:EHD393239 EQT393239:EQZ393239 FAP393239:FAV393239 FKL393239:FKR393239 FUH393239:FUN393239 GED393239:GEJ393239 GNZ393239:GOF393239 GXV393239:GYB393239 HHR393239:HHX393239 HRN393239:HRT393239 IBJ393239:IBP393239 ILF393239:ILL393239 IVB393239:IVH393239 JEX393239:JFD393239 JOT393239:JOZ393239 JYP393239:JYV393239 KIL393239:KIR393239 KSH393239:KSN393239 LCD393239:LCJ393239 LLZ393239:LMF393239 LVV393239:LWB393239 MFR393239:MFX393239 MPN393239:MPT393239 MZJ393239:MZP393239 NJF393239:NJL393239 NTB393239:NTH393239 OCX393239:ODD393239 OMT393239:OMZ393239 OWP393239:OWV393239 PGL393239:PGR393239 PQH393239:PQN393239 QAD393239:QAJ393239 QJZ393239:QKF393239 QTV393239:QUB393239 RDR393239:RDX393239 RNN393239:RNT393239 RXJ393239:RXP393239 SHF393239:SHL393239 SRB393239:SRH393239 TAX393239:TBD393239 TKT393239:TKZ393239 TUP393239:TUV393239 UEL393239:UER393239 UOH393239:UON393239 UYD393239:UYJ393239 VHZ393239:VIF393239 VRV393239:VSB393239 WBR393239:WBX393239 WLN393239:WLT393239 WVJ393239:WVP393239 B458775:H458775 IX458775:JD458775 ST458775:SZ458775 ACP458775:ACV458775 AML458775:AMR458775 AWH458775:AWN458775 BGD458775:BGJ458775 BPZ458775:BQF458775 BZV458775:CAB458775 CJR458775:CJX458775 CTN458775:CTT458775 DDJ458775:DDP458775 DNF458775:DNL458775 DXB458775:DXH458775 EGX458775:EHD458775 EQT458775:EQZ458775 FAP458775:FAV458775 FKL458775:FKR458775 FUH458775:FUN458775 GED458775:GEJ458775 GNZ458775:GOF458775 GXV458775:GYB458775 HHR458775:HHX458775 HRN458775:HRT458775 IBJ458775:IBP458775 ILF458775:ILL458775 IVB458775:IVH458775 JEX458775:JFD458775 JOT458775:JOZ458775 JYP458775:JYV458775 KIL458775:KIR458775 KSH458775:KSN458775 LCD458775:LCJ458775 LLZ458775:LMF458775 LVV458775:LWB458775 MFR458775:MFX458775 MPN458775:MPT458775 MZJ458775:MZP458775 NJF458775:NJL458775 NTB458775:NTH458775 OCX458775:ODD458775 OMT458775:OMZ458775 OWP458775:OWV458775 PGL458775:PGR458775 PQH458775:PQN458775 QAD458775:QAJ458775 QJZ458775:QKF458775 QTV458775:QUB458775 RDR458775:RDX458775 RNN458775:RNT458775 RXJ458775:RXP458775 SHF458775:SHL458775 SRB458775:SRH458775 TAX458775:TBD458775 TKT458775:TKZ458775 TUP458775:TUV458775 UEL458775:UER458775 UOH458775:UON458775 UYD458775:UYJ458775 VHZ458775:VIF458775 VRV458775:VSB458775 WBR458775:WBX458775 WLN458775:WLT458775 WVJ458775:WVP458775 B524311:H524311 IX524311:JD524311 ST524311:SZ524311 ACP524311:ACV524311 AML524311:AMR524311 AWH524311:AWN524311 BGD524311:BGJ524311 BPZ524311:BQF524311 BZV524311:CAB524311 CJR524311:CJX524311 CTN524311:CTT524311 DDJ524311:DDP524311 DNF524311:DNL524311 DXB524311:DXH524311 EGX524311:EHD524311 EQT524311:EQZ524311 FAP524311:FAV524311 FKL524311:FKR524311 FUH524311:FUN524311 GED524311:GEJ524311 GNZ524311:GOF524311 GXV524311:GYB524311 HHR524311:HHX524311 HRN524311:HRT524311 IBJ524311:IBP524311 ILF524311:ILL524311 IVB524311:IVH524311 JEX524311:JFD524311 JOT524311:JOZ524311 JYP524311:JYV524311 KIL524311:KIR524311 KSH524311:KSN524311 LCD524311:LCJ524311 LLZ524311:LMF524311 LVV524311:LWB524311 MFR524311:MFX524311 MPN524311:MPT524311 MZJ524311:MZP524311 NJF524311:NJL524311 NTB524311:NTH524311 OCX524311:ODD524311 OMT524311:OMZ524311 OWP524311:OWV524311 PGL524311:PGR524311 PQH524311:PQN524311 QAD524311:QAJ524311 QJZ524311:QKF524311 QTV524311:QUB524311 RDR524311:RDX524311 RNN524311:RNT524311 RXJ524311:RXP524311 SHF524311:SHL524311 SRB524311:SRH524311 TAX524311:TBD524311 TKT524311:TKZ524311 TUP524311:TUV524311 UEL524311:UER524311 UOH524311:UON524311 UYD524311:UYJ524311 VHZ524311:VIF524311 VRV524311:VSB524311 WBR524311:WBX524311 WLN524311:WLT524311 WVJ524311:WVP524311 B589847:H589847 IX589847:JD589847 ST589847:SZ589847 ACP589847:ACV589847 AML589847:AMR589847 AWH589847:AWN589847 BGD589847:BGJ589847 BPZ589847:BQF589847 BZV589847:CAB589847 CJR589847:CJX589847 CTN589847:CTT589847 DDJ589847:DDP589847 DNF589847:DNL589847 DXB589847:DXH589847 EGX589847:EHD589847 EQT589847:EQZ589847 FAP589847:FAV589847 FKL589847:FKR589847 FUH589847:FUN589847 GED589847:GEJ589847 GNZ589847:GOF589847 GXV589847:GYB589847 HHR589847:HHX589847 HRN589847:HRT589847 IBJ589847:IBP589847 ILF589847:ILL589847 IVB589847:IVH589847 JEX589847:JFD589847 JOT589847:JOZ589847 JYP589847:JYV589847 KIL589847:KIR589847 KSH589847:KSN589847 LCD589847:LCJ589847 LLZ589847:LMF589847 LVV589847:LWB589847 MFR589847:MFX589847 MPN589847:MPT589847 MZJ589847:MZP589847 NJF589847:NJL589847 NTB589847:NTH589847 OCX589847:ODD589847 OMT589847:OMZ589847 OWP589847:OWV589847 PGL589847:PGR589847 PQH589847:PQN589847 QAD589847:QAJ589847 QJZ589847:QKF589847 QTV589847:QUB589847 RDR589847:RDX589847 RNN589847:RNT589847 RXJ589847:RXP589847 SHF589847:SHL589847 SRB589847:SRH589847 TAX589847:TBD589847 TKT589847:TKZ589847 TUP589847:TUV589847 UEL589847:UER589847 UOH589847:UON589847 UYD589847:UYJ589847 VHZ589847:VIF589847 VRV589847:VSB589847 WBR589847:WBX589847 WLN589847:WLT589847 WVJ589847:WVP589847 B655383:H655383 IX655383:JD655383 ST655383:SZ655383 ACP655383:ACV655383 AML655383:AMR655383 AWH655383:AWN655383 BGD655383:BGJ655383 BPZ655383:BQF655383 BZV655383:CAB655383 CJR655383:CJX655383 CTN655383:CTT655383 DDJ655383:DDP655383 DNF655383:DNL655383 DXB655383:DXH655383 EGX655383:EHD655383 EQT655383:EQZ655383 FAP655383:FAV655383 FKL655383:FKR655383 FUH655383:FUN655383 GED655383:GEJ655383 GNZ655383:GOF655383 GXV655383:GYB655383 HHR655383:HHX655383 HRN655383:HRT655383 IBJ655383:IBP655383 ILF655383:ILL655383 IVB655383:IVH655383 JEX655383:JFD655383 JOT655383:JOZ655383 JYP655383:JYV655383 KIL655383:KIR655383 KSH655383:KSN655383 LCD655383:LCJ655383 LLZ655383:LMF655383 LVV655383:LWB655383 MFR655383:MFX655383 MPN655383:MPT655383 MZJ655383:MZP655383 NJF655383:NJL655383 NTB655383:NTH655383 OCX655383:ODD655383 OMT655383:OMZ655383 OWP655383:OWV655383 PGL655383:PGR655383 PQH655383:PQN655383 QAD655383:QAJ655383 QJZ655383:QKF655383 QTV655383:QUB655383 RDR655383:RDX655383 RNN655383:RNT655383 RXJ655383:RXP655383 SHF655383:SHL655383 SRB655383:SRH655383 TAX655383:TBD655383 TKT655383:TKZ655383 TUP655383:TUV655383 UEL655383:UER655383 UOH655383:UON655383 UYD655383:UYJ655383 VHZ655383:VIF655383 VRV655383:VSB655383 WBR655383:WBX655383 WLN655383:WLT655383 WVJ655383:WVP655383 B720919:H720919 IX720919:JD720919 ST720919:SZ720919 ACP720919:ACV720919 AML720919:AMR720919 AWH720919:AWN720919 BGD720919:BGJ720919 BPZ720919:BQF720919 BZV720919:CAB720919 CJR720919:CJX720919 CTN720919:CTT720919 DDJ720919:DDP720919 DNF720919:DNL720919 DXB720919:DXH720919 EGX720919:EHD720919 EQT720919:EQZ720919 FAP720919:FAV720919 FKL720919:FKR720919 FUH720919:FUN720919 GED720919:GEJ720919 GNZ720919:GOF720919 GXV720919:GYB720919 HHR720919:HHX720919 HRN720919:HRT720919 IBJ720919:IBP720919 ILF720919:ILL720919 IVB720919:IVH720919 JEX720919:JFD720919 JOT720919:JOZ720919 JYP720919:JYV720919 KIL720919:KIR720919 KSH720919:KSN720919 LCD720919:LCJ720919 LLZ720919:LMF720919 LVV720919:LWB720919 MFR720919:MFX720919 MPN720919:MPT720919 MZJ720919:MZP720919 NJF720919:NJL720919 NTB720919:NTH720919 OCX720919:ODD720919 OMT720919:OMZ720919 OWP720919:OWV720919 PGL720919:PGR720919 PQH720919:PQN720919 QAD720919:QAJ720919 QJZ720919:QKF720919 QTV720919:QUB720919 RDR720919:RDX720919 RNN720919:RNT720919 RXJ720919:RXP720919 SHF720919:SHL720919 SRB720919:SRH720919 TAX720919:TBD720919 TKT720919:TKZ720919 TUP720919:TUV720919 UEL720919:UER720919 UOH720919:UON720919 UYD720919:UYJ720919 VHZ720919:VIF720919 VRV720919:VSB720919 WBR720919:WBX720919 WLN720919:WLT720919 WVJ720919:WVP720919 B786455:H786455 IX786455:JD786455 ST786455:SZ786455 ACP786455:ACV786455 AML786455:AMR786455 AWH786455:AWN786455 BGD786455:BGJ786455 BPZ786455:BQF786455 BZV786455:CAB786455 CJR786455:CJX786455 CTN786455:CTT786455 DDJ786455:DDP786455 DNF786455:DNL786455 DXB786455:DXH786455 EGX786455:EHD786455 EQT786455:EQZ786455 FAP786455:FAV786455 FKL786455:FKR786455 FUH786455:FUN786455 GED786455:GEJ786455 GNZ786455:GOF786455 GXV786455:GYB786455 HHR786455:HHX786455 HRN786455:HRT786455 IBJ786455:IBP786455 ILF786455:ILL786455 IVB786455:IVH786455 JEX786455:JFD786455 JOT786455:JOZ786455 JYP786455:JYV786455 KIL786455:KIR786455 KSH786455:KSN786455 LCD786455:LCJ786455 LLZ786455:LMF786455 LVV786455:LWB786455 MFR786455:MFX786455 MPN786455:MPT786455 MZJ786455:MZP786455 NJF786455:NJL786455 NTB786455:NTH786455 OCX786455:ODD786455 OMT786455:OMZ786455 OWP786455:OWV786455 PGL786455:PGR786455 PQH786455:PQN786455 QAD786455:QAJ786455 QJZ786455:QKF786455 QTV786455:QUB786455 RDR786455:RDX786455 RNN786455:RNT786455 RXJ786455:RXP786455 SHF786455:SHL786455 SRB786455:SRH786455 TAX786455:TBD786455 TKT786455:TKZ786455 TUP786455:TUV786455 UEL786455:UER786455 UOH786455:UON786455 UYD786455:UYJ786455 VHZ786455:VIF786455 VRV786455:VSB786455 WBR786455:WBX786455 WLN786455:WLT786455 WVJ786455:WVP786455 B851991:H851991 IX851991:JD851991 ST851991:SZ851991 ACP851991:ACV851991 AML851991:AMR851991 AWH851991:AWN851991 BGD851991:BGJ851991 BPZ851991:BQF851991 BZV851991:CAB851991 CJR851991:CJX851991 CTN851991:CTT851991 DDJ851991:DDP851991 DNF851991:DNL851991 DXB851991:DXH851991 EGX851991:EHD851991 EQT851991:EQZ851991 FAP851991:FAV851991 FKL851991:FKR851991 FUH851991:FUN851991 GED851991:GEJ851991 GNZ851991:GOF851991 GXV851991:GYB851991 HHR851991:HHX851991 HRN851991:HRT851991 IBJ851991:IBP851991 ILF851991:ILL851991 IVB851991:IVH851991 JEX851991:JFD851991 JOT851991:JOZ851991 JYP851991:JYV851991 KIL851991:KIR851991 KSH851991:KSN851991 LCD851991:LCJ851991 LLZ851991:LMF851991 LVV851991:LWB851991 MFR851991:MFX851991 MPN851991:MPT851991 MZJ851991:MZP851991 NJF851991:NJL851991 NTB851991:NTH851991 OCX851991:ODD851991 OMT851991:OMZ851991 OWP851991:OWV851991 PGL851991:PGR851991 PQH851991:PQN851991 QAD851991:QAJ851991 QJZ851991:QKF851991 QTV851991:QUB851991 RDR851991:RDX851991 RNN851991:RNT851991 RXJ851991:RXP851991 SHF851991:SHL851991 SRB851991:SRH851991 TAX851991:TBD851991 TKT851991:TKZ851991 TUP851991:TUV851991 UEL851991:UER851991 UOH851991:UON851991 UYD851991:UYJ851991 VHZ851991:VIF851991 VRV851991:VSB851991 WBR851991:WBX851991 WLN851991:WLT851991 WVJ851991:WVP851991 B917527:H917527 IX917527:JD917527 ST917527:SZ917527 ACP917527:ACV917527 AML917527:AMR917527 AWH917527:AWN917527 BGD917527:BGJ917527 BPZ917527:BQF917527 BZV917527:CAB917527 CJR917527:CJX917527 CTN917527:CTT917527 DDJ917527:DDP917527 DNF917527:DNL917527 DXB917527:DXH917527 EGX917527:EHD917527 EQT917527:EQZ917527 FAP917527:FAV917527 FKL917527:FKR917527 FUH917527:FUN917527 GED917527:GEJ917527 GNZ917527:GOF917527 GXV917527:GYB917527 HHR917527:HHX917527 HRN917527:HRT917527 IBJ917527:IBP917527 ILF917527:ILL917527 IVB917527:IVH917527 JEX917527:JFD917527 JOT917527:JOZ917527 JYP917527:JYV917527 KIL917527:KIR917527 KSH917527:KSN917527 LCD917527:LCJ917527 LLZ917527:LMF917527 LVV917527:LWB917527 MFR917527:MFX917527 MPN917527:MPT917527 MZJ917527:MZP917527 NJF917527:NJL917527 NTB917527:NTH917527 OCX917527:ODD917527 OMT917527:OMZ917527 OWP917527:OWV917527 PGL917527:PGR917527 PQH917527:PQN917527 QAD917527:QAJ917527 QJZ917527:QKF917527 QTV917527:QUB917527 RDR917527:RDX917527 RNN917527:RNT917527 RXJ917527:RXP917527 SHF917527:SHL917527 SRB917527:SRH917527 TAX917527:TBD917527 TKT917527:TKZ917527 TUP917527:TUV917527 UEL917527:UER917527 UOH917527:UON917527 UYD917527:UYJ917527 VHZ917527:VIF917527 VRV917527:VSB917527 WBR917527:WBX917527 WLN917527:WLT917527 WVJ917527:WVP917527 B983063:H983063 IX983063:JD983063 ST983063:SZ983063 ACP983063:ACV983063 AML983063:AMR983063 AWH983063:AWN983063 BGD983063:BGJ983063 BPZ983063:BQF983063 BZV983063:CAB983063 CJR983063:CJX983063 CTN983063:CTT983063 DDJ983063:DDP983063 DNF983063:DNL983063 DXB983063:DXH983063 EGX983063:EHD983063 EQT983063:EQZ983063 FAP983063:FAV983063 FKL983063:FKR983063 FUH983063:FUN983063 GED983063:GEJ983063 GNZ983063:GOF983063 GXV983063:GYB983063 HHR983063:HHX983063 HRN983063:HRT983063 IBJ983063:IBP983063 ILF983063:ILL983063 IVB983063:IVH983063 JEX983063:JFD983063 JOT983063:JOZ983063 JYP983063:JYV983063 KIL983063:KIR983063 KSH983063:KSN983063 LCD983063:LCJ983063 LLZ983063:LMF983063 LVV983063:LWB983063 MFR983063:MFX983063 MPN983063:MPT983063 MZJ983063:MZP983063 NJF983063:NJL983063 NTB983063:NTH983063 OCX983063:ODD983063 OMT983063:OMZ983063 OWP983063:OWV983063 PGL983063:PGR983063 PQH983063:PQN983063 QAD983063:QAJ983063 QJZ983063:QKF983063 QTV983063:QUB983063 RDR983063:RDX983063 RNN983063:RNT983063 RXJ983063:RXP983063 SHF983063:SHL983063 SRB983063:SRH983063 TAX983063:TBD983063 TKT983063:TKZ983063 TUP983063:TUV983063 UEL983063:UER983063 UOH983063:UON983063 UYD983063:UYJ983063 VHZ983063:VIF983063 VRV983063:VSB983063 WBR983063:WBX983063 WLN983063:WLT983063 WVJ983063:WVP983063 B20:H20 IX20:JD20 ST20:SZ20 ACP20:ACV20 AML20:AMR20 AWH20:AWN20 BGD20:BGJ20 BPZ20:BQF20 BZV20:CAB20 CJR20:CJX20 CTN20:CTT20 DDJ20:DDP20 DNF20:DNL20 DXB20:DXH20 EGX20:EHD20 EQT20:EQZ20 FAP20:FAV20 FKL20:FKR20 FUH20:FUN20 GED20:GEJ20 GNZ20:GOF20 GXV20:GYB20 HHR20:HHX20 HRN20:HRT20 IBJ20:IBP20 ILF20:ILL20 IVB20:IVH20 JEX20:JFD20 JOT20:JOZ20 JYP20:JYV20 KIL20:KIR20 KSH20:KSN20 LCD20:LCJ20 LLZ20:LMF20 LVV20:LWB20 MFR20:MFX20 MPN20:MPT20 MZJ20:MZP20 NJF20:NJL20 NTB20:NTH20 OCX20:ODD20 OMT20:OMZ20 OWP20:OWV20 PGL20:PGR20 PQH20:PQN20 QAD20:QAJ20 QJZ20:QKF20 QTV20:QUB20 RDR20:RDX20 RNN20:RNT20 RXJ20:RXP20 SHF20:SHL20 SRB20:SRH20 TAX20:TBD20 TKT20:TKZ20 TUP20:TUV20 UEL20:UER20 UOH20:UON20 UYD20:UYJ20 VHZ20:VIF20 VRV20:VSB20 WBR20:WBX20 WLN20:WLT20 WVJ20:WVP20 B65556:H65556 IX65556:JD65556 ST65556:SZ65556 ACP65556:ACV65556 AML65556:AMR65556 AWH65556:AWN65556 BGD65556:BGJ65556 BPZ65556:BQF65556 BZV65556:CAB65556 CJR65556:CJX65556 CTN65556:CTT65556 DDJ65556:DDP65556 DNF65556:DNL65556 DXB65556:DXH65556 EGX65556:EHD65556 EQT65556:EQZ65556 FAP65556:FAV65556 FKL65556:FKR65556 FUH65556:FUN65556 GED65556:GEJ65556 GNZ65556:GOF65556 GXV65556:GYB65556 HHR65556:HHX65556 HRN65556:HRT65556 IBJ65556:IBP65556 ILF65556:ILL65556 IVB65556:IVH65556 JEX65556:JFD65556 JOT65556:JOZ65556 JYP65556:JYV65556 KIL65556:KIR65556 KSH65556:KSN65556 LCD65556:LCJ65556 LLZ65556:LMF65556 LVV65556:LWB65556 MFR65556:MFX65556 MPN65556:MPT65556 MZJ65556:MZP65556 NJF65556:NJL65556 NTB65556:NTH65556 OCX65556:ODD65556 OMT65556:OMZ65556 OWP65556:OWV65556 PGL65556:PGR65556 PQH65556:PQN65556 QAD65556:QAJ65556 QJZ65556:QKF65556 QTV65556:QUB65556 RDR65556:RDX65556 RNN65556:RNT65556 RXJ65556:RXP65556 SHF65556:SHL65556 SRB65556:SRH65556 TAX65556:TBD65556 TKT65556:TKZ65556 TUP65556:TUV65556 UEL65556:UER65556 UOH65556:UON65556 UYD65556:UYJ65556 VHZ65556:VIF65556 VRV65556:VSB65556 WBR65556:WBX65556 WLN65556:WLT65556 WVJ65556:WVP65556 B131092:H131092 IX131092:JD131092 ST131092:SZ131092 ACP131092:ACV131092 AML131092:AMR131092 AWH131092:AWN131092 BGD131092:BGJ131092 BPZ131092:BQF131092 BZV131092:CAB131092 CJR131092:CJX131092 CTN131092:CTT131092 DDJ131092:DDP131092 DNF131092:DNL131092 DXB131092:DXH131092 EGX131092:EHD131092 EQT131092:EQZ131092 FAP131092:FAV131092 FKL131092:FKR131092 FUH131092:FUN131092 GED131092:GEJ131092 GNZ131092:GOF131092 GXV131092:GYB131092 HHR131092:HHX131092 HRN131092:HRT131092 IBJ131092:IBP131092 ILF131092:ILL131092 IVB131092:IVH131092 JEX131092:JFD131092 JOT131092:JOZ131092 JYP131092:JYV131092 KIL131092:KIR131092 KSH131092:KSN131092 LCD131092:LCJ131092 LLZ131092:LMF131092 LVV131092:LWB131092 MFR131092:MFX131092 MPN131092:MPT131092 MZJ131092:MZP131092 NJF131092:NJL131092 NTB131092:NTH131092 OCX131092:ODD131092 OMT131092:OMZ131092 OWP131092:OWV131092 PGL131092:PGR131092 PQH131092:PQN131092 QAD131092:QAJ131092 QJZ131092:QKF131092 QTV131092:QUB131092 RDR131092:RDX131092 RNN131092:RNT131092 RXJ131092:RXP131092 SHF131092:SHL131092 SRB131092:SRH131092 TAX131092:TBD131092 TKT131092:TKZ131092 TUP131092:TUV131092 UEL131092:UER131092 UOH131092:UON131092 UYD131092:UYJ131092 VHZ131092:VIF131092 VRV131092:VSB131092 WBR131092:WBX131092 WLN131092:WLT131092 WVJ131092:WVP131092 B196628:H196628 IX196628:JD196628 ST196628:SZ196628 ACP196628:ACV196628 AML196628:AMR196628 AWH196628:AWN196628 BGD196628:BGJ196628 BPZ196628:BQF196628 BZV196628:CAB196628 CJR196628:CJX196628 CTN196628:CTT196628 DDJ196628:DDP196628 DNF196628:DNL196628 DXB196628:DXH196628 EGX196628:EHD196628 EQT196628:EQZ196628 FAP196628:FAV196628 FKL196628:FKR196628 FUH196628:FUN196628 GED196628:GEJ196628 GNZ196628:GOF196628 GXV196628:GYB196628 HHR196628:HHX196628 HRN196628:HRT196628 IBJ196628:IBP196628 ILF196628:ILL196628 IVB196628:IVH196628 JEX196628:JFD196628 JOT196628:JOZ196628 JYP196628:JYV196628 KIL196628:KIR196628 KSH196628:KSN196628 LCD196628:LCJ196628 LLZ196628:LMF196628 LVV196628:LWB196628 MFR196628:MFX196628 MPN196628:MPT196628 MZJ196628:MZP196628 NJF196628:NJL196628 NTB196628:NTH196628 OCX196628:ODD196628 OMT196628:OMZ196628 OWP196628:OWV196628 PGL196628:PGR196628 PQH196628:PQN196628 QAD196628:QAJ196628 QJZ196628:QKF196628 QTV196628:QUB196628 RDR196628:RDX196628 RNN196628:RNT196628 RXJ196628:RXP196628 SHF196628:SHL196628 SRB196628:SRH196628 TAX196628:TBD196628 TKT196628:TKZ196628 TUP196628:TUV196628 UEL196628:UER196628 UOH196628:UON196628 UYD196628:UYJ196628 VHZ196628:VIF196628 VRV196628:VSB196628 WBR196628:WBX196628 WLN196628:WLT196628 WVJ196628:WVP196628 B262164:H262164 IX262164:JD262164 ST262164:SZ262164 ACP262164:ACV262164 AML262164:AMR262164 AWH262164:AWN262164 BGD262164:BGJ262164 BPZ262164:BQF262164 BZV262164:CAB262164 CJR262164:CJX262164 CTN262164:CTT262164 DDJ262164:DDP262164 DNF262164:DNL262164 DXB262164:DXH262164 EGX262164:EHD262164 EQT262164:EQZ262164 FAP262164:FAV262164 FKL262164:FKR262164 FUH262164:FUN262164 GED262164:GEJ262164 GNZ262164:GOF262164 GXV262164:GYB262164 HHR262164:HHX262164 HRN262164:HRT262164 IBJ262164:IBP262164 ILF262164:ILL262164 IVB262164:IVH262164 JEX262164:JFD262164 JOT262164:JOZ262164 JYP262164:JYV262164 KIL262164:KIR262164 KSH262164:KSN262164 LCD262164:LCJ262164 LLZ262164:LMF262164 LVV262164:LWB262164 MFR262164:MFX262164 MPN262164:MPT262164 MZJ262164:MZP262164 NJF262164:NJL262164 NTB262164:NTH262164 OCX262164:ODD262164 OMT262164:OMZ262164 OWP262164:OWV262164 PGL262164:PGR262164 PQH262164:PQN262164 QAD262164:QAJ262164 QJZ262164:QKF262164 QTV262164:QUB262164 RDR262164:RDX262164 RNN262164:RNT262164 RXJ262164:RXP262164 SHF262164:SHL262164 SRB262164:SRH262164 TAX262164:TBD262164 TKT262164:TKZ262164 TUP262164:TUV262164 UEL262164:UER262164 UOH262164:UON262164 UYD262164:UYJ262164 VHZ262164:VIF262164 VRV262164:VSB262164 WBR262164:WBX262164 WLN262164:WLT262164 WVJ262164:WVP262164 B327700:H327700 IX327700:JD327700 ST327700:SZ327700 ACP327700:ACV327700 AML327700:AMR327700 AWH327700:AWN327700 BGD327700:BGJ327700 BPZ327700:BQF327700 BZV327700:CAB327700 CJR327700:CJX327700 CTN327700:CTT327700 DDJ327700:DDP327700 DNF327700:DNL327700 DXB327700:DXH327700 EGX327700:EHD327700 EQT327700:EQZ327700 FAP327700:FAV327700 FKL327700:FKR327700 FUH327700:FUN327700 GED327700:GEJ327700 GNZ327700:GOF327700 GXV327700:GYB327700 HHR327700:HHX327700 HRN327700:HRT327700 IBJ327700:IBP327700 ILF327700:ILL327700 IVB327700:IVH327700 JEX327700:JFD327700 JOT327700:JOZ327700 JYP327700:JYV327700 KIL327700:KIR327700 KSH327700:KSN327700 LCD327700:LCJ327700 LLZ327700:LMF327700 LVV327700:LWB327700 MFR327700:MFX327700 MPN327700:MPT327700 MZJ327700:MZP327700 NJF327700:NJL327700 NTB327700:NTH327700 OCX327700:ODD327700 OMT327700:OMZ327700 OWP327700:OWV327700 PGL327700:PGR327700 PQH327700:PQN327700 QAD327700:QAJ327700 QJZ327700:QKF327700 QTV327700:QUB327700 RDR327700:RDX327700 RNN327700:RNT327700 RXJ327700:RXP327700 SHF327700:SHL327700 SRB327700:SRH327700 TAX327700:TBD327700 TKT327700:TKZ327700 TUP327700:TUV327700 UEL327700:UER327700 UOH327700:UON327700 UYD327700:UYJ327700 VHZ327700:VIF327700 VRV327700:VSB327700 WBR327700:WBX327700 WLN327700:WLT327700 WVJ327700:WVP327700 B393236:H393236 IX393236:JD393236 ST393236:SZ393236 ACP393236:ACV393236 AML393236:AMR393236 AWH393236:AWN393236 BGD393236:BGJ393236 BPZ393236:BQF393236 BZV393236:CAB393236 CJR393236:CJX393236 CTN393236:CTT393236 DDJ393236:DDP393236 DNF393236:DNL393236 DXB393236:DXH393236 EGX393236:EHD393236 EQT393236:EQZ393236 FAP393236:FAV393236 FKL393236:FKR393236 FUH393236:FUN393236 GED393236:GEJ393236 GNZ393236:GOF393236 GXV393236:GYB393236 HHR393236:HHX393236 HRN393236:HRT393236 IBJ393236:IBP393236 ILF393236:ILL393236 IVB393236:IVH393236 JEX393236:JFD393236 JOT393236:JOZ393236 JYP393236:JYV393236 KIL393236:KIR393236 KSH393236:KSN393236 LCD393236:LCJ393236 LLZ393236:LMF393236 LVV393236:LWB393236 MFR393236:MFX393236 MPN393236:MPT393236 MZJ393236:MZP393236 NJF393236:NJL393236 NTB393236:NTH393236 OCX393236:ODD393236 OMT393236:OMZ393236 OWP393236:OWV393236 PGL393236:PGR393236 PQH393236:PQN393236 QAD393236:QAJ393236 QJZ393236:QKF393236 QTV393236:QUB393236 RDR393236:RDX393236 RNN393236:RNT393236 RXJ393236:RXP393236 SHF393236:SHL393236 SRB393236:SRH393236 TAX393236:TBD393236 TKT393236:TKZ393236 TUP393236:TUV393236 UEL393236:UER393236 UOH393236:UON393236 UYD393236:UYJ393236 VHZ393236:VIF393236 VRV393236:VSB393236 WBR393236:WBX393236 WLN393236:WLT393236 WVJ393236:WVP393236 B458772:H458772 IX458772:JD458772 ST458772:SZ458772 ACP458772:ACV458772 AML458772:AMR458772 AWH458772:AWN458772 BGD458772:BGJ458772 BPZ458772:BQF458772 BZV458772:CAB458772 CJR458772:CJX458772 CTN458772:CTT458772 DDJ458772:DDP458772 DNF458772:DNL458772 DXB458772:DXH458772 EGX458772:EHD458772 EQT458772:EQZ458772 FAP458772:FAV458772 FKL458772:FKR458772 FUH458772:FUN458772 GED458772:GEJ458772 GNZ458772:GOF458772 GXV458772:GYB458772 HHR458772:HHX458772 HRN458772:HRT458772 IBJ458772:IBP458772 ILF458772:ILL458772 IVB458772:IVH458772 JEX458772:JFD458772 JOT458772:JOZ458772 JYP458772:JYV458772 KIL458772:KIR458772 KSH458772:KSN458772 LCD458772:LCJ458772 LLZ458772:LMF458772 LVV458772:LWB458772 MFR458772:MFX458772 MPN458772:MPT458772 MZJ458772:MZP458772 NJF458772:NJL458772 NTB458772:NTH458772 OCX458772:ODD458772 OMT458772:OMZ458772 OWP458772:OWV458772 PGL458772:PGR458772 PQH458772:PQN458772 QAD458772:QAJ458772 QJZ458772:QKF458772 QTV458772:QUB458772 RDR458772:RDX458772 RNN458772:RNT458772 RXJ458772:RXP458772 SHF458772:SHL458772 SRB458772:SRH458772 TAX458772:TBD458772 TKT458772:TKZ458772 TUP458772:TUV458772 UEL458772:UER458772 UOH458772:UON458772 UYD458772:UYJ458772 VHZ458772:VIF458772 VRV458772:VSB458772 WBR458772:WBX458772 WLN458772:WLT458772 WVJ458772:WVP458772 B524308:H524308 IX524308:JD524308 ST524308:SZ524308 ACP524308:ACV524308 AML524308:AMR524308 AWH524308:AWN524308 BGD524308:BGJ524308 BPZ524308:BQF524308 BZV524308:CAB524308 CJR524308:CJX524308 CTN524308:CTT524308 DDJ524308:DDP524308 DNF524308:DNL524308 DXB524308:DXH524308 EGX524308:EHD524308 EQT524308:EQZ524308 FAP524308:FAV524308 FKL524308:FKR524308 FUH524308:FUN524308 GED524308:GEJ524308 GNZ524308:GOF524308 GXV524308:GYB524308 HHR524308:HHX524308 HRN524308:HRT524308 IBJ524308:IBP524308 ILF524308:ILL524308 IVB524308:IVH524308 JEX524308:JFD524308 JOT524308:JOZ524308 JYP524308:JYV524308 KIL524308:KIR524308 KSH524308:KSN524308 LCD524308:LCJ524308 LLZ524308:LMF524308 LVV524308:LWB524308 MFR524308:MFX524308 MPN524308:MPT524308 MZJ524308:MZP524308 NJF524308:NJL524308 NTB524308:NTH524308 OCX524308:ODD524308 OMT524308:OMZ524308 OWP524308:OWV524308 PGL524308:PGR524308 PQH524308:PQN524308 QAD524308:QAJ524308 QJZ524308:QKF524308 QTV524308:QUB524308 RDR524308:RDX524308 RNN524308:RNT524308 RXJ524308:RXP524308 SHF524308:SHL524308 SRB524308:SRH524308 TAX524308:TBD524308 TKT524308:TKZ524308 TUP524308:TUV524308 UEL524308:UER524308 UOH524308:UON524308 UYD524308:UYJ524308 VHZ524308:VIF524308 VRV524308:VSB524308 WBR524308:WBX524308 WLN524308:WLT524308 WVJ524308:WVP524308 B589844:H589844 IX589844:JD589844 ST589844:SZ589844 ACP589844:ACV589844 AML589844:AMR589844 AWH589844:AWN589844 BGD589844:BGJ589844 BPZ589844:BQF589844 BZV589844:CAB589844 CJR589844:CJX589844 CTN589844:CTT589844 DDJ589844:DDP589844 DNF589844:DNL589844 DXB589844:DXH589844 EGX589844:EHD589844 EQT589844:EQZ589844 FAP589844:FAV589844 FKL589844:FKR589844 FUH589844:FUN589844 GED589844:GEJ589844 GNZ589844:GOF589844 GXV589844:GYB589844 HHR589844:HHX589844 HRN589844:HRT589844 IBJ589844:IBP589844 ILF589844:ILL589844 IVB589844:IVH589844 JEX589844:JFD589844 JOT589844:JOZ589844 JYP589844:JYV589844 KIL589844:KIR589844 KSH589844:KSN589844 LCD589844:LCJ589844 LLZ589844:LMF589844 LVV589844:LWB589844 MFR589844:MFX589844 MPN589844:MPT589844 MZJ589844:MZP589844 NJF589844:NJL589844 NTB589844:NTH589844 OCX589844:ODD589844 OMT589844:OMZ589844 OWP589844:OWV589844 PGL589844:PGR589844 PQH589844:PQN589844 QAD589844:QAJ589844 QJZ589844:QKF589844 QTV589844:QUB589844 RDR589844:RDX589844 RNN589844:RNT589844 RXJ589844:RXP589844 SHF589844:SHL589844 SRB589844:SRH589844 TAX589844:TBD589844 TKT589844:TKZ589844 TUP589844:TUV589844 UEL589844:UER589844 UOH589844:UON589844 UYD589844:UYJ589844 VHZ589844:VIF589844 VRV589844:VSB589844 WBR589844:WBX589844 WLN589844:WLT589844 WVJ589844:WVP589844 B655380:H655380 IX655380:JD655380 ST655380:SZ655380 ACP655380:ACV655380 AML655380:AMR655380 AWH655380:AWN655380 BGD655380:BGJ655380 BPZ655380:BQF655380 BZV655380:CAB655380 CJR655380:CJX655380 CTN655380:CTT655380 DDJ655380:DDP655380 DNF655380:DNL655380 DXB655380:DXH655380 EGX655380:EHD655380 EQT655380:EQZ655380 FAP655380:FAV655380 FKL655380:FKR655380 FUH655380:FUN655380 GED655380:GEJ655380 GNZ655380:GOF655380 GXV655380:GYB655380 HHR655380:HHX655380 HRN655380:HRT655380 IBJ655380:IBP655380 ILF655380:ILL655380 IVB655380:IVH655380 JEX655380:JFD655380 JOT655380:JOZ655380 JYP655380:JYV655380 KIL655380:KIR655380 KSH655380:KSN655380 LCD655380:LCJ655380 LLZ655380:LMF655380 LVV655380:LWB655380 MFR655380:MFX655380 MPN655380:MPT655380 MZJ655380:MZP655380 NJF655380:NJL655380 NTB655380:NTH655380 OCX655380:ODD655380 OMT655380:OMZ655380 OWP655380:OWV655380 PGL655380:PGR655380 PQH655380:PQN655380 QAD655380:QAJ655380 QJZ655380:QKF655380 QTV655380:QUB655380 RDR655380:RDX655380 RNN655380:RNT655380 RXJ655380:RXP655380 SHF655380:SHL655380 SRB655380:SRH655380 TAX655380:TBD655380 TKT655380:TKZ655380 TUP655380:TUV655380 UEL655380:UER655380 UOH655380:UON655380 UYD655380:UYJ655380 VHZ655380:VIF655380 VRV655380:VSB655380 WBR655380:WBX655380 WLN655380:WLT655380 WVJ655380:WVP655380 B720916:H720916 IX720916:JD720916 ST720916:SZ720916 ACP720916:ACV720916 AML720916:AMR720916 AWH720916:AWN720916 BGD720916:BGJ720916 BPZ720916:BQF720916 BZV720916:CAB720916 CJR720916:CJX720916 CTN720916:CTT720916 DDJ720916:DDP720916 DNF720916:DNL720916 DXB720916:DXH720916 EGX720916:EHD720916 EQT720916:EQZ720916 FAP720916:FAV720916 FKL720916:FKR720916 FUH720916:FUN720916 GED720916:GEJ720916 GNZ720916:GOF720916 GXV720916:GYB720916 HHR720916:HHX720916 HRN720916:HRT720916 IBJ720916:IBP720916 ILF720916:ILL720916 IVB720916:IVH720916 JEX720916:JFD720916 JOT720916:JOZ720916 JYP720916:JYV720916 KIL720916:KIR720916 KSH720916:KSN720916 LCD720916:LCJ720916 LLZ720916:LMF720916 LVV720916:LWB720916 MFR720916:MFX720916 MPN720916:MPT720916 MZJ720916:MZP720916 NJF720916:NJL720916 NTB720916:NTH720916 OCX720916:ODD720916 OMT720916:OMZ720916 OWP720916:OWV720916 PGL720916:PGR720916 PQH720916:PQN720916 QAD720916:QAJ720916 QJZ720916:QKF720916 QTV720916:QUB720916 RDR720916:RDX720916 RNN720916:RNT720916 RXJ720916:RXP720916 SHF720916:SHL720916 SRB720916:SRH720916 TAX720916:TBD720916 TKT720916:TKZ720916 TUP720916:TUV720916 UEL720916:UER720916 UOH720916:UON720916 UYD720916:UYJ720916 VHZ720916:VIF720916 VRV720916:VSB720916 WBR720916:WBX720916 WLN720916:WLT720916 WVJ720916:WVP720916 B786452:H786452 IX786452:JD786452 ST786452:SZ786452 ACP786452:ACV786452 AML786452:AMR786452 AWH786452:AWN786452 BGD786452:BGJ786452 BPZ786452:BQF786452 BZV786452:CAB786452 CJR786452:CJX786452 CTN786452:CTT786452 DDJ786452:DDP786452 DNF786452:DNL786452 DXB786452:DXH786452 EGX786452:EHD786452 EQT786452:EQZ786452 FAP786452:FAV786452 FKL786452:FKR786452 FUH786452:FUN786452 GED786452:GEJ786452 GNZ786452:GOF786452 GXV786452:GYB786452 HHR786452:HHX786452 HRN786452:HRT786452 IBJ786452:IBP786452 ILF786452:ILL786452 IVB786452:IVH786452 JEX786452:JFD786452 JOT786452:JOZ786452 JYP786452:JYV786452 KIL786452:KIR786452 KSH786452:KSN786452 LCD786452:LCJ786452 LLZ786452:LMF786452 LVV786452:LWB786452 MFR786452:MFX786452 MPN786452:MPT786452 MZJ786452:MZP786452 NJF786452:NJL786452 NTB786452:NTH786452 OCX786452:ODD786452 OMT786452:OMZ786452 OWP786452:OWV786452 PGL786452:PGR786452 PQH786452:PQN786452 QAD786452:QAJ786452 QJZ786452:QKF786452 QTV786452:QUB786452 RDR786452:RDX786452 RNN786452:RNT786452 RXJ786452:RXP786452 SHF786452:SHL786452 SRB786452:SRH786452 TAX786452:TBD786452 TKT786452:TKZ786452 TUP786452:TUV786452 UEL786452:UER786452 UOH786452:UON786452 UYD786452:UYJ786452 VHZ786452:VIF786452 VRV786452:VSB786452 WBR786452:WBX786452 WLN786452:WLT786452 WVJ786452:WVP786452 B851988:H851988 IX851988:JD851988 ST851988:SZ851988 ACP851988:ACV851988 AML851988:AMR851988 AWH851988:AWN851988 BGD851988:BGJ851988 BPZ851988:BQF851988 BZV851988:CAB851988 CJR851988:CJX851988 CTN851988:CTT851988 DDJ851988:DDP851988 DNF851988:DNL851988 DXB851988:DXH851988 EGX851988:EHD851988 EQT851988:EQZ851988 FAP851988:FAV851988 FKL851988:FKR851988 FUH851988:FUN851988 GED851988:GEJ851988 GNZ851988:GOF851988 GXV851988:GYB851988 HHR851988:HHX851988 HRN851988:HRT851988 IBJ851988:IBP851988 ILF851988:ILL851988 IVB851988:IVH851988 JEX851988:JFD851988 JOT851988:JOZ851988 JYP851988:JYV851988 KIL851988:KIR851988 KSH851988:KSN851988 LCD851988:LCJ851988 LLZ851988:LMF851988 LVV851988:LWB851988 MFR851988:MFX851988 MPN851988:MPT851988 MZJ851988:MZP851988 NJF851988:NJL851988 NTB851988:NTH851988 OCX851988:ODD851988 OMT851988:OMZ851988 OWP851988:OWV851988 PGL851988:PGR851988 PQH851988:PQN851988 QAD851988:QAJ851988 QJZ851988:QKF851988 QTV851988:QUB851988 RDR851988:RDX851988 RNN851988:RNT851988 RXJ851988:RXP851988 SHF851988:SHL851988 SRB851988:SRH851988 TAX851988:TBD851988 TKT851988:TKZ851988 TUP851988:TUV851988 UEL851988:UER851988 UOH851988:UON851988 UYD851988:UYJ851988 VHZ851988:VIF851988 VRV851988:VSB851988 WBR851988:WBX851988 WLN851988:WLT851988 WVJ851988:WVP851988 B917524:H917524 IX917524:JD917524 ST917524:SZ917524 ACP917524:ACV917524 AML917524:AMR917524 AWH917524:AWN917524 BGD917524:BGJ917524 BPZ917524:BQF917524 BZV917524:CAB917524 CJR917524:CJX917524 CTN917524:CTT917524 DDJ917524:DDP917524 DNF917524:DNL917524 DXB917524:DXH917524 EGX917524:EHD917524 EQT917524:EQZ917524 FAP917524:FAV917524 FKL917524:FKR917524 FUH917524:FUN917524 GED917524:GEJ917524 GNZ917524:GOF917524 GXV917524:GYB917524 HHR917524:HHX917524 HRN917524:HRT917524 IBJ917524:IBP917524 ILF917524:ILL917524 IVB917524:IVH917524 JEX917524:JFD917524 JOT917524:JOZ917524 JYP917524:JYV917524 KIL917524:KIR917524 KSH917524:KSN917524 LCD917524:LCJ917524 LLZ917524:LMF917524 LVV917524:LWB917524 MFR917524:MFX917524 MPN917524:MPT917524 MZJ917524:MZP917524 NJF917524:NJL917524 NTB917524:NTH917524 OCX917524:ODD917524 OMT917524:OMZ917524 OWP917524:OWV917524 PGL917524:PGR917524 PQH917524:PQN917524 QAD917524:QAJ917524 QJZ917524:QKF917524 QTV917524:QUB917524 RDR917524:RDX917524 RNN917524:RNT917524 RXJ917524:RXP917524 SHF917524:SHL917524 SRB917524:SRH917524 TAX917524:TBD917524 TKT917524:TKZ917524 TUP917524:TUV917524 UEL917524:UER917524 UOH917524:UON917524 UYD917524:UYJ917524 VHZ917524:VIF917524 VRV917524:VSB917524 WBR917524:WBX917524 WLN917524:WLT917524 WVJ917524:WVP917524 B983060:H983060 IX983060:JD983060 ST983060:SZ983060 ACP983060:ACV983060 AML983060:AMR983060 AWH983060:AWN983060 BGD983060:BGJ983060 BPZ983060:BQF983060 BZV983060:CAB983060 CJR983060:CJX983060 CTN983060:CTT983060 DDJ983060:DDP983060 DNF983060:DNL983060 DXB983060:DXH983060 EGX983060:EHD983060 EQT983060:EQZ983060 FAP983060:FAV983060 FKL983060:FKR983060 FUH983060:FUN983060 GED983060:GEJ983060 GNZ983060:GOF983060 GXV983060:GYB983060 HHR983060:HHX983060 HRN983060:HRT983060 IBJ983060:IBP983060 ILF983060:ILL983060 IVB983060:IVH983060 JEX983060:JFD983060 JOT983060:JOZ983060 JYP983060:JYV983060 KIL983060:KIR983060 KSH983060:KSN983060 LCD983060:LCJ983060 LLZ983060:LMF983060 LVV983060:LWB983060 MFR983060:MFX983060 MPN983060:MPT983060 MZJ983060:MZP983060 NJF983060:NJL983060 NTB983060:NTH983060 OCX983060:ODD983060 OMT983060:OMZ983060 OWP983060:OWV983060 PGL983060:PGR983060 PQH983060:PQN983060 QAD983060:QAJ983060 QJZ983060:QKF983060 QTV983060:QUB983060 RDR983060:RDX983060 RNN983060:RNT983060 RXJ983060:RXP983060 SHF983060:SHL983060 SRB983060:SRH983060 TAX983060:TBD983060 TKT983060:TKZ983060 TUP983060:TUV983060 UEL983060:UER983060 UOH983060:UON983060 UYD983060:UYJ983060 VHZ983060:VIF983060 VRV983060:VSB983060 WBR983060:WBX983060 WLN983060:WLT983060 WVJ983060:WVP983060 B17:H17 IX17:JD17 ST17:SZ17 ACP17:ACV17 AML17:AMR17 AWH17:AWN17 BGD17:BGJ17 BPZ17:BQF17 BZV17:CAB17 CJR17:CJX17 CTN17:CTT17 DDJ17:DDP17 DNF17:DNL17 DXB17:DXH17 EGX17:EHD17 EQT17:EQZ17 FAP17:FAV17 FKL17:FKR17 FUH17:FUN17 GED17:GEJ17 GNZ17:GOF17 GXV17:GYB17 HHR17:HHX17 HRN17:HRT17 IBJ17:IBP17 ILF17:ILL17 IVB17:IVH17 JEX17:JFD17 JOT17:JOZ17 JYP17:JYV17 KIL17:KIR17 KSH17:KSN17 LCD17:LCJ17 LLZ17:LMF17 LVV17:LWB17 MFR17:MFX17 MPN17:MPT17 MZJ17:MZP17 NJF17:NJL17 NTB17:NTH17 OCX17:ODD17 OMT17:OMZ17 OWP17:OWV17 PGL17:PGR17 PQH17:PQN17 QAD17:QAJ17 QJZ17:QKF17 QTV17:QUB17 RDR17:RDX17 RNN17:RNT17 RXJ17:RXP17 SHF17:SHL17 SRB17:SRH17 TAX17:TBD17 TKT17:TKZ17 TUP17:TUV17 UEL17:UER17 UOH17:UON17 UYD17:UYJ17 VHZ17:VIF17 VRV17:VSB17 WBR17:WBX17 WLN17:WLT17 WVJ17:WVP17 B65553:H65553 IX65553:JD65553 ST65553:SZ65553 ACP65553:ACV65553 AML65553:AMR65553 AWH65553:AWN65553 BGD65553:BGJ65553 BPZ65553:BQF65553 BZV65553:CAB65553 CJR65553:CJX65553 CTN65553:CTT65553 DDJ65553:DDP65553 DNF65553:DNL65553 DXB65553:DXH65553 EGX65553:EHD65553 EQT65553:EQZ65553 FAP65553:FAV65553 FKL65553:FKR65553 FUH65553:FUN65553 GED65553:GEJ65553 GNZ65553:GOF65553 GXV65553:GYB65553 HHR65553:HHX65553 HRN65553:HRT65553 IBJ65553:IBP65553 ILF65553:ILL65553 IVB65553:IVH65553 JEX65553:JFD65553 JOT65553:JOZ65553 JYP65553:JYV65553 KIL65553:KIR65553 KSH65553:KSN65553 LCD65553:LCJ65553 LLZ65553:LMF65553 LVV65553:LWB65553 MFR65553:MFX65553 MPN65553:MPT65553 MZJ65553:MZP65553 NJF65553:NJL65553 NTB65553:NTH65553 OCX65553:ODD65553 OMT65553:OMZ65553 OWP65553:OWV65553 PGL65553:PGR65553 PQH65553:PQN65553 QAD65553:QAJ65553 QJZ65553:QKF65553 QTV65553:QUB65553 RDR65553:RDX65553 RNN65553:RNT65553 RXJ65553:RXP65553 SHF65553:SHL65553 SRB65553:SRH65553 TAX65553:TBD65553 TKT65553:TKZ65553 TUP65553:TUV65553 UEL65553:UER65553 UOH65553:UON65553 UYD65553:UYJ65553 VHZ65553:VIF65553 VRV65553:VSB65553 WBR65553:WBX65553 WLN65553:WLT65553 WVJ65553:WVP65553 B131089:H131089 IX131089:JD131089 ST131089:SZ131089 ACP131089:ACV131089 AML131089:AMR131089 AWH131089:AWN131089 BGD131089:BGJ131089 BPZ131089:BQF131089 BZV131089:CAB131089 CJR131089:CJX131089 CTN131089:CTT131089 DDJ131089:DDP131089 DNF131089:DNL131089 DXB131089:DXH131089 EGX131089:EHD131089 EQT131089:EQZ131089 FAP131089:FAV131089 FKL131089:FKR131089 FUH131089:FUN131089 GED131089:GEJ131089 GNZ131089:GOF131089 GXV131089:GYB131089 HHR131089:HHX131089 HRN131089:HRT131089 IBJ131089:IBP131089 ILF131089:ILL131089 IVB131089:IVH131089 JEX131089:JFD131089 JOT131089:JOZ131089 JYP131089:JYV131089 KIL131089:KIR131089 KSH131089:KSN131089 LCD131089:LCJ131089 LLZ131089:LMF131089 LVV131089:LWB131089 MFR131089:MFX131089 MPN131089:MPT131089 MZJ131089:MZP131089 NJF131089:NJL131089 NTB131089:NTH131089 OCX131089:ODD131089 OMT131089:OMZ131089 OWP131089:OWV131089 PGL131089:PGR131089 PQH131089:PQN131089 QAD131089:QAJ131089 QJZ131089:QKF131089 QTV131089:QUB131089 RDR131089:RDX131089 RNN131089:RNT131089 RXJ131089:RXP131089 SHF131089:SHL131089 SRB131089:SRH131089 TAX131089:TBD131089 TKT131089:TKZ131089 TUP131089:TUV131089 UEL131089:UER131089 UOH131089:UON131089 UYD131089:UYJ131089 VHZ131089:VIF131089 VRV131089:VSB131089 WBR131089:WBX131089 WLN131089:WLT131089 WVJ131089:WVP131089 B196625:H196625 IX196625:JD196625 ST196625:SZ196625 ACP196625:ACV196625 AML196625:AMR196625 AWH196625:AWN196625 BGD196625:BGJ196625 BPZ196625:BQF196625 BZV196625:CAB196625 CJR196625:CJX196625 CTN196625:CTT196625 DDJ196625:DDP196625 DNF196625:DNL196625 DXB196625:DXH196625 EGX196625:EHD196625 EQT196625:EQZ196625 FAP196625:FAV196625 FKL196625:FKR196625 FUH196625:FUN196625 GED196625:GEJ196625 GNZ196625:GOF196625 GXV196625:GYB196625 HHR196625:HHX196625 HRN196625:HRT196625 IBJ196625:IBP196625 ILF196625:ILL196625 IVB196625:IVH196625 JEX196625:JFD196625 JOT196625:JOZ196625 JYP196625:JYV196625 KIL196625:KIR196625 KSH196625:KSN196625 LCD196625:LCJ196625 LLZ196625:LMF196625 LVV196625:LWB196625 MFR196625:MFX196625 MPN196625:MPT196625 MZJ196625:MZP196625 NJF196625:NJL196625 NTB196625:NTH196625 OCX196625:ODD196625 OMT196625:OMZ196625 OWP196625:OWV196625 PGL196625:PGR196625 PQH196625:PQN196625 QAD196625:QAJ196625 QJZ196625:QKF196625 QTV196625:QUB196625 RDR196625:RDX196625 RNN196625:RNT196625 RXJ196625:RXP196625 SHF196625:SHL196625 SRB196625:SRH196625 TAX196625:TBD196625 TKT196625:TKZ196625 TUP196625:TUV196625 UEL196625:UER196625 UOH196625:UON196625 UYD196625:UYJ196625 VHZ196625:VIF196625 VRV196625:VSB196625 WBR196625:WBX196625 WLN196625:WLT196625 WVJ196625:WVP196625 B262161:H262161 IX262161:JD262161 ST262161:SZ262161 ACP262161:ACV262161 AML262161:AMR262161 AWH262161:AWN262161 BGD262161:BGJ262161 BPZ262161:BQF262161 BZV262161:CAB262161 CJR262161:CJX262161 CTN262161:CTT262161 DDJ262161:DDP262161 DNF262161:DNL262161 DXB262161:DXH262161 EGX262161:EHD262161 EQT262161:EQZ262161 FAP262161:FAV262161 FKL262161:FKR262161 FUH262161:FUN262161 GED262161:GEJ262161 GNZ262161:GOF262161 GXV262161:GYB262161 HHR262161:HHX262161 HRN262161:HRT262161 IBJ262161:IBP262161 ILF262161:ILL262161 IVB262161:IVH262161 JEX262161:JFD262161 JOT262161:JOZ262161 JYP262161:JYV262161 KIL262161:KIR262161 KSH262161:KSN262161 LCD262161:LCJ262161 LLZ262161:LMF262161 LVV262161:LWB262161 MFR262161:MFX262161 MPN262161:MPT262161 MZJ262161:MZP262161 NJF262161:NJL262161 NTB262161:NTH262161 OCX262161:ODD262161 OMT262161:OMZ262161 OWP262161:OWV262161 PGL262161:PGR262161 PQH262161:PQN262161 QAD262161:QAJ262161 QJZ262161:QKF262161 QTV262161:QUB262161 RDR262161:RDX262161 RNN262161:RNT262161 RXJ262161:RXP262161 SHF262161:SHL262161 SRB262161:SRH262161 TAX262161:TBD262161 TKT262161:TKZ262161 TUP262161:TUV262161 UEL262161:UER262161 UOH262161:UON262161 UYD262161:UYJ262161 VHZ262161:VIF262161 VRV262161:VSB262161 WBR262161:WBX262161 WLN262161:WLT262161 WVJ262161:WVP262161 B327697:H327697 IX327697:JD327697 ST327697:SZ327697 ACP327697:ACV327697 AML327697:AMR327697 AWH327697:AWN327697 BGD327697:BGJ327697 BPZ327697:BQF327697 BZV327697:CAB327697 CJR327697:CJX327697 CTN327697:CTT327697 DDJ327697:DDP327697 DNF327697:DNL327697 DXB327697:DXH327697 EGX327697:EHD327697 EQT327697:EQZ327697 FAP327697:FAV327697 FKL327697:FKR327697 FUH327697:FUN327697 GED327697:GEJ327697 GNZ327697:GOF327697 GXV327697:GYB327697 HHR327697:HHX327697 HRN327697:HRT327697 IBJ327697:IBP327697 ILF327697:ILL327697 IVB327697:IVH327697 JEX327697:JFD327697 JOT327697:JOZ327697 JYP327697:JYV327697 KIL327697:KIR327697 KSH327697:KSN327697 LCD327697:LCJ327697 LLZ327697:LMF327697 LVV327697:LWB327697 MFR327697:MFX327697 MPN327697:MPT327697 MZJ327697:MZP327697 NJF327697:NJL327697 NTB327697:NTH327697 OCX327697:ODD327697 OMT327697:OMZ327697 OWP327697:OWV327697 PGL327697:PGR327697 PQH327697:PQN327697 QAD327697:QAJ327697 QJZ327697:QKF327697 QTV327697:QUB327697 RDR327697:RDX327697 RNN327697:RNT327697 RXJ327697:RXP327697 SHF327697:SHL327697 SRB327697:SRH327697 TAX327697:TBD327697 TKT327697:TKZ327697 TUP327697:TUV327697 UEL327697:UER327697 UOH327697:UON327697 UYD327697:UYJ327697 VHZ327697:VIF327697 VRV327697:VSB327697 WBR327697:WBX327697 WLN327697:WLT327697 WVJ327697:WVP327697 B393233:H393233 IX393233:JD393233 ST393233:SZ393233 ACP393233:ACV393233 AML393233:AMR393233 AWH393233:AWN393233 BGD393233:BGJ393233 BPZ393233:BQF393233 BZV393233:CAB393233 CJR393233:CJX393233 CTN393233:CTT393233 DDJ393233:DDP393233 DNF393233:DNL393233 DXB393233:DXH393233 EGX393233:EHD393233 EQT393233:EQZ393233 FAP393233:FAV393233 FKL393233:FKR393233 FUH393233:FUN393233 GED393233:GEJ393233 GNZ393233:GOF393233 GXV393233:GYB393233 HHR393233:HHX393233 HRN393233:HRT393233 IBJ393233:IBP393233 ILF393233:ILL393233 IVB393233:IVH393233 JEX393233:JFD393233 JOT393233:JOZ393233 JYP393233:JYV393233 KIL393233:KIR393233 KSH393233:KSN393233 LCD393233:LCJ393233 LLZ393233:LMF393233 LVV393233:LWB393233 MFR393233:MFX393233 MPN393233:MPT393233 MZJ393233:MZP393233 NJF393233:NJL393233 NTB393233:NTH393233 OCX393233:ODD393233 OMT393233:OMZ393233 OWP393233:OWV393233 PGL393233:PGR393233 PQH393233:PQN393233 QAD393233:QAJ393233 QJZ393233:QKF393233 QTV393233:QUB393233 RDR393233:RDX393233 RNN393233:RNT393233 RXJ393233:RXP393233 SHF393233:SHL393233 SRB393233:SRH393233 TAX393233:TBD393233 TKT393233:TKZ393233 TUP393233:TUV393233 UEL393233:UER393233 UOH393233:UON393233 UYD393233:UYJ393233 VHZ393233:VIF393233 VRV393233:VSB393233 WBR393233:WBX393233 WLN393233:WLT393233 WVJ393233:WVP393233 B458769:H458769 IX458769:JD458769 ST458769:SZ458769 ACP458769:ACV458769 AML458769:AMR458769 AWH458769:AWN458769 BGD458769:BGJ458769 BPZ458769:BQF458769 BZV458769:CAB458769 CJR458769:CJX458769 CTN458769:CTT458769 DDJ458769:DDP458769 DNF458769:DNL458769 DXB458769:DXH458769 EGX458769:EHD458769 EQT458769:EQZ458769 FAP458769:FAV458769 FKL458769:FKR458769 FUH458769:FUN458769 GED458769:GEJ458769 GNZ458769:GOF458769 GXV458769:GYB458769 HHR458769:HHX458769 HRN458769:HRT458769 IBJ458769:IBP458769 ILF458769:ILL458769 IVB458769:IVH458769 JEX458769:JFD458769 JOT458769:JOZ458769 JYP458769:JYV458769 KIL458769:KIR458769 KSH458769:KSN458769 LCD458769:LCJ458769 LLZ458769:LMF458769 LVV458769:LWB458769 MFR458769:MFX458769 MPN458769:MPT458769 MZJ458769:MZP458769 NJF458769:NJL458769 NTB458769:NTH458769 OCX458769:ODD458769 OMT458769:OMZ458769 OWP458769:OWV458769 PGL458769:PGR458769 PQH458769:PQN458769 QAD458769:QAJ458769 QJZ458769:QKF458769 QTV458769:QUB458769 RDR458769:RDX458769 RNN458769:RNT458769 RXJ458769:RXP458769 SHF458769:SHL458769 SRB458769:SRH458769 TAX458769:TBD458769 TKT458769:TKZ458769 TUP458769:TUV458769 UEL458769:UER458769 UOH458769:UON458769 UYD458769:UYJ458769 VHZ458769:VIF458769 VRV458769:VSB458769 WBR458769:WBX458769 WLN458769:WLT458769 WVJ458769:WVP458769 B524305:H524305 IX524305:JD524305 ST524305:SZ524305 ACP524305:ACV524305 AML524305:AMR524305 AWH524305:AWN524305 BGD524305:BGJ524305 BPZ524305:BQF524305 BZV524305:CAB524305 CJR524305:CJX524305 CTN524305:CTT524305 DDJ524305:DDP524305 DNF524305:DNL524305 DXB524305:DXH524305 EGX524305:EHD524305 EQT524305:EQZ524305 FAP524305:FAV524305 FKL524305:FKR524305 FUH524305:FUN524305 GED524305:GEJ524305 GNZ524305:GOF524305 GXV524305:GYB524305 HHR524305:HHX524305 HRN524305:HRT524305 IBJ524305:IBP524305 ILF524305:ILL524305 IVB524305:IVH524305 JEX524305:JFD524305 JOT524305:JOZ524305 JYP524305:JYV524305 KIL524305:KIR524305 KSH524305:KSN524305 LCD524305:LCJ524305 LLZ524305:LMF524305 LVV524305:LWB524305 MFR524305:MFX524305 MPN524305:MPT524305 MZJ524305:MZP524305 NJF524305:NJL524305 NTB524305:NTH524305 OCX524305:ODD524305 OMT524305:OMZ524305 OWP524305:OWV524305 PGL524305:PGR524305 PQH524305:PQN524305 QAD524305:QAJ524305 QJZ524305:QKF524305 QTV524305:QUB524305 RDR524305:RDX524305 RNN524305:RNT524305 RXJ524305:RXP524305 SHF524305:SHL524305 SRB524305:SRH524305 TAX524305:TBD524305 TKT524305:TKZ524305 TUP524305:TUV524305 UEL524305:UER524305 UOH524305:UON524305 UYD524305:UYJ524305 VHZ524305:VIF524305 VRV524305:VSB524305 WBR524305:WBX524305 WLN524305:WLT524305 WVJ524305:WVP524305 B589841:H589841 IX589841:JD589841 ST589841:SZ589841 ACP589841:ACV589841 AML589841:AMR589841 AWH589841:AWN589841 BGD589841:BGJ589841 BPZ589841:BQF589841 BZV589841:CAB589841 CJR589841:CJX589841 CTN589841:CTT589841 DDJ589841:DDP589841 DNF589841:DNL589841 DXB589841:DXH589841 EGX589841:EHD589841 EQT589841:EQZ589841 FAP589841:FAV589841 FKL589841:FKR589841 FUH589841:FUN589841 GED589841:GEJ589841 GNZ589841:GOF589841 GXV589841:GYB589841 HHR589841:HHX589841 HRN589841:HRT589841 IBJ589841:IBP589841 ILF589841:ILL589841 IVB589841:IVH589841 JEX589841:JFD589841 JOT589841:JOZ589841 JYP589841:JYV589841 KIL589841:KIR589841 KSH589841:KSN589841 LCD589841:LCJ589841 LLZ589841:LMF589841 LVV589841:LWB589841 MFR589841:MFX589841 MPN589841:MPT589841 MZJ589841:MZP589841 NJF589841:NJL589841 NTB589841:NTH589841 OCX589841:ODD589841 OMT589841:OMZ589841 OWP589841:OWV589841 PGL589841:PGR589841 PQH589841:PQN589841 QAD589841:QAJ589841 QJZ589841:QKF589841 QTV589841:QUB589841 RDR589841:RDX589841 RNN589841:RNT589841 RXJ589841:RXP589841 SHF589841:SHL589841 SRB589841:SRH589841 TAX589841:TBD589841 TKT589841:TKZ589841 TUP589841:TUV589841 UEL589841:UER589841 UOH589841:UON589841 UYD589841:UYJ589841 VHZ589841:VIF589841 VRV589841:VSB589841 WBR589841:WBX589841 WLN589841:WLT589841 WVJ589841:WVP589841 B655377:H655377 IX655377:JD655377 ST655377:SZ655377 ACP655377:ACV655377 AML655377:AMR655377 AWH655377:AWN655377 BGD655377:BGJ655377 BPZ655377:BQF655377 BZV655377:CAB655377 CJR655377:CJX655377 CTN655377:CTT655377 DDJ655377:DDP655377 DNF655377:DNL655377 DXB655377:DXH655377 EGX655377:EHD655377 EQT655377:EQZ655377 FAP655377:FAV655377 FKL655377:FKR655377 FUH655377:FUN655377 GED655377:GEJ655377 GNZ655377:GOF655377 GXV655377:GYB655377 HHR655377:HHX655377 HRN655377:HRT655377 IBJ655377:IBP655377 ILF655377:ILL655377 IVB655377:IVH655377 JEX655377:JFD655377 JOT655377:JOZ655377 JYP655377:JYV655377 KIL655377:KIR655377 KSH655377:KSN655377 LCD655377:LCJ655377 LLZ655377:LMF655377 LVV655377:LWB655377 MFR655377:MFX655377 MPN655377:MPT655377 MZJ655377:MZP655377 NJF655377:NJL655377 NTB655377:NTH655377 OCX655377:ODD655377 OMT655377:OMZ655377 OWP655377:OWV655377 PGL655377:PGR655377 PQH655377:PQN655377 QAD655377:QAJ655377 QJZ655377:QKF655377 QTV655377:QUB655377 RDR655377:RDX655377 RNN655377:RNT655377 RXJ655377:RXP655377 SHF655377:SHL655377 SRB655377:SRH655377 TAX655377:TBD655377 TKT655377:TKZ655377 TUP655377:TUV655377 UEL655377:UER655377 UOH655377:UON655377 UYD655377:UYJ655377 VHZ655377:VIF655377 VRV655377:VSB655377 WBR655377:WBX655377 WLN655377:WLT655377 WVJ655377:WVP655377 B720913:H720913 IX720913:JD720913 ST720913:SZ720913 ACP720913:ACV720913 AML720913:AMR720913 AWH720913:AWN720913 BGD720913:BGJ720913 BPZ720913:BQF720913 BZV720913:CAB720913 CJR720913:CJX720913 CTN720913:CTT720913 DDJ720913:DDP720913 DNF720913:DNL720913 DXB720913:DXH720913 EGX720913:EHD720913 EQT720913:EQZ720913 FAP720913:FAV720913 FKL720913:FKR720913 FUH720913:FUN720913 GED720913:GEJ720913 GNZ720913:GOF720913 GXV720913:GYB720913 HHR720913:HHX720913 HRN720913:HRT720913 IBJ720913:IBP720913 ILF720913:ILL720913 IVB720913:IVH720913 JEX720913:JFD720913 JOT720913:JOZ720913 JYP720913:JYV720913 KIL720913:KIR720913 KSH720913:KSN720913 LCD720913:LCJ720913 LLZ720913:LMF720913 LVV720913:LWB720913 MFR720913:MFX720913 MPN720913:MPT720913 MZJ720913:MZP720913 NJF720913:NJL720913 NTB720913:NTH720913 OCX720913:ODD720913 OMT720913:OMZ720913 OWP720913:OWV720913 PGL720913:PGR720913 PQH720913:PQN720913 QAD720913:QAJ720913 QJZ720913:QKF720913 QTV720913:QUB720913 RDR720913:RDX720913 RNN720913:RNT720913 RXJ720913:RXP720913 SHF720913:SHL720913 SRB720913:SRH720913 TAX720913:TBD720913 TKT720913:TKZ720913 TUP720913:TUV720913 UEL720913:UER720913 UOH720913:UON720913 UYD720913:UYJ720913 VHZ720913:VIF720913 VRV720913:VSB720913 WBR720913:WBX720913 WLN720913:WLT720913 WVJ720913:WVP720913 B786449:H786449 IX786449:JD786449 ST786449:SZ786449 ACP786449:ACV786449 AML786449:AMR786449 AWH786449:AWN786449 BGD786449:BGJ786449 BPZ786449:BQF786449 BZV786449:CAB786449 CJR786449:CJX786449 CTN786449:CTT786449 DDJ786449:DDP786449 DNF786449:DNL786449 DXB786449:DXH786449 EGX786449:EHD786449 EQT786449:EQZ786449 FAP786449:FAV786449 FKL786449:FKR786449 FUH786449:FUN786449 GED786449:GEJ786449 GNZ786449:GOF786449 GXV786449:GYB786449 HHR786449:HHX786449 HRN786449:HRT786449 IBJ786449:IBP786449 ILF786449:ILL786449 IVB786449:IVH786449 JEX786449:JFD786449 JOT786449:JOZ786449 JYP786449:JYV786449 KIL786449:KIR786449 KSH786449:KSN786449 LCD786449:LCJ786449 LLZ786449:LMF786449 LVV786449:LWB786449 MFR786449:MFX786449 MPN786449:MPT786449 MZJ786449:MZP786449 NJF786449:NJL786449 NTB786449:NTH786449 OCX786449:ODD786449 OMT786449:OMZ786449 OWP786449:OWV786449 PGL786449:PGR786449 PQH786449:PQN786449 QAD786449:QAJ786449 QJZ786449:QKF786449 QTV786449:QUB786449 RDR786449:RDX786449 RNN786449:RNT786449 RXJ786449:RXP786449 SHF786449:SHL786449 SRB786449:SRH786449 TAX786449:TBD786449 TKT786449:TKZ786449 TUP786449:TUV786449 UEL786449:UER786449 UOH786449:UON786449 UYD786449:UYJ786449 VHZ786449:VIF786449 VRV786449:VSB786449 WBR786449:WBX786449 WLN786449:WLT786449 WVJ786449:WVP786449 B851985:H851985 IX851985:JD851985 ST851985:SZ851985 ACP851985:ACV851985 AML851985:AMR851985 AWH851985:AWN851985 BGD851985:BGJ851985 BPZ851985:BQF851985 BZV851985:CAB851985 CJR851985:CJX851985 CTN851985:CTT851985 DDJ851985:DDP851985 DNF851985:DNL851985 DXB851985:DXH851985 EGX851985:EHD851985 EQT851985:EQZ851985 FAP851985:FAV851985 FKL851985:FKR851985 FUH851985:FUN851985 GED851985:GEJ851985 GNZ851985:GOF851985 GXV851985:GYB851985 HHR851985:HHX851985 HRN851985:HRT851985 IBJ851985:IBP851985 ILF851985:ILL851985 IVB851985:IVH851985 JEX851985:JFD851985 JOT851985:JOZ851985 JYP851985:JYV851985 KIL851985:KIR851985 KSH851985:KSN851985 LCD851985:LCJ851985 LLZ851985:LMF851985 LVV851985:LWB851985 MFR851985:MFX851985 MPN851985:MPT851985 MZJ851985:MZP851985 NJF851985:NJL851985 NTB851985:NTH851985 OCX851985:ODD851985 OMT851985:OMZ851985 OWP851985:OWV851985 PGL851985:PGR851985 PQH851985:PQN851985 QAD851985:QAJ851985 QJZ851985:QKF851985 QTV851985:QUB851985 RDR851985:RDX851985 RNN851985:RNT851985 RXJ851985:RXP851985 SHF851985:SHL851985 SRB851985:SRH851985 TAX851985:TBD851985 TKT851985:TKZ851985 TUP851985:TUV851985 UEL851985:UER851985 UOH851985:UON851985 UYD851985:UYJ851985 VHZ851985:VIF851985 VRV851985:VSB851985 WBR851985:WBX851985 WLN851985:WLT851985 WVJ851985:WVP851985 B917521:H917521 IX917521:JD917521 ST917521:SZ917521 ACP917521:ACV917521 AML917521:AMR917521 AWH917521:AWN917521 BGD917521:BGJ917521 BPZ917521:BQF917521 BZV917521:CAB917521 CJR917521:CJX917521 CTN917521:CTT917521 DDJ917521:DDP917521 DNF917521:DNL917521 DXB917521:DXH917521 EGX917521:EHD917521 EQT917521:EQZ917521 FAP917521:FAV917521 FKL917521:FKR917521 FUH917521:FUN917521 GED917521:GEJ917521 GNZ917521:GOF917521 GXV917521:GYB917521 HHR917521:HHX917521 HRN917521:HRT917521 IBJ917521:IBP917521 ILF917521:ILL917521 IVB917521:IVH917521 JEX917521:JFD917521 JOT917521:JOZ917521 JYP917521:JYV917521 KIL917521:KIR917521 KSH917521:KSN917521 LCD917521:LCJ917521 LLZ917521:LMF917521 LVV917521:LWB917521 MFR917521:MFX917521 MPN917521:MPT917521 MZJ917521:MZP917521 NJF917521:NJL917521 NTB917521:NTH917521 OCX917521:ODD917521 OMT917521:OMZ917521 OWP917521:OWV917521 PGL917521:PGR917521 PQH917521:PQN917521 QAD917521:QAJ917521 QJZ917521:QKF917521 QTV917521:QUB917521 RDR917521:RDX917521 RNN917521:RNT917521 RXJ917521:RXP917521 SHF917521:SHL917521 SRB917521:SRH917521 TAX917521:TBD917521 TKT917521:TKZ917521 TUP917521:TUV917521 UEL917521:UER917521 UOH917521:UON917521 UYD917521:UYJ917521 VHZ917521:VIF917521 VRV917521:VSB917521 WBR917521:WBX917521 WLN917521:WLT917521 WVJ917521:WVP917521 B983057:H983057 IX983057:JD983057 ST983057:SZ983057 ACP983057:ACV983057 AML983057:AMR983057 AWH983057:AWN983057 BGD983057:BGJ983057 BPZ983057:BQF983057 BZV983057:CAB983057 CJR983057:CJX983057 CTN983057:CTT983057 DDJ983057:DDP983057 DNF983057:DNL983057 DXB983057:DXH983057 EGX983057:EHD983057 EQT983057:EQZ983057 FAP983057:FAV983057 FKL983057:FKR983057 FUH983057:FUN983057 GED983057:GEJ983057 GNZ983057:GOF983057 GXV983057:GYB983057 HHR983057:HHX983057 HRN983057:HRT983057 IBJ983057:IBP983057 ILF983057:ILL983057 IVB983057:IVH983057 JEX983057:JFD983057 JOT983057:JOZ983057 JYP983057:JYV983057 KIL983057:KIR983057 KSH983057:KSN983057 LCD983057:LCJ983057 LLZ983057:LMF983057 LVV983057:LWB983057 MFR983057:MFX983057 MPN983057:MPT983057 MZJ983057:MZP983057 NJF983057:NJL983057 NTB983057:NTH983057 OCX983057:ODD983057 OMT983057:OMZ983057 OWP983057:OWV983057 PGL983057:PGR983057 PQH983057:PQN983057 QAD983057:QAJ983057 QJZ983057:QKF983057 QTV983057:QUB983057 RDR983057:RDX983057 RNN983057:RNT983057 RXJ983057:RXP983057 SHF983057:SHL983057 SRB983057:SRH983057 TAX983057:TBD983057 TKT983057:TKZ983057 TUP983057:TUV983057 UEL983057:UER983057 UOH983057:UON983057 UYD983057:UYJ983057 VHZ983057:VIF983057 VRV983057:VSB983057 WBR983057:WBX983057 WLN983057:WLT983057 WVJ983057:WVP983057 B14:H14 IX14:JD14 ST14:SZ14 ACP14:ACV14 AML14:AMR14 AWH14:AWN14 BGD14:BGJ14 BPZ14:BQF14 BZV14:CAB14 CJR14:CJX14 CTN14:CTT14 DDJ14:DDP14 DNF14:DNL14 DXB14:DXH14 EGX14:EHD14 EQT14:EQZ14 FAP14:FAV14 FKL14:FKR14 FUH14:FUN14 GED14:GEJ14 GNZ14:GOF14 GXV14:GYB14 HHR14:HHX14 HRN14:HRT14 IBJ14:IBP14 ILF14:ILL14 IVB14:IVH14 JEX14:JFD14 JOT14:JOZ14 JYP14:JYV14 KIL14:KIR14 KSH14:KSN14 LCD14:LCJ14 LLZ14:LMF14 LVV14:LWB14 MFR14:MFX14 MPN14:MPT14 MZJ14:MZP14 NJF14:NJL14 NTB14:NTH14 OCX14:ODD14 OMT14:OMZ14 OWP14:OWV14 PGL14:PGR14 PQH14:PQN14 QAD14:QAJ14 QJZ14:QKF14 QTV14:QUB14 RDR14:RDX14 RNN14:RNT14 RXJ14:RXP14 SHF14:SHL14 SRB14:SRH14 TAX14:TBD14 TKT14:TKZ14 TUP14:TUV14 UEL14:UER14 UOH14:UON14 UYD14:UYJ14 VHZ14:VIF14 VRV14:VSB14 WBR14:WBX14 WLN14:WLT14 WVJ14:WVP14 B65550:H65550 IX65550:JD65550 ST65550:SZ65550 ACP65550:ACV65550 AML65550:AMR65550 AWH65550:AWN65550 BGD65550:BGJ65550 BPZ65550:BQF65550 BZV65550:CAB65550 CJR65550:CJX65550 CTN65550:CTT65550 DDJ65550:DDP65550 DNF65550:DNL65550 DXB65550:DXH65550 EGX65550:EHD65550 EQT65550:EQZ65550 FAP65550:FAV65550 FKL65550:FKR65550 FUH65550:FUN65550 GED65550:GEJ65550 GNZ65550:GOF65550 GXV65550:GYB65550 HHR65550:HHX65550 HRN65550:HRT65550 IBJ65550:IBP65550 ILF65550:ILL65550 IVB65550:IVH65550 JEX65550:JFD65550 JOT65550:JOZ65550 JYP65550:JYV65550 KIL65550:KIR65550 KSH65550:KSN65550 LCD65550:LCJ65550 LLZ65550:LMF65550 LVV65550:LWB65550 MFR65550:MFX65550 MPN65550:MPT65550 MZJ65550:MZP65550 NJF65550:NJL65550 NTB65550:NTH65550 OCX65550:ODD65550 OMT65550:OMZ65550 OWP65550:OWV65550 PGL65550:PGR65550 PQH65550:PQN65550 QAD65550:QAJ65550 QJZ65550:QKF65550 QTV65550:QUB65550 RDR65550:RDX65550 RNN65550:RNT65550 RXJ65550:RXP65550 SHF65550:SHL65550 SRB65550:SRH65550 TAX65550:TBD65550 TKT65550:TKZ65550 TUP65550:TUV65550 UEL65550:UER65550 UOH65550:UON65550 UYD65550:UYJ65550 VHZ65550:VIF65550 VRV65550:VSB65550 WBR65550:WBX65550 WLN65550:WLT65550 WVJ65550:WVP65550 B131086:H131086 IX131086:JD131086 ST131086:SZ131086 ACP131086:ACV131086 AML131086:AMR131086 AWH131086:AWN131086 BGD131086:BGJ131086 BPZ131086:BQF131086 BZV131086:CAB131086 CJR131086:CJX131086 CTN131086:CTT131086 DDJ131086:DDP131086 DNF131086:DNL131086 DXB131086:DXH131086 EGX131086:EHD131086 EQT131086:EQZ131086 FAP131086:FAV131086 FKL131086:FKR131086 FUH131086:FUN131086 GED131086:GEJ131086 GNZ131086:GOF131086 GXV131086:GYB131086 HHR131086:HHX131086 HRN131086:HRT131086 IBJ131086:IBP131086 ILF131086:ILL131086 IVB131086:IVH131086 JEX131086:JFD131086 JOT131086:JOZ131086 JYP131086:JYV131086 KIL131086:KIR131086 KSH131086:KSN131086 LCD131086:LCJ131086 LLZ131086:LMF131086 LVV131086:LWB131086 MFR131086:MFX131086 MPN131086:MPT131086 MZJ131086:MZP131086 NJF131086:NJL131086 NTB131086:NTH131086 OCX131086:ODD131086 OMT131086:OMZ131086 OWP131086:OWV131086 PGL131086:PGR131086 PQH131086:PQN131086 QAD131086:QAJ131086 QJZ131086:QKF131086 QTV131086:QUB131086 RDR131086:RDX131086 RNN131086:RNT131086 RXJ131086:RXP131086 SHF131086:SHL131086 SRB131086:SRH131086 TAX131086:TBD131086 TKT131086:TKZ131086 TUP131086:TUV131086 UEL131086:UER131086 UOH131086:UON131086 UYD131086:UYJ131086 VHZ131086:VIF131086 VRV131086:VSB131086 WBR131086:WBX131086 WLN131086:WLT131086 WVJ131086:WVP131086 B196622:H196622 IX196622:JD196622 ST196622:SZ196622 ACP196622:ACV196622 AML196622:AMR196622 AWH196622:AWN196622 BGD196622:BGJ196622 BPZ196622:BQF196622 BZV196622:CAB196622 CJR196622:CJX196622 CTN196622:CTT196622 DDJ196622:DDP196622 DNF196622:DNL196622 DXB196622:DXH196622 EGX196622:EHD196622 EQT196622:EQZ196622 FAP196622:FAV196622 FKL196622:FKR196622 FUH196622:FUN196622 GED196622:GEJ196622 GNZ196622:GOF196622 GXV196622:GYB196622 HHR196622:HHX196622 HRN196622:HRT196622 IBJ196622:IBP196622 ILF196622:ILL196622 IVB196622:IVH196622 JEX196622:JFD196622 JOT196622:JOZ196622 JYP196622:JYV196622 KIL196622:KIR196622 KSH196622:KSN196622 LCD196622:LCJ196622 LLZ196622:LMF196622 LVV196622:LWB196622 MFR196622:MFX196622 MPN196622:MPT196622 MZJ196622:MZP196622 NJF196622:NJL196622 NTB196622:NTH196622 OCX196622:ODD196622 OMT196622:OMZ196622 OWP196622:OWV196622 PGL196622:PGR196622 PQH196622:PQN196622 QAD196622:QAJ196622 QJZ196622:QKF196622 QTV196622:QUB196622 RDR196622:RDX196622 RNN196622:RNT196622 RXJ196622:RXP196622 SHF196622:SHL196622 SRB196622:SRH196622 TAX196622:TBD196622 TKT196622:TKZ196622 TUP196622:TUV196622 UEL196622:UER196622 UOH196622:UON196622 UYD196622:UYJ196622 VHZ196622:VIF196622 VRV196622:VSB196622 WBR196622:WBX196622 WLN196622:WLT196622 WVJ196622:WVP196622 B262158:H262158 IX262158:JD262158 ST262158:SZ262158 ACP262158:ACV262158 AML262158:AMR262158 AWH262158:AWN262158 BGD262158:BGJ262158 BPZ262158:BQF262158 BZV262158:CAB262158 CJR262158:CJX262158 CTN262158:CTT262158 DDJ262158:DDP262158 DNF262158:DNL262158 DXB262158:DXH262158 EGX262158:EHD262158 EQT262158:EQZ262158 FAP262158:FAV262158 FKL262158:FKR262158 FUH262158:FUN262158 GED262158:GEJ262158 GNZ262158:GOF262158 GXV262158:GYB262158 HHR262158:HHX262158 HRN262158:HRT262158 IBJ262158:IBP262158 ILF262158:ILL262158 IVB262158:IVH262158 JEX262158:JFD262158 JOT262158:JOZ262158 JYP262158:JYV262158 KIL262158:KIR262158 KSH262158:KSN262158 LCD262158:LCJ262158 LLZ262158:LMF262158 LVV262158:LWB262158 MFR262158:MFX262158 MPN262158:MPT262158 MZJ262158:MZP262158 NJF262158:NJL262158 NTB262158:NTH262158 OCX262158:ODD262158 OMT262158:OMZ262158 OWP262158:OWV262158 PGL262158:PGR262158 PQH262158:PQN262158 QAD262158:QAJ262158 QJZ262158:QKF262158 QTV262158:QUB262158 RDR262158:RDX262158 RNN262158:RNT262158 RXJ262158:RXP262158 SHF262158:SHL262158 SRB262158:SRH262158 TAX262158:TBD262158 TKT262158:TKZ262158 TUP262158:TUV262158 UEL262158:UER262158 UOH262158:UON262158 UYD262158:UYJ262158 VHZ262158:VIF262158 VRV262158:VSB262158 WBR262158:WBX262158 WLN262158:WLT262158 WVJ262158:WVP262158 B327694:H327694 IX327694:JD327694 ST327694:SZ327694 ACP327694:ACV327694 AML327694:AMR327694 AWH327694:AWN327694 BGD327694:BGJ327694 BPZ327694:BQF327694 BZV327694:CAB327694 CJR327694:CJX327694 CTN327694:CTT327694 DDJ327694:DDP327694 DNF327694:DNL327694 DXB327694:DXH327694 EGX327694:EHD327694 EQT327694:EQZ327694 FAP327694:FAV327694 FKL327694:FKR327694 FUH327694:FUN327694 GED327694:GEJ327694 GNZ327694:GOF327694 GXV327694:GYB327694 HHR327694:HHX327694 HRN327694:HRT327694 IBJ327694:IBP327694 ILF327694:ILL327694 IVB327694:IVH327694 JEX327694:JFD327694 JOT327694:JOZ327694 JYP327694:JYV327694 KIL327694:KIR327694 KSH327694:KSN327694 LCD327694:LCJ327694 LLZ327694:LMF327694 LVV327694:LWB327694 MFR327694:MFX327694 MPN327694:MPT327694 MZJ327694:MZP327694 NJF327694:NJL327694 NTB327694:NTH327694 OCX327694:ODD327694 OMT327694:OMZ327694 OWP327694:OWV327694 PGL327694:PGR327694 PQH327694:PQN327694 QAD327694:QAJ327694 QJZ327694:QKF327694 QTV327694:QUB327694 RDR327694:RDX327694 RNN327694:RNT327694 RXJ327694:RXP327694 SHF327694:SHL327694 SRB327694:SRH327694 TAX327694:TBD327694 TKT327694:TKZ327694 TUP327694:TUV327694 UEL327694:UER327694 UOH327694:UON327694 UYD327694:UYJ327694 VHZ327694:VIF327694 VRV327694:VSB327694 WBR327694:WBX327694 WLN327694:WLT327694 WVJ327694:WVP327694 B393230:H393230 IX393230:JD393230 ST393230:SZ393230 ACP393230:ACV393230 AML393230:AMR393230 AWH393230:AWN393230 BGD393230:BGJ393230 BPZ393230:BQF393230 BZV393230:CAB393230 CJR393230:CJX393230 CTN393230:CTT393230 DDJ393230:DDP393230 DNF393230:DNL393230 DXB393230:DXH393230 EGX393230:EHD393230 EQT393230:EQZ393230 FAP393230:FAV393230 FKL393230:FKR393230 FUH393230:FUN393230 GED393230:GEJ393230 GNZ393230:GOF393230 GXV393230:GYB393230 HHR393230:HHX393230 HRN393230:HRT393230 IBJ393230:IBP393230 ILF393230:ILL393230 IVB393230:IVH393230 JEX393230:JFD393230 JOT393230:JOZ393230 JYP393230:JYV393230 KIL393230:KIR393230 KSH393230:KSN393230 LCD393230:LCJ393230 LLZ393230:LMF393230 LVV393230:LWB393230 MFR393230:MFX393230 MPN393230:MPT393230 MZJ393230:MZP393230 NJF393230:NJL393230 NTB393230:NTH393230 OCX393230:ODD393230 OMT393230:OMZ393230 OWP393230:OWV393230 PGL393230:PGR393230 PQH393230:PQN393230 QAD393230:QAJ393230 QJZ393230:QKF393230 QTV393230:QUB393230 RDR393230:RDX393230 RNN393230:RNT393230 RXJ393230:RXP393230 SHF393230:SHL393230 SRB393230:SRH393230 TAX393230:TBD393230 TKT393230:TKZ393230 TUP393230:TUV393230 UEL393230:UER393230 UOH393230:UON393230 UYD393230:UYJ393230 VHZ393230:VIF393230 VRV393230:VSB393230 WBR393230:WBX393230 WLN393230:WLT393230 WVJ393230:WVP393230 B458766:H458766 IX458766:JD458766 ST458766:SZ458766 ACP458766:ACV458766 AML458766:AMR458766 AWH458766:AWN458766 BGD458766:BGJ458766 BPZ458766:BQF458766 BZV458766:CAB458766 CJR458766:CJX458766 CTN458766:CTT458766 DDJ458766:DDP458766 DNF458766:DNL458766 DXB458766:DXH458766 EGX458766:EHD458766 EQT458766:EQZ458766 FAP458766:FAV458766 FKL458766:FKR458766 FUH458766:FUN458766 GED458766:GEJ458766 GNZ458766:GOF458766 GXV458766:GYB458766 HHR458766:HHX458766 HRN458766:HRT458766 IBJ458766:IBP458766 ILF458766:ILL458766 IVB458766:IVH458766 JEX458766:JFD458766 JOT458766:JOZ458766 JYP458766:JYV458766 KIL458766:KIR458766 KSH458766:KSN458766 LCD458766:LCJ458766 LLZ458766:LMF458766 LVV458766:LWB458766 MFR458766:MFX458766 MPN458766:MPT458766 MZJ458766:MZP458766 NJF458766:NJL458766 NTB458766:NTH458766 OCX458766:ODD458766 OMT458766:OMZ458766 OWP458766:OWV458766 PGL458766:PGR458766 PQH458766:PQN458766 QAD458766:QAJ458766 QJZ458766:QKF458766 QTV458766:QUB458766 RDR458766:RDX458766 RNN458766:RNT458766 RXJ458766:RXP458766 SHF458766:SHL458766 SRB458766:SRH458766 TAX458766:TBD458766 TKT458766:TKZ458766 TUP458766:TUV458766 UEL458766:UER458766 UOH458766:UON458766 UYD458766:UYJ458766 VHZ458766:VIF458766 VRV458766:VSB458766 WBR458766:WBX458766 WLN458766:WLT458766 WVJ458766:WVP458766 B524302:H524302 IX524302:JD524302 ST524302:SZ524302 ACP524302:ACV524302 AML524302:AMR524302 AWH524302:AWN524302 BGD524302:BGJ524302 BPZ524302:BQF524302 BZV524302:CAB524302 CJR524302:CJX524302 CTN524302:CTT524302 DDJ524302:DDP524302 DNF524302:DNL524302 DXB524302:DXH524302 EGX524302:EHD524302 EQT524302:EQZ524302 FAP524302:FAV524302 FKL524302:FKR524302 FUH524302:FUN524302 GED524302:GEJ524302 GNZ524302:GOF524302 GXV524302:GYB524302 HHR524302:HHX524302 HRN524302:HRT524302 IBJ524302:IBP524302 ILF524302:ILL524302 IVB524302:IVH524302 JEX524302:JFD524302 JOT524302:JOZ524302 JYP524302:JYV524302 KIL524302:KIR524302 KSH524302:KSN524302 LCD524302:LCJ524302 LLZ524302:LMF524302 LVV524302:LWB524302 MFR524302:MFX524302 MPN524302:MPT524302 MZJ524302:MZP524302 NJF524302:NJL524302 NTB524302:NTH524302 OCX524302:ODD524302 OMT524302:OMZ524302 OWP524302:OWV524302 PGL524302:PGR524302 PQH524302:PQN524302 QAD524302:QAJ524302 QJZ524302:QKF524302 QTV524302:QUB524302 RDR524302:RDX524302 RNN524302:RNT524302 RXJ524302:RXP524302 SHF524302:SHL524302 SRB524302:SRH524302 TAX524302:TBD524302 TKT524302:TKZ524302 TUP524302:TUV524302 UEL524302:UER524302 UOH524302:UON524302 UYD524302:UYJ524302 VHZ524302:VIF524302 VRV524302:VSB524302 WBR524302:WBX524302 WLN524302:WLT524302 WVJ524302:WVP524302 B589838:H589838 IX589838:JD589838 ST589838:SZ589838 ACP589838:ACV589838 AML589838:AMR589838 AWH589838:AWN589838 BGD589838:BGJ589838 BPZ589838:BQF589838 BZV589838:CAB589838 CJR589838:CJX589838 CTN589838:CTT589838 DDJ589838:DDP589838 DNF589838:DNL589838 DXB589838:DXH589838 EGX589838:EHD589838 EQT589838:EQZ589838 FAP589838:FAV589838 FKL589838:FKR589838 FUH589838:FUN589838 GED589838:GEJ589838 GNZ589838:GOF589838 GXV589838:GYB589838 HHR589838:HHX589838 HRN589838:HRT589838 IBJ589838:IBP589838 ILF589838:ILL589838 IVB589838:IVH589838 JEX589838:JFD589838 JOT589838:JOZ589838 JYP589838:JYV589838 KIL589838:KIR589838 KSH589838:KSN589838 LCD589838:LCJ589838 LLZ589838:LMF589838 LVV589838:LWB589838 MFR589838:MFX589838 MPN589838:MPT589838 MZJ589838:MZP589838 NJF589838:NJL589838 NTB589838:NTH589838 OCX589838:ODD589838 OMT589838:OMZ589838 OWP589838:OWV589838 PGL589838:PGR589838 PQH589838:PQN589838 QAD589838:QAJ589838 QJZ589838:QKF589838 QTV589838:QUB589838 RDR589838:RDX589838 RNN589838:RNT589838 RXJ589838:RXP589838 SHF589838:SHL589838 SRB589838:SRH589838 TAX589838:TBD589838 TKT589838:TKZ589838 TUP589838:TUV589838 UEL589838:UER589838 UOH589838:UON589838 UYD589838:UYJ589838 VHZ589838:VIF589838 VRV589838:VSB589838 WBR589838:WBX589838 WLN589838:WLT589838 WVJ589838:WVP589838 B655374:H655374 IX655374:JD655374 ST655374:SZ655374 ACP655374:ACV655374 AML655374:AMR655374 AWH655374:AWN655374 BGD655374:BGJ655374 BPZ655374:BQF655374 BZV655374:CAB655374 CJR655374:CJX655374 CTN655374:CTT655374 DDJ655374:DDP655374 DNF655374:DNL655374 DXB655374:DXH655374 EGX655374:EHD655374 EQT655374:EQZ655374 FAP655374:FAV655374 FKL655374:FKR655374 FUH655374:FUN655374 GED655374:GEJ655374 GNZ655374:GOF655374 GXV655374:GYB655374 HHR655374:HHX655374 HRN655374:HRT655374 IBJ655374:IBP655374 ILF655374:ILL655374 IVB655374:IVH655374 JEX655374:JFD655374 JOT655374:JOZ655374 JYP655374:JYV655374 KIL655374:KIR655374 KSH655374:KSN655374 LCD655374:LCJ655374 LLZ655374:LMF655374 LVV655374:LWB655374 MFR655374:MFX655374 MPN655374:MPT655374 MZJ655374:MZP655374 NJF655374:NJL655374 NTB655374:NTH655374 OCX655374:ODD655374 OMT655374:OMZ655374 OWP655374:OWV655374 PGL655374:PGR655374 PQH655374:PQN655374 QAD655374:QAJ655374 QJZ655374:QKF655374 QTV655374:QUB655374 RDR655374:RDX655374 RNN655374:RNT655374 RXJ655374:RXP655374 SHF655374:SHL655374 SRB655374:SRH655374 TAX655374:TBD655374 TKT655374:TKZ655374 TUP655374:TUV655374 UEL655374:UER655374 UOH655374:UON655374 UYD655374:UYJ655374 VHZ655374:VIF655374 VRV655374:VSB655374 WBR655374:WBX655374 WLN655374:WLT655374 WVJ655374:WVP655374 B720910:H720910 IX720910:JD720910 ST720910:SZ720910 ACP720910:ACV720910 AML720910:AMR720910 AWH720910:AWN720910 BGD720910:BGJ720910 BPZ720910:BQF720910 BZV720910:CAB720910 CJR720910:CJX720910 CTN720910:CTT720910 DDJ720910:DDP720910 DNF720910:DNL720910 DXB720910:DXH720910 EGX720910:EHD720910 EQT720910:EQZ720910 FAP720910:FAV720910 FKL720910:FKR720910 FUH720910:FUN720910 GED720910:GEJ720910 GNZ720910:GOF720910 GXV720910:GYB720910 HHR720910:HHX720910 HRN720910:HRT720910 IBJ720910:IBP720910 ILF720910:ILL720910 IVB720910:IVH720910 JEX720910:JFD720910 JOT720910:JOZ720910 JYP720910:JYV720910 KIL720910:KIR720910 KSH720910:KSN720910 LCD720910:LCJ720910 LLZ720910:LMF720910 LVV720910:LWB720910 MFR720910:MFX720910 MPN720910:MPT720910 MZJ720910:MZP720910 NJF720910:NJL720910 NTB720910:NTH720910 OCX720910:ODD720910 OMT720910:OMZ720910 OWP720910:OWV720910 PGL720910:PGR720910 PQH720910:PQN720910 QAD720910:QAJ720910 QJZ720910:QKF720910 QTV720910:QUB720910 RDR720910:RDX720910 RNN720910:RNT720910 RXJ720910:RXP720910 SHF720910:SHL720910 SRB720910:SRH720910 TAX720910:TBD720910 TKT720910:TKZ720910 TUP720910:TUV720910 UEL720910:UER720910 UOH720910:UON720910 UYD720910:UYJ720910 VHZ720910:VIF720910 VRV720910:VSB720910 WBR720910:WBX720910 WLN720910:WLT720910 WVJ720910:WVP720910 B786446:H786446 IX786446:JD786446 ST786446:SZ786446 ACP786446:ACV786446 AML786446:AMR786446 AWH786446:AWN786446 BGD786446:BGJ786446 BPZ786446:BQF786446 BZV786446:CAB786446 CJR786446:CJX786446 CTN786446:CTT786446 DDJ786446:DDP786446 DNF786446:DNL786446 DXB786446:DXH786446 EGX786446:EHD786446 EQT786446:EQZ786446 FAP786446:FAV786446 FKL786446:FKR786446 FUH786446:FUN786446 GED786446:GEJ786446 GNZ786446:GOF786446 GXV786446:GYB786446 HHR786446:HHX786446 HRN786446:HRT786446 IBJ786446:IBP786446 ILF786446:ILL786446 IVB786446:IVH786446 JEX786446:JFD786446 JOT786446:JOZ786446 JYP786446:JYV786446 KIL786446:KIR786446 KSH786446:KSN786446 LCD786446:LCJ786446 LLZ786446:LMF786446 LVV786446:LWB786446 MFR786446:MFX786446 MPN786446:MPT786446 MZJ786446:MZP786446 NJF786446:NJL786446 NTB786446:NTH786446 OCX786446:ODD786446 OMT786446:OMZ786446 OWP786446:OWV786446 PGL786446:PGR786446 PQH786446:PQN786446 QAD786446:QAJ786446 QJZ786446:QKF786446 QTV786446:QUB786446 RDR786446:RDX786446 RNN786446:RNT786446 RXJ786446:RXP786446 SHF786446:SHL786446 SRB786446:SRH786446 TAX786446:TBD786446 TKT786446:TKZ786446 TUP786446:TUV786446 UEL786446:UER786446 UOH786446:UON786446 UYD786446:UYJ786446 VHZ786446:VIF786446 VRV786446:VSB786446 WBR786446:WBX786446 WLN786446:WLT786446 WVJ786446:WVP786446 B851982:H851982 IX851982:JD851982 ST851982:SZ851982 ACP851982:ACV851982 AML851982:AMR851982 AWH851982:AWN851982 BGD851982:BGJ851982 BPZ851982:BQF851982 BZV851982:CAB851982 CJR851982:CJX851982 CTN851982:CTT851982 DDJ851982:DDP851982 DNF851982:DNL851982 DXB851982:DXH851982 EGX851982:EHD851982 EQT851982:EQZ851982 FAP851982:FAV851982 FKL851982:FKR851982 FUH851982:FUN851982 GED851982:GEJ851982 GNZ851982:GOF851982 GXV851982:GYB851982 HHR851982:HHX851982 HRN851982:HRT851982 IBJ851982:IBP851982 ILF851982:ILL851982 IVB851982:IVH851982 JEX851982:JFD851982 JOT851982:JOZ851982 JYP851982:JYV851982 KIL851982:KIR851982 KSH851982:KSN851982 LCD851982:LCJ851982 LLZ851982:LMF851982 LVV851982:LWB851982 MFR851982:MFX851982 MPN851982:MPT851982 MZJ851982:MZP851982 NJF851982:NJL851982 NTB851982:NTH851982 OCX851982:ODD851982 OMT851982:OMZ851982 OWP851982:OWV851982 PGL851982:PGR851982 PQH851982:PQN851982 QAD851982:QAJ851982 QJZ851982:QKF851982 QTV851982:QUB851982 RDR851982:RDX851982 RNN851982:RNT851982 RXJ851982:RXP851982 SHF851982:SHL851982 SRB851982:SRH851982 TAX851982:TBD851982 TKT851982:TKZ851982 TUP851982:TUV851982 UEL851982:UER851982 UOH851982:UON851982 UYD851982:UYJ851982 VHZ851982:VIF851982 VRV851982:VSB851982 WBR851982:WBX851982 WLN851982:WLT851982 WVJ851982:WVP851982 B917518:H917518 IX917518:JD917518 ST917518:SZ917518 ACP917518:ACV917518 AML917518:AMR917518 AWH917518:AWN917518 BGD917518:BGJ917518 BPZ917518:BQF917518 BZV917518:CAB917518 CJR917518:CJX917518 CTN917518:CTT917518 DDJ917518:DDP917518 DNF917518:DNL917518 DXB917518:DXH917518 EGX917518:EHD917518 EQT917518:EQZ917518 FAP917518:FAV917518 FKL917518:FKR917518 FUH917518:FUN917518 GED917518:GEJ917518 GNZ917518:GOF917518 GXV917518:GYB917518 HHR917518:HHX917518 HRN917518:HRT917518 IBJ917518:IBP917518 ILF917518:ILL917518 IVB917518:IVH917518 JEX917518:JFD917518 JOT917518:JOZ917518 JYP917518:JYV917518 KIL917518:KIR917518 KSH917518:KSN917518 LCD917518:LCJ917518 LLZ917518:LMF917518 LVV917518:LWB917518 MFR917518:MFX917518 MPN917518:MPT917518 MZJ917518:MZP917518 NJF917518:NJL917518 NTB917518:NTH917518 OCX917518:ODD917518 OMT917518:OMZ917518 OWP917518:OWV917518 PGL917518:PGR917518 PQH917518:PQN917518 QAD917518:QAJ917518 QJZ917518:QKF917518 QTV917518:QUB917518 RDR917518:RDX917518 RNN917518:RNT917518 RXJ917518:RXP917518 SHF917518:SHL917518 SRB917518:SRH917518 TAX917518:TBD917518 TKT917518:TKZ917518 TUP917518:TUV917518 UEL917518:UER917518 UOH917518:UON917518 UYD917518:UYJ917518 VHZ917518:VIF917518 VRV917518:VSB917518 WBR917518:WBX917518 WLN917518:WLT917518 WVJ917518:WVP917518 B983054:H983054 IX983054:JD983054 ST983054:SZ983054 ACP983054:ACV983054 AML983054:AMR983054 AWH983054:AWN983054 BGD983054:BGJ983054 BPZ983054:BQF983054 BZV983054:CAB983054 CJR983054:CJX983054 CTN983054:CTT983054 DDJ983054:DDP983054 DNF983054:DNL983054 DXB983054:DXH983054 EGX983054:EHD983054 EQT983054:EQZ983054 FAP983054:FAV983054 FKL983054:FKR983054 FUH983054:FUN983054 GED983054:GEJ983054 GNZ983054:GOF983054 GXV983054:GYB983054 HHR983054:HHX983054 HRN983054:HRT983054 IBJ983054:IBP983054 ILF983054:ILL983054 IVB983054:IVH983054 JEX983054:JFD983054 JOT983054:JOZ983054 JYP983054:JYV983054 KIL983054:KIR983054 KSH983054:KSN983054 LCD983054:LCJ983054 LLZ983054:LMF983054 LVV983054:LWB983054 MFR983054:MFX983054 MPN983054:MPT983054 MZJ983054:MZP983054 NJF983054:NJL983054 NTB983054:NTH983054 OCX983054:ODD983054 OMT983054:OMZ983054 OWP983054:OWV983054 PGL983054:PGR983054 PQH983054:PQN983054 QAD983054:QAJ983054 QJZ983054:QKF983054 QTV983054:QUB983054 RDR983054:RDX983054 RNN983054:RNT983054 RXJ983054:RXP983054 SHF983054:SHL983054 SRB983054:SRH983054 TAX983054:TBD983054 TKT983054:TKZ983054 TUP983054:TUV983054 UEL983054:UER983054 UOH983054:UON983054 UYD983054:UYJ983054 VHZ983054:VIF983054 VRV983054:VSB983054 WBR983054:WBX983054 WLN983054:WLT983054 WVJ983054:WVP983054 K38:L38 JG38:JH38 TC38:TD38 ACY38:ACZ38 AMU38:AMV38 AWQ38:AWR38 BGM38:BGN38 BQI38:BQJ38 CAE38:CAF38 CKA38:CKB38 CTW38:CTX38 DDS38:DDT38 DNO38:DNP38 DXK38:DXL38 EHG38:EHH38 ERC38:ERD38 FAY38:FAZ38 FKU38:FKV38 FUQ38:FUR38 GEM38:GEN38 GOI38:GOJ38 GYE38:GYF38 HIA38:HIB38 HRW38:HRX38 IBS38:IBT38 ILO38:ILP38 IVK38:IVL38 JFG38:JFH38 JPC38:JPD38 JYY38:JYZ38 KIU38:KIV38 KSQ38:KSR38 LCM38:LCN38 LMI38:LMJ38 LWE38:LWF38 MGA38:MGB38 MPW38:MPX38 MZS38:MZT38 NJO38:NJP38 NTK38:NTL38 ODG38:ODH38 ONC38:OND38 OWY38:OWZ38 PGU38:PGV38 PQQ38:PQR38 QAM38:QAN38 QKI38:QKJ38 QUE38:QUF38 REA38:REB38 RNW38:RNX38 RXS38:RXT38 SHO38:SHP38 SRK38:SRL38 TBG38:TBH38 TLC38:TLD38 TUY38:TUZ38 UEU38:UEV38 UOQ38:UOR38 UYM38:UYN38 VII38:VIJ38 VSE38:VSF38 WCA38:WCB38 WLW38:WLX38 WVS38:WVT38 K65574:L65574 JG65574:JH65574 TC65574:TD65574 ACY65574:ACZ65574 AMU65574:AMV65574 AWQ65574:AWR65574 BGM65574:BGN65574 BQI65574:BQJ65574 CAE65574:CAF65574 CKA65574:CKB65574 CTW65574:CTX65574 DDS65574:DDT65574 DNO65574:DNP65574 DXK65574:DXL65574 EHG65574:EHH65574 ERC65574:ERD65574 FAY65574:FAZ65574 FKU65574:FKV65574 FUQ65574:FUR65574 GEM65574:GEN65574 GOI65574:GOJ65574 GYE65574:GYF65574 HIA65574:HIB65574 HRW65574:HRX65574 IBS65574:IBT65574 ILO65574:ILP65574 IVK65574:IVL65574 JFG65574:JFH65574 JPC65574:JPD65574 JYY65574:JYZ65574 KIU65574:KIV65574 KSQ65574:KSR65574 LCM65574:LCN65574 LMI65574:LMJ65574 LWE65574:LWF65574 MGA65574:MGB65574 MPW65574:MPX65574 MZS65574:MZT65574 NJO65574:NJP65574 NTK65574:NTL65574 ODG65574:ODH65574 ONC65574:OND65574 OWY65574:OWZ65574 PGU65574:PGV65574 PQQ65574:PQR65574 QAM65574:QAN65574 QKI65574:QKJ65574 QUE65574:QUF65574 REA65574:REB65574 RNW65574:RNX65574 RXS65574:RXT65574 SHO65574:SHP65574 SRK65574:SRL65574 TBG65574:TBH65574 TLC65574:TLD65574 TUY65574:TUZ65574 UEU65574:UEV65574 UOQ65574:UOR65574 UYM65574:UYN65574 VII65574:VIJ65574 VSE65574:VSF65574 WCA65574:WCB65574 WLW65574:WLX65574 WVS65574:WVT65574 K131110:L131110 JG131110:JH131110 TC131110:TD131110 ACY131110:ACZ131110 AMU131110:AMV131110 AWQ131110:AWR131110 BGM131110:BGN131110 BQI131110:BQJ131110 CAE131110:CAF131110 CKA131110:CKB131110 CTW131110:CTX131110 DDS131110:DDT131110 DNO131110:DNP131110 DXK131110:DXL131110 EHG131110:EHH131110 ERC131110:ERD131110 FAY131110:FAZ131110 FKU131110:FKV131110 FUQ131110:FUR131110 GEM131110:GEN131110 GOI131110:GOJ131110 GYE131110:GYF131110 HIA131110:HIB131110 HRW131110:HRX131110 IBS131110:IBT131110 ILO131110:ILP131110 IVK131110:IVL131110 JFG131110:JFH131110 JPC131110:JPD131110 JYY131110:JYZ131110 KIU131110:KIV131110 KSQ131110:KSR131110 LCM131110:LCN131110 LMI131110:LMJ131110 LWE131110:LWF131110 MGA131110:MGB131110 MPW131110:MPX131110 MZS131110:MZT131110 NJO131110:NJP131110 NTK131110:NTL131110 ODG131110:ODH131110 ONC131110:OND131110 OWY131110:OWZ131110 PGU131110:PGV131110 PQQ131110:PQR131110 QAM131110:QAN131110 QKI131110:QKJ131110 QUE131110:QUF131110 REA131110:REB131110 RNW131110:RNX131110 RXS131110:RXT131110 SHO131110:SHP131110 SRK131110:SRL131110 TBG131110:TBH131110 TLC131110:TLD131110 TUY131110:TUZ131110 UEU131110:UEV131110 UOQ131110:UOR131110 UYM131110:UYN131110 VII131110:VIJ131110 VSE131110:VSF131110 WCA131110:WCB131110 WLW131110:WLX131110 WVS131110:WVT131110 K196646:L196646 JG196646:JH196646 TC196646:TD196646 ACY196646:ACZ196646 AMU196646:AMV196646 AWQ196646:AWR196646 BGM196646:BGN196646 BQI196646:BQJ196646 CAE196646:CAF196646 CKA196646:CKB196646 CTW196646:CTX196646 DDS196646:DDT196646 DNO196646:DNP196646 DXK196646:DXL196646 EHG196646:EHH196646 ERC196646:ERD196646 FAY196646:FAZ196646 FKU196646:FKV196646 FUQ196646:FUR196646 GEM196646:GEN196646 GOI196646:GOJ196646 GYE196646:GYF196646 HIA196646:HIB196646 HRW196646:HRX196646 IBS196646:IBT196646 ILO196646:ILP196646 IVK196646:IVL196646 JFG196646:JFH196646 JPC196646:JPD196646 JYY196646:JYZ196646 KIU196646:KIV196646 KSQ196646:KSR196646 LCM196646:LCN196646 LMI196646:LMJ196646 LWE196646:LWF196646 MGA196646:MGB196646 MPW196646:MPX196646 MZS196646:MZT196646 NJO196646:NJP196646 NTK196646:NTL196646 ODG196646:ODH196646 ONC196646:OND196646 OWY196646:OWZ196646 PGU196646:PGV196646 PQQ196646:PQR196646 QAM196646:QAN196646 QKI196646:QKJ196646 QUE196646:QUF196646 REA196646:REB196646 RNW196646:RNX196646 RXS196646:RXT196646 SHO196646:SHP196646 SRK196646:SRL196646 TBG196646:TBH196646 TLC196646:TLD196646 TUY196646:TUZ196646 UEU196646:UEV196646 UOQ196646:UOR196646 UYM196646:UYN196646 VII196646:VIJ196646 VSE196646:VSF196646 WCA196646:WCB196646 WLW196646:WLX196646 WVS196646:WVT196646 K262182:L262182 JG262182:JH262182 TC262182:TD262182 ACY262182:ACZ262182 AMU262182:AMV262182 AWQ262182:AWR262182 BGM262182:BGN262182 BQI262182:BQJ262182 CAE262182:CAF262182 CKA262182:CKB262182 CTW262182:CTX262182 DDS262182:DDT262182 DNO262182:DNP262182 DXK262182:DXL262182 EHG262182:EHH262182 ERC262182:ERD262182 FAY262182:FAZ262182 FKU262182:FKV262182 FUQ262182:FUR262182 GEM262182:GEN262182 GOI262182:GOJ262182 GYE262182:GYF262182 HIA262182:HIB262182 HRW262182:HRX262182 IBS262182:IBT262182 ILO262182:ILP262182 IVK262182:IVL262182 JFG262182:JFH262182 JPC262182:JPD262182 JYY262182:JYZ262182 KIU262182:KIV262182 KSQ262182:KSR262182 LCM262182:LCN262182 LMI262182:LMJ262182 LWE262182:LWF262182 MGA262182:MGB262182 MPW262182:MPX262182 MZS262182:MZT262182 NJO262182:NJP262182 NTK262182:NTL262182 ODG262182:ODH262182 ONC262182:OND262182 OWY262182:OWZ262182 PGU262182:PGV262182 PQQ262182:PQR262182 QAM262182:QAN262182 QKI262182:QKJ262182 QUE262182:QUF262182 REA262182:REB262182 RNW262182:RNX262182 RXS262182:RXT262182 SHO262182:SHP262182 SRK262182:SRL262182 TBG262182:TBH262182 TLC262182:TLD262182 TUY262182:TUZ262182 UEU262182:UEV262182 UOQ262182:UOR262182 UYM262182:UYN262182 VII262182:VIJ262182 VSE262182:VSF262182 WCA262182:WCB262182 WLW262182:WLX262182 WVS262182:WVT262182 K327718:L327718 JG327718:JH327718 TC327718:TD327718 ACY327718:ACZ327718 AMU327718:AMV327718 AWQ327718:AWR327718 BGM327718:BGN327718 BQI327718:BQJ327718 CAE327718:CAF327718 CKA327718:CKB327718 CTW327718:CTX327718 DDS327718:DDT327718 DNO327718:DNP327718 DXK327718:DXL327718 EHG327718:EHH327718 ERC327718:ERD327718 FAY327718:FAZ327718 FKU327718:FKV327718 FUQ327718:FUR327718 GEM327718:GEN327718 GOI327718:GOJ327718 GYE327718:GYF327718 HIA327718:HIB327718 HRW327718:HRX327718 IBS327718:IBT327718 ILO327718:ILP327718 IVK327718:IVL327718 JFG327718:JFH327718 JPC327718:JPD327718 JYY327718:JYZ327718 KIU327718:KIV327718 KSQ327718:KSR327718 LCM327718:LCN327718 LMI327718:LMJ327718 LWE327718:LWF327718 MGA327718:MGB327718 MPW327718:MPX327718 MZS327718:MZT327718 NJO327718:NJP327718 NTK327718:NTL327718 ODG327718:ODH327718 ONC327718:OND327718 OWY327718:OWZ327718 PGU327718:PGV327718 PQQ327718:PQR327718 QAM327718:QAN327718 QKI327718:QKJ327718 QUE327718:QUF327718 REA327718:REB327718 RNW327718:RNX327718 RXS327718:RXT327718 SHO327718:SHP327718 SRK327718:SRL327718 TBG327718:TBH327718 TLC327718:TLD327718 TUY327718:TUZ327718 UEU327718:UEV327718 UOQ327718:UOR327718 UYM327718:UYN327718 VII327718:VIJ327718 VSE327718:VSF327718 WCA327718:WCB327718 WLW327718:WLX327718 WVS327718:WVT327718 K393254:L393254 JG393254:JH393254 TC393254:TD393254 ACY393254:ACZ393254 AMU393254:AMV393254 AWQ393254:AWR393254 BGM393254:BGN393254 BQI393254:BQJ393254 CAE393254:CAF393254 CKA393254:CKB393254 CTW393254:CTX393254 DDS393254:DDT393254 DNO393254:DNP393254 DXK393254:DXL393254 EHG393254:EHH393254 ERC393254:ERD393254 FAY393254:FAZ393254 FKU393254:FKV393254 FUQ393254:FUR393254 GEM393254:GEN393254 GOI393254:GOJ393254 GYE393254:GYF393254 HIA393254:HIB393254 HRW393254:HRX393254 IBS393254:IBT393254 ILO393254:ILP393254 IVK393254:IVL393254 JFG393254:JFH393254 JPC393254:JPD393254 JYY393254:JYZ393254 KIU393254:KIV393254 KSQ393254:KSR393254 LCM393254:LCN393254 LMI393254:LMJ393254 LWE393254:LWF393254 MGA393254:MGB393254 MPW393254:MPX393254 MZS393254:MZT393254 NJO393254:NJP393254 NTK393254:NTL393254 ODG393254:ODH393254 ONC393254:OND393254 OWY393254:OWZ393254 PGU393254:PGV393254 PQQ393254:PQR393254 QAM393254:QAN393254 QKI393254:QKJ393254 QUE393254:QUF393254 REA393254:REB393254 RNW393254:RNX393254 RXS393254:RXT393254 SHO393254:SHP393254 SRK393254:SRL393254 TBG393254:TBH393254 TLC393254:TLD393254 TUY393254:TUZ393254 UEU393254:UEV393254 UOQ393254:UOR393254 UYM393254:UYN393254 VII393254:VIJ393254 VSE393254:VSF393254 WCA393254:WCB393254 WLW393254:WLX393254 WVS393254:WVT393254 K458790:L458790 JG458790:JH458790 TC458790:TD458790 ACY458790:ACZ458790 AMU458790:AMV458790 AWQ458790:AWR458790 BGM458790:BGN458790 BQI458790:BQJ458790 CAE458790:CAF458790 CKA458790:CKB458790 CTW458790:CTX458790 DDS458790:DDT458790 DNO458790:DNP458790 DXK458790:DXL458790 EHG458790:EHH458790 ERC458790:ERD458790 FAY458790:FAZ458790 FKU458790:FKV458790 FUQ458790:FUR458790 GEM458790:GEN458790 GOI458790:GOJ458790 GYE458790:GYF458790 HIA458790:HIB458790 HRW458790:HRX458790 IBS458790:IBT458790 ILO458790:ILP458790 IVK458790:IVL458790 JFG458790:JFH458790 JPC458790:JPD458790 JYY458790:JYZ458790 KIU458790:KIV458790 KSQ458790:KSR458790 LCM458790:LCN458790 LMI458790:LMJ458790 LWE458790:LWF458790 MGA458790:MGB458790 MPW458790:MPX458790 MZS458790:MZT458790 NJO458790:NJP458790 NTK458790:NTL458790 ODG458790:ODH458790 ONC458790:OND458790 OWY458790:OWZ458790 PGU458790:PGV458790 PQQ458790:PQR458790 QAM458790:QAN458790 QKI458790:QKJ458790 QUE458790:QUF458790 REA458790:REB458790 RNW458790:RNX458790 RXS458790:RXT458790 SHO458790:SHP458790 SRK458790:SRL458790 TBG458790:TBH458790 TLC458790:TLD458790 TUY458790:TUZ458790 UEU458790:UEV458790 UOQ458790:UOR458790 UYM458790:UYN458790 VII458790:VIJ458790 VSE458790:VSF458790 WCA458790:WCB458790 WLW458790:WLX458790 WVS458790:WVT458790 K524326:L524326 JG524326:JH524326 TC524326:TD524326 ACY524326:ACZ524326 AMU524326:AMV524326 AWQ524326:AWR524326 BGM524326:BGN524326 BQI524326:BQJ524326 CAE524326:CAF524326 CKA524326:CKB524326 CTW524326:CTX524326 DDS524326:DDT524326 DNO524326:DNP524326 DXK524326:DXL524326 EHG524326:EHH524326 ERC524326:ERD524326 FAY524326:FAZ524326 FKU524326:FKV524326 FUQ524326:FUR524326 GEM524326:GEN524326 GOI524326:GOJ524326 GYE524326:GYF524326 HIA524326:HIB524326 HRW524326:HRX524326 IBS524326:IBT524326 ILO524326:ILP524326 IVK524326:IVL524326 JFG524326:JFH524326 JPC524326:JPD524326 JYY524326:JYZ524326 KIU524326:KIV524326 KSQ524326:KSR524326 LCM524326:LCN524326 LMI524326:LMJ524326 LWE524326:LWF524326 MGA524326:MGB524326 MPW524326:MPX524326 MZS524326:MZT524326 NJO524326:NJP524326 NTK524326:NTL524326 ODG524326:ODH524326 ONC524326:OND524326 OWY524326:OWZ524326 PGU524326:PGV524326 PQQ524326:PQR524326 QAM524326:QAN524326 QKI524326:QKJ524326 QUE524326:QUF524326 REA524326:REB524326 RNW524326:RNX524326 RXS524326:RXT524326 SHO524326:SHP524326 SRK524326:SRL524326 TBG524326:TBH524326 TLC524326:TLD524326 TUY524326:TUZ524326 UEU524326:UEV524326 UOQ524326:UOR524326 UYM524326:UYN524326 VII524326:VIJ524326 VSE524326:VSF524326 WCA524326:WCB524326 WLW524326:WLX524326 WVS524326:WVT524326 K589862:L589862 JG589862:JH589862 TC589862:TD589862 ACY589862:ACZ589862 AMU589862:AMV589862 AWQ589862:AWR589862 BGM589862:BGN589862 BQI589862:BQJ589862 CAE589862:CAF589862 CKA589862:CKB589862 CTW589862:CTX589862 DDS589862:DDT589862 DNO589862:DNP589862 DXK589862:DXL589862 EHG589862:EHH589862 ERC589862:ERD589862 FAY589862:FAZ589862 FKU589862:FKV589862 FUQ589862:FUR589862 GEM589862:GEN589862 GOI589862:GOJ589862 GYE589862:GYF589862 HIA589862:HIB589862 HRW589862:HRX589862 IBS589862:IBT589862 ILO589862:ILP589862 IVK589862:IVL589862 JFG589862:JFH589862 JPC589862:JPD589862 JYY589862:JYZ589862 KIU589862:KIV589862 KSQ589862:KSR589862 LCM589862:LCN589862 LMI589862:LMJ589862 LWE589862:LWF589862 MGA589862:MGB589862 MPW589862:MPX589862 MZS589862:MZT589862 NJO589862:NJP589862 NTK589862:NTL589862 ODG589862:ODH589862 ONC589862:OND589862 OWY589862:OWZ589862 PGU589862:PGV589862 PQQ589862:PQR589862 QAM589862:QAN589862 QKI589862:QKJ589862 QUE589862:QUF589862 REA589862:REB589862 RNW589862:RNX589862 RXS589862:RXT589862 SHO589862:SHP589862 SRK589862:SRL589862 TBG589862:TBH589862 TLC589862:TLD589862 TUY589862:TUZ589862 UEU589862:UEV589862 UOQ589862:UOR589862 UYM589862:UYN589862 VII589862:VIJ589862 VSE589862:VSF589862 WCA589862:WCB589862 WLW589862:WLX589862 WVS589862:WVT589862 K655398:L655398 JG655398:JH655398 TC655398:TD655398 ACY655398:ACZ655398 AMU655398:AMV655398 AWQ655398:AWR655398 BGM655398:BGN655398 BQI655398:BQJ655398 CAE655398:CAF655398 CKA655398:CKB655398 CTW655398:CTX655398 DDS655398:DDT655398 DNO655398:DNP655398 DXK655398:DXL655398 EHG655398:EHH655398 ERC655398:ERD655398 FAY655398:FAZ655398 FKU655398:FKV655398 FUQ655398:FUR655398 GEM655398:GEN655398 GOI655398:GOJ655398 GYE655398:GYF655398 HIA655398:HIB655398 HRW655398:HRX655398 IBS655398:IBT655398 ILO655398:ILP655398 IVK655398:IVL655398 JFG655398:JFH655398 JPC655398:JPD655398 JYY655398:JYZ655398 KIU655398:KIV655398 KSQ655398:KSR655398 LCM655398:LCN655398 LMI655398:LMJ655398 LWE655398:LWF655398 MGA655398:MGB655398 MPW655398:MPX655398 MZS655398:MZT655398 NJO655398:NJP655398 NTK655398:NTL655398 ODG655398:ODH655398 ONC655398:OND655398 OWY655398:OWZ655398 PGU655398:PGV655398 PQQ655398:PQR655398 QAM655398:QAN655398 QKI655398:QKJ655398 QUE655398:QUF655398 REA655398:REB655398 RNW655398:RNX655398 RXS655398:RXT655398 SHO655398:SHP655398 SRK655398:SRL655398 TBG655398:TBH655398 TLC655398:TLD655398 TUY655398:TUZ655398 UEU655398:UEV655398 UOQ655398:UOR655398 UYM655398:UYN655398 VII655398:VIJ655398 VSE655398:VSF655398 WCA655398:WCB655398 WLW655398:WLX655398 WVS655398:WVT655398 K720934:L720934 JG720934:JH720934 TC720934:TD720934 ACY720934:ACZ720934 AMU720934:AMV720934 AWQ720934:AWR720934 BGM720934:BGN720934 BQI720934:BQJ720934 CAE720934:CAF720934 CKA720934:CKB720934 CTW720934:CTX720934 DDS720934:DDT720934 DNO720934:DNP720934 DXK720934:DXL720934 EHG720934:EHH720934 ERC720934:ERD720934 FAY720934:FAZ720934 FKU720934:FKV720934 FUQ720934:FUR720934 GEM720934:GEN720934 GOI720934:GOJ720934 GYE720934:GYF720934 HIA720934:HIB720934 HRW720934:HRX720934 IBS720934:IBT720934 ILO720934:ILP720934 IVK720934:IVL720934 JFG720934:JFH720934 JPC720934:JPD720934 JYY720934:JYZ720934 KIU720934:KIV720934 KSQ720934:KSR720934 LCM720934:LCN720934 LMI720934:LMJ720934 LWE720934:LWF720934 MGA720934:MGB720934 MPW720934:MPX720934 MZS720934:MZT720934 NJO720934:NJP720934 NTK720934:NTL720934 ODG720934:ODH720934 ONC720934:OND720934 OWY720934:OWZ720934 PGU720934:PGV720934 PQQ720934:PQR720934 QAM720934:QAN720934 QKI720934:QKJ720934 QUE720934:QUF720934 REA720934:REB720934 RNW720934:RNX720934 RXS720934:RXT720934 SHO720934:SHP720934 SRK720934:SRL720934 TBG720934:TBH720934 TLC720934:TLD720934 TUY720934:TUZ720934 UEU720934:UEV720934 UOQ720934:UOR720934 UYM720934:UYN720934 VII720934:VIJ720934 VSE720934:VSF720934 WCA720934:WCB720934 WLW720934:WLX720934 WVS720934:WVT720934 K786470:L786470 JG786470:JH786470 TC786470:TD786470 ACY786470:ACZ786470 AMU786470:AMV786470 AWQ786470:AWR786470 BGM786470:BGN786470 BQI786470:BQJ786470 CAE786470:CAF786470 CKA786470:CKB786470 CTW786470:CTX786470 DDS786470:DDT786470 DNO786470:DNP786470 DXK786470:DXL786470 EHG786470:EHH786470 ERC786470:ERD786470 FAY786470:FAZ786470 FKU786470:FKV786470 FUQ786470:FUR786470 GEM786470:GEN786470 GOI786470:GOJ786470 GYE786470:GYF786470 HIA786470:HIB786470 HRW786470:HRX786470 IBS786470:IBT786470 ILO786470:ILP786470 IVK786470:IVL786470 JFG786470:JFH786470 JPC786470:JPD786470 JYY786470:JYZ786470 KIU786470:KIV786470 KSQ786470:KSR786470 LCM786470:LCN786470 LMI786470:LMJ786470 LWE786470:LWF786470 MGA786470:MGB786470 MPW786470:MPX786470 MZS786470:MZT786470 NJO786470:NJP786470 NTK786470:NTL786470 ODG786470:ODH786470 ONC786470:OND786470 OWY786470:OWZ786470 PGU786470:PGV786470 PQQ786470:PQR786470 QAM786470:QAN786470 QKI786470:QKJ786470 QUE786470:QUF786470 REA786470:REB786470 RNW786470:RNX786470 RXS786470:RXT786470 SHO786470:SHP786470 SRK786470:SRL786470 TBG786470:TBH786470 TLC786470:TLD786470 TUY786470:TUZ786470 UEU786470:UEV786470 UOQ786470:UOR786470 UYM786470:UYN786470 VII786470:VIJ786470 VSE786470:VSF786470 WCA786470:WCB786470 WLW786470:WLX786470 WVS786470:WVT786470 K852006:L852006 JG852006:JH852006 TC852006:TD852006 ACY852006:ACZ852006 AMU852006:AMV852006 AWQ852006:AWR852006 BGM852006:BGN852006 BQI852006:BQJ852006 CAE852006:CAF852006 CKA852006:CKB852006 CTW852006:CTX852006 DDS852006:DDT852006 DNO852006:DNP852006 DXK852006:DXL852006 EHG852006:EHH852006 ERC852006:ERD852006 FAY852006:FAZ852006 FKU852006:FKV852006 FUQ852006:FUR852006 GEM852006:GEN852006 GOI852006:GOJ852006 GYE852006:GYF852006 HIA852006:HIB852006 HRW852006:HRX852006 IBS852006:IBT852006 ILO852006:ILP852006 IVK852006:IVL852006 JFG852006:JFH852006 JPC852006:JPD852006 JYY852006:JYZ852006 KIU852006:KIV852006 KSQ852006:KSR852006 LCM852006:LCN852006 LMI852006:LMJ852006 LWE852006:LWF852006 MGA852006:MGB852006 MPW852006:MPX852006 MZS852006:MZT852006 NJO852006:NJP852006 NTK852006:NTL852006 ODG852006:ODH852006 ONC852006:OND852006 OWY852006:OWZ852006 PGU852006:PGV852006 PQQ852006:PQR852006 QAM852006:QAN852006 QKI852006:QKJ852006 QUE852006:QUF852006 REA852006:REB852006 RNW852006:RNX852006 RXS852006:RXT852006 SHO852006:SHP852006 SRK852006:SRL852006 TBG852006:TBH852006 TLC852006:TLD852006 TUY852006:TUZ852006 UEU852006:UEV852006 UOQ852006:UOR852006 UYM852006:UYN852006 VII852006:VIJ852006 VSE852006:VSF852006 WCA852006:WCB852006 WLW852006:WLX852006 WVS852006:WVT852006 K917542:L917542 JG917542:JH917542 TC917542:TD917542 ACY917542:ACZ917542 AMU917542:AMV917542 AWQ917542:AWR917542 BGM917542:BGN917542 BQI917542:BQJ917542 CAE917542:CAF917542 CKA917542:CKB917542 CTW917542:CTX917542 DDS917542:DDT917542 DNO917542:DNP917542 DXK917542:DXL917542 EHG917542:EHH917542 ERC917542:ERD917542 FAY917542:FAZ917542 FKU917542:FKV917542 FUQ917542:FUR917542 GEM917542:GEN917542 GOI917542:GOJ917542 GYE917542:GYF917542 HIA917542:HIB917542 HRW917542:HRX917542 IBS917542:IBT917542 ILO917542:ILP917542 IVK917542:IVL917542 JFG917542:JFH917542 JPC917542:JPD917542 JYY917542:JYZ917542 KIU917542:KIV917542 KSQ917542:KSR917542 LCM917542:LCN917542 LMI917542:LMJ917542 LWE917542:LWF917542 MGA917542:MGB917542 MPW917542:MPX917542 MZS917542:MZT917542 NJO917542:NJP917542 NTK917542:NTL917542 ODG917542:ODH917542 ONC917542:OND917542 OWY917542:OWZ917542 PGU917542:PGV917542 PQQ917542:PQR917542 QAM917542:QAN917542 QKI917542:QKJ917542 QUE917542:QUF917542 REA917542:REB917542 RNW917542:RNX917542 RXS917542:RXT917542 SHO917542:SHP917542 SRK917542:SRL917542 TBG917542:TBH917542 TLC917542:TLD917542 TUY917542:TUZ917542 UEU917542:UEV917542 UOQ917542:UOR917542 UYM917542:UYN917542 VII917542:VIJ917542 VSE917542:VSF917542 WCA917542:WCB917542 WLW917542:WLX917542 WVS917542:WVT917542 K983078:L983078 JG983078:JH983078 TC983078:TD983078 ACY983078:ACZ983078 AMU983078:AMV983078 AWQ983078:AWR983078 BGM983078:BGN983078 BQI983078:BQJ983078 CAE983078:CAF983078 CKA983078:CKB983078 CTW983078:CTX983078 DDS983078:DDT983078 DNO983078:DNP983078 DXK983078:DXL983078 EHG983078:EHH983078 ERC983078:ERD983078 FAY983078:FAZ983078 FKU983078:FKV983078 FUQ983078:FUR983078 GEM983078:GEN983078 GOI983078:GOJ983078 GYE983078:GYF983078 HIA983078:HIB983078 HRW983078:HRX983078 IBS983078:IBT983078 ILO983078:ILP983078 IVK983078:IVL983078 JFG983078:JFH983078 JPC983078:JPD983078 JYY983078:JYZ983078 KIU983078:KIV983078 KSQ983078:KSR983078 LCM983078:LCN983078 LMI983078:LMJ983078 LWE983078:LWF983078 MGA983078:MGB983078 MPW983078:MPX983078 MZS983078:MZT983078 NJO983078:NJP983078 NTK983078:NTL983078 ODG983078:ODH983078 ONC983078:OND983078 OWY983078:OWZ983078 PGU983078:PGV983078 PQQ983078:PQR983078 QAM983078:QAN983078 QKI983078:QKJ983078 QUE983078:QUF983078 REA983078:REB983078 RNW983078:RNX983078 RXS983078:RXT983078 SHO983078:SHP983078 SRK983078:SRL983078 TBG983078:TBH983078 TLC983078:TLD983078 TUY983078:TUZ983078 UEU983078:UEV983078 UOQ983078:UOR983078 UYM983078:UYN983078 VII983078:VIJ983078 VSE983078:VSF983078 WCA983078:WCB983078 WLW983078:WLX983078 WVS983078:WVT983078 K35:L35 JG35:JH35 TC35:TD35 ACY35:ACZ35 AMU35:AMV35 AWQ35:AWR35 BGM35:BGN35 BQI35:BQJ35 CAE35:CAF35 CKA35:CKB35 CTW35:CTX35 DDS35:DDT35 DNO35:DNP35 DXK35:DXL35 EHG35:EHH35 ERC35:ERD35 FAY35:FAZ35 FKU35:FKV35 FUQ35:FUR35 GEM35:GEN35 GOI35:GOJ35 GYE35:GYF35 HIA35:HIB35 HRW35:HRX35 IBS35:IBT35 ILO35:ILP35 IVK35:IVL35 JFG35:JFH35 JPC35:JPD35 JYY35:JYZ35 KIU35:KIV35 KSQ35:KSR35 LCM35:LCN35 LMI35:LMJ35 LWE35:LWF35 MGA35:MGB35 MPW35:MPX35 MZS35:MZT35 NJO35:NJP35 NTK35:NTL35 ODG35:ODH35 ONC35:OND35 OWY35:OWZ35 PGU35:PGV35 PQQ35:PQR35 QAM35:QAN35 QKI35:QKJ35 QUE35:QUF35 REA35:REB35 RNW35:RNX35 RXS35:RXT35 SHO35:SHP35 SRK35:SRL35 TBG35:TBH35 TLC35:TLD35 TUY35:TUZ35 UEU35:UEV35 UOQ35:UOR35 UYM35:UYN35 VII35:VIJ35 VSE35:VSF35 WCA35:WCB35 WLW35:WLX35 WVS35:WVT35 K65571:L65571 JG65571:JH65571 TC65571:TD65571 ACY65571:ACZ65571 AMU65571:AMV65571 AWQ65571:AWR65571 BGM65571:BGN65571 BQI65571:BQJ65571 CAE65571:CAF65571 CKA65571:CKB65571 CTW65571:CTX65571 DDS65571:DDT65571 DNO65571:DNP65571 DXK65571:DXL65571 EHG65571:EHH65571 ERC65571:ERD65571 FAY65571:FAZ65571 FKU65571:FKV65571 FUQ65571:FUR65571 GEM65571:GEN65571 GOI65571:GOJ65571 GYE65571:GYF65571 HIA65571:HIB65571 HRW65571:HRX65571 IBS65571:IBT65571 ILO65571:ILP65571 IVK65571:IVL65571 JFG65571:JFH65571 JPC65571:JPD65571 JYY65571:JYZ65571 KIU65571:KIV65571 KSQ65571:KSR65571 LCM65571:LCN65571 LMI65571:LMJ65571 LWE65571:LWF65571 MGA65571:MGB65571 MPW65571:MPX65571 MZS65571:MZT65571 NJO65571:NJP65571 NTK65571:NTL65571 ODG65571:ODH65571 ONC65571:OND65571 OWY65571:OWZ65571 PGU65571:PGV65571 PQQ65571:PQR65571 QAM65571:QAN65571 QKI65571:QKJ65571 QUE65571:QUF65571 REA65571:REB65571 RNW65571:RNX65571 RXS65571:RXT65571 SHO65571:SHP65571 SRK65571:SRL65571 TBG65571:TBH65571 TLC65571:TLD65571 TUY65571:TUZ65571 UEU65571:UEV65571 UOQ65571:UOR65571 UYM65571:UYN65571 VII65571:VIJ65571 VSE65571:VSF65571 WCA65571:WCB65571 WLW65571:WLX65571 WVS65571:WVT65571 K131107:L131107 JG131107:JH131107 TC131107:TD131107 ACY131107:ACZ131107 AMU131107:AMV131107 AWQ131107:AWR131107 BGM131107:BGN131107 BQI131107:BQJ131107 CAE131107:CAF131107 CKA131107:CKB131107 CTW131107:CTX131107 DDS131107:DDT131107 DNO131107:DNP131107 DXK131107:DXL131107 EHG131107:EHH131107 ERC131107:ERD131107 FAY131107:FAZ131107 FKU131107:FKV131107 FUQ131107:FUR131107 GEM131107:GEN131107 GOI131107:GOJ131107 GYE131107:GYF131107 HIA131107:HIB131107 HRW131107:HRX131107 IBS131107:IBT131107 ILO131107:ILP131107 IVK131107:IVL131107 JFG131107:JFH131107 JPC131107:JPD131107 JYY131107:JYZ131107 KIU131107:KIV131107 KSQ131107:KSR131107 LCM131107:LCN131107 LMI131107:LMJ131107 LWE131107:LWF131107 MGA131107:MGB131107 MPW131107:MPX131107 MZS131107:MZT131107 NJO131107:NJP131107 NTK131107:NTL131107 ODG131107:ODH131107 ONC131107:OND131107 OWY131107:OWZ131107 PGU131107:PGV131107 PQQ131107:PQR131107 QAM131107:QAN131107 QKI131107:QKJ131107 QUE131107:QUF131107 REA131107:REB131107 RNW131107:RNX131107 RXS131107:RXT131107 SHO131107:SHP131107 SRK131107:SRL131107 TBG131107:TBH131107 TLC131107:TLD131107 TUY131107:TUZ131107 UEU131107:UEV131107 UOQ131107:UOR131107 UYM131107:UYN131107 VII131107:VIJ131107 VSE131107:VSF131107 WCA131107:WCB131107 WLW131107:WLX131107 WVS131107:WVT131107 K196643:L196643 JG196643:JH196643 TC196643:TD196643 ACY196643:ACZ196643 AMU196643:AMV196643 AWQ196643:AWR196643 BGM196643:BGN196643 BQI196643:BQJ196643 CAE196643:CAF196643 CKA196643:CKB196643 CTW196643:CTX196643 DDS196643:DDT196643 DNO196643:DNP196643 DXK196643:DXL196643 EHG196643:EHH196643 ERC196643:ERD196643 FAY196643:FAZ196643 FKU196643:FKV196643 FUQ196643:FUR196643 GEM196643:GEN196643 GOI196643:GOJ196643 GYE196643:GYF196643 HIA196643:HIB196643 HRW196643:HRX196643 IBS196643:IBT196643 ILO196643:ILP196643 IVK196643:IVL196643 JFG196643:JFH196643 JPC196643:JPD196643 JYY196643:JYZ196643 KIU196643:KIV196643 KSQ196643:KSR196643 LCM196643:LCN196643 LMI196643:LMJ196643 LWE196643:LWF196643 MGA196643:MGB196643 MPW196643:MPX196643 MZS196643:MZT196643 NJO196643:NJP196643 NTK196643:NTL196643 ODG196643:ODH196643 ONC196643:OND196643 OWY196643:OWZ196643 PGU196643:PGV196643 PQQ196643:PQR196643 QAM196643:QAN196643 QKI196643:QKJ196643 QUE196643:QUF196643 REA196643:REB196643 RNW196643:RNX196643 RXS196643:RXT196643 SHO196643:SHP196643 SRK196643:SRL196643 TBG196643:TBH196643 TLC196643:TLD196643 TUY196643:TUZ196643 UEU196643:UEV196643 UOQ196643:UOR196643 UYM196643:UYN196643 VII196643:VIJ196643 VSE196643:VSF196643 WCA196643:WCB196643 WLW196643:WLX196643 WVS196643:WVT196643 K262179:L262179 JG262179:JH262179 TC262179:TD262179 ACY262179:ACZ262179 AMU262179:AMV262179 AWQ262179:AWR262179 BGM262179:BGN262179 BQI262179:BQJ262179 CAE262179:CAF262179 CKA262179:CKB262179 CTW262179:CTX262179 DDS262179:DDT262179 DNO262179:DNP262179 DXK262179:DXL262179 EHG262179:EHH262179 ERC262179:ERD262179 FAY262179:FAZ262179 FKU262179:FKV262179 FUQ262179:FUR262179 GEM262179:GEN262179 GOI262179:GOJ262179 GYE262179:GYF262179 HIA262179:HIB262179 HRW262179:HRX262179 IBS262179:IBT262179 ILO262179:ILP262179 IVK262179:IVL262179 JFG262179:JFH262179 JPC262179:JPD262179 JYY262179:JYZ262179 KIU262179:KIV262179 KSQ262179:KSR262179 LCM262179:LCN262179 LMI262179:LMJ262179 LWE262179:LWF262179 MGA262179:MGB262179 MPW262179:MPX262179 MZS262179:MZT262179 NJO262179:NJP262179 NTK262179:NTL262179 ODG262179:ODH262179 ONC262179:OND262179 OWY262179:OWZ262179 PGU262179:PGV262179 PQQ262179:PQR262179 QAM262179:QAN262179 QKI262179:QKJ262179 QUE262179:QUF262179 REA262179:REB262179 RNW262179:RNX262179 RXS262179:RXT262179 SHO262179:SHP262179 SRK262179:SRL262179 TBG262179:TBH262179 TLC262179:TLD262179 TUY262179:TUZ262179 UEU262179:UEV262179 UOQ262179:UOR262179 UYM262179:UYN262179 VII262179:VIJ262179 VSE262179:VSF262179 WCA262179:WCB262179 WLW262179:WLX262179 WVS262179:WVT262179 K327715:L327715 JG327715:JH327715 TC327715:TD327715 ACY327715:ACZ327715 AMU327715:AMV327715 AWQ327715:AWR327715 BGM327715:BGN327715 BQI327715:BQJ327715 CAE327715:CAF327715 CKA327715:CKB327715 CTW327715:CTX327715 DDS327715:DDT327715 DNO327715:DNP327715 DXK327715:DXL327715 EHG327715:EHH327715 ERC327715:ERD327715 FAY327715:FAZ327715 FKU327715:FKV327715 FUQ327715:FUR327715 GEM327715:GEN327715 GOI327715:GOJ327715 GYE327715:GYF327715 HIA327715:HIB327715 HRW327715:HRX327715 IBS327715:IBT327715 ILO327715:ILP327715 IVK327715:IVL327715 JFG327715:JFH327715 JPC327715:JPD327715 JYY327715:JYZ327715 KIU327715:KIV327715 KSQ327715:KSR327715 LCM327715:LCN327715 LMI327715:LMJ327715 LWE327715:LWF327715 MGA327715:MGB327715 MPW327715:MPX327715 MZS327715:MZT327715 NJO327715:NJP327715 NTK327715:NTL327715 ODG327715:ODH327715 ONC327715:OND327715 OWY327715:OWZ327715 PGU327715:PGV327715 PQQ327715:PQR327715 QAM327715:QAN327715 QKI327715:QKJ327715 QUE327715:QUF327715 REA327715:REB327715 RNW327715:RNX327715 RXS327715:RXT327715 SHO327715:SHP327715 SRK327715:SRL327715 TBG327715:TBH327715 TLC327715:TLD327715 TUY327715:TUZ327715 UEU327715:UEV327715 UOQ327715:UOR327715 UYM327715:UYN327715 VII327715:VIJ327715 VSE327715:VSF327715 WCA327715:WCB327715 WLW327715:WLX327715 WVS327715:WVT327715 K393251:L393251 JG393251:JH393251 TC393251:TD393251 ACY393251:ACZ393251 AMU393251:AMV393251 AWQ393251:AWR393251 BGM393251:BGN393251 BQI393251:BQJ393251 CAE393251:CAF393251 CKA393251:CKB393251 CTW393251:CTX393251 DDS393251:DDT393251 DNO393251:DNP393251 DXK393251:DXL393251 EHG393251:EHH393251 ERC393251:ERD393251 FAY393251:FAZ393251 FKU393251:FKV393251 FUQ393251:FUR393251 GEM393251:GEN393251 GOI393251:GOJ393251 GYE393251:GYF393251 HIA393251:HIB393251 HRW393251:HRX393251 IBS393251:IBT393251 ILO393251:ILP393251 IVK393251:IVL393251 JFG393251:JFH393251 JPC393251:JPD393251 JYY393251:JYZ393251 KIU393251:KIV393251 KSQ393251:KSR393251 LCM393251:LCN393251 LMI393251:LMJ393251 LWE393251:LWF393251 MGA393251:MGB393251 MPW393251:MPX393251 MZS393251:MZT393251 NJO393251:NJP393251 NTK393251:NTL393251 ODG393251:ODH393251 ONC393251:OND393251 OWY393251:OWZ393251 PGU393251:PGV393251 PQQ393251:PQR393251 QAM393251:QAN393251 QKI393251:QKJ393251 QUE393251:QUF393251 REA393251:REB393251 RNW393251:RNX393251 RXS393251:RXT393251 SHO393251:SHP393251 SRK393251:SRL393251 TBG393251:TBH393251 TLC393251:TLD393251 TUY393251:TUZ393251 UEU393251:UEV393251 UOQ393251:UOR393251 UYM393251:UYN393251 VII393251:VIJ393251 VSE393251:VSF393251 WCA393251:WCB393251 WLW393251:WLX393251 WVS393251:WVT393251 K458787:L458787 JG458787:JH458787 TC458787:TD458787 ACY458787:ACZ458787 AMU458787:AMV458787 AWQ458787:AWR458787 BGM458787:BGN458787 BQI458787:BQJ458787 CAE458787:CAF458787 CKA458787:CKB458787 CTW458787:CTX458787 DDS458787:DDT458787 DNO458787:DNP458787 DXK458787:DXL458787 EHG458787:EHH458787 ERC458787:ERD458787 FAY458787:FAZ458787 FKU458787:FKV458787 FUQ458787:FUR458787 GEM458787:GEN458787 GOI458787:GOJ458787 GYE458787:GYF458787 HIA458787:HIB458787 HRW458787:HRX458787 IBS458787:IBT458787 ILO458787:ILP458787 IVK458787:IVL458787 JFG458787:JFH458787 JPC458787:JPD458787 JYY458787:JYZ458787 KIU458787:KIV458787 KSQ458787:KSR458787 LCM458787:LCN458787 LMI458787:LMJ458787 LWE458787:LWF458787 MGA458787:MGB458787 MPW458787:MPX458787 MZS458787:MZT458787 NJO458787:NJP458787 NTK458787:NTL458787 ODG458787:ODH458787 ONC458787:OND458787 OWY458787:OWZ458787 PGU458787:PGV458787 PQQ458787:PQR458787 QAM458787:QAN458787 QKI458787:QKJ458787 QUE458787:QUF458787 REA458787:REB458787 RNW458787:RNX458787 RXS458787:RXT458787 SHO458787:SHP458787 SRK458787:SRL458787 TBG458787:TBH458787 TLC458787:TLD458787 TUY458787:TUZ458787 UEU458787:UEV458787 UOQ458787:UOR458787 UYM458787:UYN458787 VII458787:VIJ458787 VSE458787:VSF458787 WCA458787:WCB458787 WLW458787:WLX458787 WVS458787:WVT458787 K524323:L524323 JG524323:JH524323 TC524323:TD524323 ACY524323:ACZ524323 AMU524323:AMV524323 AWQ524323:AWR524323 BGM524323:BGN524323 BQI524323:BQJ524323 CAE524323:CAF524323 CKA524323:CKB524323 CTW524323:CTX524323 DDS524323:DDT524323 DNO524323:DNP524323 DXK524323:DXL524323 EHG524323:EHH524323 ERC524323:ERD524323 FAY524323:FAZ524323 FKU524323:FKV524323 FUQ524323:FUR524323 GEM524323:GEN524323 GOI524323:GOJ524323 GYE524323:GYF524323 HIA524323:HIB524323 HRW524323:HRX524323 IBS524323:IBT524323 ILO524323:ILP524323 IVK524323:IVL524323 JFG524323:JFH524323 JPC524323:JPD524323 JYY524323:JYZ524323 KIU524323:KIV524323 KSQ524323:KSR524323 LCM524323:LCN524323 LMI524323:LMJ524323 LWE524323:LWF524323 MGA524323:MGB524323 MPW524323:MPX524323 MZS524323:MZT524323 NJO524323:NJP524323 NTK524323:NTL524323 ODG524323:ODH524323 ONC524323:OND524323 OWY524323:OWZ524323 PGU524323:PGV524323 PQQ524323:PQR524323 QAM524323:QAN524323 QKI524323:QKJ524323 QUE524323:QUF524323 REA524323:REB524323 RNW524323:RNX524323 RXS524323:RXT524323 SHO524323:SHP524323 SRK524323:SRL524323 TBG524323:TBH524323 TLC524323:TLD524323 TUY524323:TUZ524323 UEU524323:UEV524323 UOQ524323:UOR524323 UYM524323:UYN524323 VII524323:VIJ524323 VSE524323:VSF524323 WCA524323:WCB524323 WLW524323:WLX524323 WVS524323:WVT524323 K589859:L589859 JG589859:JH589859 TC589859:TD589859 ACY589859:ACZ589859 AMU589859:AMV589859 AWQ589859:AWR589859 BGM589859:BGN589859 BQI589859:BQJ589859 CAE589859:CAF589859 CKA589859:CKB589859 CTW589859:CTX589859 DDS589859:DDT589859 DNO589859:DNP589859 DXK589859:DXL589859 EHG589859:EHH589859 ERC589859:ERD589859 FAY589859:FAZ589859 FKU589859:FKV589859 FUQ589859:FUR589859 GEM589859:GEN589859 GOI589859:GOJ589859 GYE589859:GYF589859 HIA589859:HIB589859 HRW589859:HRX589859 IBS589859:IBT589859 ILO589859:ILP589859 IVK589859:IVL589859 JFG589859:JFH589859 JPC589859:JPD589859 JYY589859:JYZ589859 KIU589859:KIV589859 KSQ589859:KSR589859 LCM589859:LCN589859 LMI589859:LMJ589859 LWE589859:LWF589859 MGA589859:MGB589859 MPW589859:MPX589859 MZS589859:MZT589859 NJO589859:NJP589859 NTK589859:NTL589859 ODG589859:ODH589859 ONC589859:OND589859 OWY589859:OWZ589859 PGU589859:PGV589859 PQQ589859:PQR589859 QAM589859:QAN589859 QKI589859:QKJ589859 QUE589859:QUF589859 REA589859:REB589859 RNW589859:RNX589859 RXS589859:RXT589859 SHO589859:SHP589859 SRK589859:SRL589859 TBG589859:TBH589859 TLC589859:TLD589859 TUY589859:TUZ589859 UEU589859:UEV589859 UOQ589859:UOR589859 UYM589859:UYN589859 VII589859:VIJ589859 VSE589859:VSF589859 WCA589859:WCB589859 WLW589859:WLX589859 WVS589859:WVT589859 K655395:L655395 JG655395:JH655395 TC655395:TD655395 ACY655395:ACZ655395 AMU655395:AMV655395 AWQ655395:AWR655395 BGM655395:BGN655395 BQI655395:BQJ655395 CAE655395:CAF655395 CKA655395:CKB655395 CTW655395:CTX655395 DDS655395:DDT655395 DNO655395:DNP655395 DXK655395:DXL655395 EHG655395:EHH655395 ERC655395:ERD655395 FAY655395:FAZ655395 FKU655395:FKV655395 FUQ655395:FUR655395 GEM655395:GEN655395 GOI655395:GOJ655395 GYE655395:GYF655395 HIA655395:HIB655395 HRW655395:HRX655395 IBS655395:IBT655395 ILO655395:ILP655395 IVK655395:IVL655395 JFG655395:JFH655395 JPC655395:JPD655395 JYY655395:JYZ655395 KIU655395:KIV655395 KSQ655395:KSR655395 LCM655395:LCN655395 LMI655395:LMJ655395 LWE655395:LWF655395 MGA655395:MGB655395 MPW655395:MPX655395 MZS655395:MZT655395 NJO655395:NJP655395 NTK655395:NTL655395 ODG655395:ODH655395 ONC655395:OND655395 OWY655395:OWZ655395 PGU655395:PGV655395 PQQ655395:PQR655395 QAM655395:QAN655395 QKI655395:QKJ655395 QUE655395:QUF655395 REA655395:REB655395 RNW655395:RNX655395 RXS655395:RXT655395 SHO655395:SHP655395 SRK655395:SRL655395 TBG655395:TBH655395 TLC655395:TLD655395 TUY655395:TUZ655395 UEU655395:UEV655395 UOQ655395:UOR655395 UYM655395:UYN655395 VII655395:VIJ655395 VSE655395:VSF655395 WCA655395:WCB655395 WLW655395:WLX655395 WVS655395:WVT655395 K720931:L720931 JG720931:JH720931 TC720931:TD720931 ACY720931:ACZ720931 AMU720931:AMV720931 AWQ720931:AWR720931 BGM720931:BGN720931 BQI720931:BQJ720931 CAE720931:CAF720931 CKA720931:CKB720931 CTW720931:CTX720931 DDS720931:DDT720931 DNO720931:DNP720931 DXK720931:DXL720931 EHG720931:EHH720931 ERC720931:ERD720931 FAY720931:FAZ720931 FKU720931:FKV720931 FUQ720931:FUR720931 GEM720931:GEN720931 GOI720931:GOJ720931 GYE720931:GYF720931 HIA720931:HIB720931 HRW720931:HRX720931 IBS720931:IBT720931 ILO720931:ILP720931 IVK720931:IVL720931 JFG720931:JFH720931 JPC720931:JPD720931 JYY720931:JYZ720931 KIU720931:KIV720931 KSQ720931:KSR720931 LCM720931:LCN720931 LMI720931:LMJ720931 LWE720931:LWF720931 MGA720931:MGB720931 MPW720931:MPX720931 MZS720931:MZT720931 NJO720931:NJP720931 NTK720931:NTL720931 ODG720931:ODH720931 ONC720931:OND720931 OWY720931:OWZ720931 PGU720931:PGV720931 PQQ720931:PQR720931 QAM720931:QAN720931 QKI720931:QKJ720931 QUE720931:QUF720931 REA720931:REB720931 RNW720931:RNX720931 RXS720931:RXT720931 SHO720931:SHP720931 SRK720931:SRL720931 TBG720931:TBH720931 TLC720931:TLD720931 TUY720931:TUZ720931 UEU720931:UEV720931 UOQ720931:UOR720931 UYM720931:UYN720931 VII720931:VIJ720931 VSE720931:VSF720931 WCA720931:WCB720931 WLW720931:WLX720931 WVS720931:WVT720931 K786467:L786467 JG786467:JH786467 TC786467:TD786467 ACY786467:ACZ786467 AMU786467:AMV786467 AWQ786467:AWR786467 BGM786467:BGN786467 BQI786467:BQJ786467 CAE786467:CAF786467 CKA786467:CKB786467 CTW786467:CTX786467 DDS786467:DDT786467 DNO786467:DNP786467 DXK786467:DXL786467 EHG786467:EHH786467 ERC786467:ERD786467 FAY786467:FAZ786467 FKU786467:FKV786467 FUQ786467:FUR786467 GEM786467:GEN786467 GOI786467:GOJ786467 GYE786467:GYF786467 HIA786467:HIB786467 HRW786467:HRX786467 IBS786467:IBT786467 ILO786467:ILP786467 IVK786467:IVL786467 JFG786467:JFH786467 JPC786467:JPD786467 JYY786467:JYZ786467 KIU786467:KIV786467 KSQ786467:KSR786467 LCM786467:LCN786467 LMI786467:LMJ786467 LWE786467:LWF786467 MGA786467:MGB786467 MPW786467:MPX786467 MZS786467:MZT786467 NJO786467:NJP786467 NTK786467:NTL786467 ODG786467:ODH786467 ONC786467:OND786467 OWY786467:OWZ786467 PGU786467:PGV786467 PQQ786467:PQR786467 QAM786467:QAN786467 QKI786467:QKJ786467 QUE786467:QUF786467 REA786467:REB786467 RNW786467:RNX786467 RXS786467:RXT786467 SHO786467:SHP786467 SRK786467:SRL786467 TBG786467:TBH786467 TLC786467:TLD786467 TUY786467:TUZ786467 UEU786467:UEV786467 UOQ786467:UOR786467 UYM786467:UYN786467 VII786467:VIJ786467 VSE786467:VSF786467 WCA786467:WCB786467 WLW786467:WLX786467 WVS786467:WVT786467 K852003:L852003 JG852003:JH852003 TC852003:TD852003 ACY852003:ACZ852003 AMU852003:AMV852003 AWQ852003:AWR852003 BGM852003:BGN852003 BQI852003:BQJ852003 CAE852003:CAF852003 CKA852003:CKB852003 CTW852003:CTX852003 DDS852003:DDT852003 DNO852003:DNP852003 DXK852003:DXL852003 EHG852003:EHH852003 ERC852003:ERD852003 FAY852003:FAZ852003 FKU852003:FKV852003 FUQ852003:FUR852003 GEM852003:GEN852003 GOI852003:GOJ852003 GYE852003:GYF852003 HIA852003:HIB852003 HRW852003:HRX852003 IBS852003:IBT852003 ILO852003:ILP852003 IVK852003:IVL852003 JFG852003:JFH852003 JPC852003:JPD852003 JYY852003:JYZ852003 KIU852003:KIV852003 KSQ852003:KSR852003 LCM852003:LCN852003 LMI852003:LMJ852003 LWE852003:LWF852003 MGA852003:MGB852003 MPW852003:MPX852003 MZS852003:MZT852003 NJO852003:NJP852003 NTK852003:NTL852003 ODG852003:ODH852003 ONC852003:OND852003 OWY852003:OWZ852003 PGU852003:PGV852003 PQQ852003:PQR852003 QAM852003:QAN852003 QKI852003:QKJ852003 QUE852003:QUF852003 REA852003:REB852003 RNW852003:RNX852003 RXS852003:RXT852003 SHO852003:SHP852003 SRK852003:SRL852003 TBG852003:TBH852003 TLC852003:TLD852003 TUY852003:TUZ852003 UEU852003:UEV852003 UOQ852003:UOR852003 UYM852003:UYN852003 VII852003:VIJ852003 VSE852003:VSF852003 WCA852003:WCB852003 WLW852003:WLX852003 WVS852003:WVT852003 K917539:L917539 JG917539:JH917539 TC917539:TD917539 ACY917539:ACZ917539 AMU917539:AMV917539 AWQ917539:AWR917539 BGM917539:BGN917539 BQI917539:BQJ917539 CAE917539:CAF917539 CKA917539:CKB917539 CTW917539:CTX917539 DDS917539:DDT917539 DNO917539:DNP917539 DXK917539:DXL917539 EHG917539:EHH917539 ERC917539:ERD917539 FAY917539:FAZ917539 FKU917539:FKV917539 FUQ917539:FUR917539 GEM917539:GEN917539 GOI917539:GOJ917539 GYE917539:GYF917539 HIA917539:HIB917539 HRW917539:HRX917539 IBS917539:IBT917539 ILO917539:ILP917539 IVK917539:IVL917539 JFG917539:JFH917539 JPC917539:JPD917539 JYY917539:JYZ917539 KIU917539:KIV917539 KSQ917539:KSR917539 LCM917539:LCN917539 LMI917539:LMJ917539 LWE917539:LWF917539 MGA917539:MGB917539 MPW917539:MPX917539 MZS917539:MZT917539 NJO917539:NJP917539 NTK917539:NTL917539 ODG917539:ODH917539 ONC917539:OND917539 OWY917539:OWZ917539 PGU917539:PGV917539 PQQ917539:PQR917539 QAM917539:QAN917539 QKI917539:QKJ917539 QUE917539:QUF917539 REA917539:REB917539 RNW917539:RNX917539 RXS917539:RXT917539 SHO917539:SHP917539 SRK917539:SRL917539 TBG917539:TBH917539 TLC917539:TLD917539 TUY917539:TUZ917539 UEU917539:UEV917539 UOQ917539:UOR917539 UYM917539:UYN917539 VII917539:VIJ917539 VSE917539:VSF917539 WCA917539:WCB917539 WLW917539:WLX917539 WVS917539:WVT917539 K983075:L983075 JG983075:JH983075 TC983075:TD983075 ACY983075:ACZ983075 AMU983075:AMV983075 AWQ983075:AWR983075 BGM983075:BGN983075 BQI983075:BQJ983075 CAE983075:CAF983075 CKA983075:CKB983075 CTW983075:CTX983075 DDS983075:DDT983075 DNO983075:DNP983075 DXK983075:DXL983075 EHG983075:EHH983075 ERC983075:ERD983075 FAY983075:FAZ983075 FKU983075:FKV983075 FUQ983075:FUR983075 GEM983075:GEN983075 GOI983075:GOJ983075 GYE983075:GYF983075 HIA983075:HIB983075 HRW983075:HRX983075 IBS983075:IBT983075 ILO983075:ILP983075 IVK983075:IVL983075 JFG983075:JFH983075 JPC983075:JPD983075 JYY983075:JYZ983075 KIU983075:KIV983075 KSQ983075:KSR983075 LCM983075:LCN983075 LMI983075:LMJ983075 LWE983075:LWF983075 MGA983075:MGB983075 MPW983075:MPX983075 MZS983075:MZT983075 NJO983075:NJP983075 NTK983075:NTL983075 ODG983075:ODH983075 ONC983075:OND983075 OWY983075:OWZ983075 PGU983075:PGV983075 PQQ983075:PQR983075 QAM983075:QAN983075 QKI983075:QKJ983075 QUE983075:QUF983075 REA983075:REB983075 RNW983075:RNX983075 RXS983075:RXT983075 SHO983075:SHP983075 SRK983075:SRL983075 TBG983075:TBH983075 TLC983075:TLD983075 TUY983075:TUZ983075 UEU983075:UEV983075 UOQ983075:UOR983075 UYM983075:UYN983075 VII983075:VIJ983075 VSE983075:VSF983075 WCA983075:WCB983075 WLW983075:WLX983075 WVS983075:WVT983075 K32:L32 JG32:JH32 TC32:TD32 ACY32:ACZ32 AMU32:AMV32 AWQ32:AWR32 BGM32:BGN32 BQI32:BQJ32 CAE32:CAF32 CKA32:CKB32 CTW32:CTX32 DDS32:DDT32 DNO32:DNP32 DXK32:DXL32 EHG32:EHH32 ERC32:ERD32 FAY32:FAZ32 FKU32:FKV32 FUQ32:FUR32 GEM32:GEN32 GOI32:GOJ32 GYE32:GYF32 HIA32:HIB32 HRW32:HRX32 IBS32:IBT32 ILO32:ILP32 IVK32:IVL32 JFG32:JFH32 JPC32:JPD32 JYY32:JYZ32 KIU32:KIV32 KSQ32:KSR32 LCM32:LCN32 LMI32:LMJ32 LWE32:LWF32 MGA32:MGB32 MPW32:MPX32 MZS32:MZT32 NJO32:NJP32 NTK32:NTL32 ODG32:ODH32 ONC32:OND32 OWY32:OWZ32 PGU32:PGV32 PQQ32:PQR32 QAM32:QAN32 QKI32:QKJ32 QUE32:QUF32 REA32:REB32 RNW32:RNX32 RXS32:RXT32 SHO32:SHP32 SRK32:SRL32 TBG32:TBH32 TLC32:TLD32 TUY32:TUZ32 UEU32:UEV32 UOQ32:UOR32 UYM32:UYN32 VII32:VIJ32 VSE32:VSF32 WCA32:WCB32 WLW32:WLX32 WVS32:WVT32 K65568:L65568 JG65568:JH65568 TC65568:TD65568 ACY65568:ACZ65568 AMU65568:AMV65568 AWQ65568:AWR65568 BGM65568:BGN65568 BQI65568:BQJ65568 CAE65568:CAF65568 CKA65568:CKB65568 CTW65568:CTX65568 DDS65568:DDT65568 DNO65568:DNP65568 DXK65568:DXL65568 EHG65568:EHH65568 ERC65568:ERD65568 FAY65568:FAZ65568 FKU65568:FKV65568 FUQ65568:FUR65568 GEM65568:GEN65568 GOI65568:GOJ65568 GYE65568:GYF65568 HIA65568:HIB65568 HRW65568:HRX65568 IBS65568:IBT65568 ILO65568:ILP65568 IVK65568:IVL65568 JFG65568:JFH65568 JPC65568:JPD65568 JYY65568:JYZ65568 KIU65568:KIV65568 KSQ65568:KSR65568 LCM65568:LCN65568 LMI65568:LMJ65568 LWE65568:LWF65568 MGA65568:MGB65568 MPW65568:MPX65568 MZS65568:MZT65568 NJO65568:NJP65568 NTK65568:NTL65568 ODG65568:ODH65568 ONC65568:OND65568 OWY65568:OWZ65568 PGU65568:PGV65568 PQQ65568:PQR65568 QAM65568:QAN65568 QKI65568:QKJ65568 QUE65568:QUF65568 REA65568:REB65568 RNW65568:RNX65568 RXS65568:RXT65568 SHO65568:SHP65568 SRK65568:SRL65568 TBG65568:TBH65568 TLC65568:TLD65568 TUY65568:TUZ65568 UEU65568:UEV65568 UOQ65568:UOR65568 UYM65568:UYN65568 VII65568:VIJ65568 VSE65568:VSF65568 WCA65568:WCB65568 WLW65568:WLX65568 WVS65568:WVT65568 K131104:L131104 JG131104:JH131104 TC131104:TD131104 ACY131104:ACZ131104 AMU131104:AMV131104 AWQ131104:AWR131104 BGM131104:BGN131104 BQI131104:BQJ131104 CAE131104:CAF131104 CKA131104:CKB131104 CTW131104:CTX131104 DDS131104:DDT131104 DNO131104:DNP131104 DXK131104:DXL131104 EHG131104:EHH131104 ERC131104:ERD131104 FAY131104:FAZ131104 FKU131104:FKV131104 FUQ131104:FUR131104 GEM131104:GEN131104 GOI131104:GOJ131104 GYE131104:GYF131104 HIA131104:HIB131104 HRW131104:HRX131104 IBS131104:IBT131104 ILO131104:ILP131104 IVK131104:IVL131104 JFG131104:JFH131104 JPC131104:JPD131104 JYY131104:JYZ131104 KIU131104:KIV131104 KSQ131104:KSR131104 LCM131104:LCN131104 LMI131104:LMJ131104 LWE131104:LWF131104 MGA131104:MGB131104 MPW131104:MPX131104 MZS131104:MZT131104 NJO131104:NJP131104 NTK131104:NTL131104 ODG131104:ODH131104 ONC131104:OND131104 OWY131104:OWZ131104 PGU131104:PGV131104 PQQ131104:PQR131104 QAM131104:QAN131104 QKI131104:QKJ131104 QUE131104:QUF131104 REA131104:REB131104 RNW131104:RNX131104 RXS131104:RXT131104 SHO131104:SHP131104 SRK131104:SRL131104 TBG131104:TBH131104 TLC131104:TLD131104 TUY131104:TUZ131104 UEU131104:UEV131104 UOQ131104:UOR131104 UYM131104:UYN131104 VII131104:VIJ131104 VSE131104:VSF131104 WCA131104:WCB131104 WLW131104:WLX131104 WVS131104:WVT131104 K196640:L196640 JG196640:JH196640 TC196640:TD196640 ACY196640:ACZ196640 AMU196640:AMV196640 AWQ196640:AWR196640 BGM196640:BGN196640 BQI196640:BQJ196640 CAE196640:CAF196640 CKA196640:CKB196640 CTW196640:CTX196640 DDS196640:DDT196640 DNO196640:DNP196640 DXK196640:DXL196640 EHG196640:EHH196640 ERC196640:ERD196640 FAY196640:FAZ196640 FKU196640:FKV196640 FUQ196640:FUR196640 GEM196640:GEN196640 GOI196640:GOJ196640 GYE196640:GYF196640 HIA196640:HIB196640 HRW196640:HRX196640 IBS196640:IBT196640 ILO196640:ILP196640 IVK196640:IVL196640 JFG196640:JFH196640 JPC196640:JPD196640 JYY196640:JYZ196640 KIU196640:KIV196640 KSQ196640:KSR196640 LCM196640:LCN196640 LMI196640:LMJ196640 LWE196640:LWF196640 MGA196640:MGB196640 MPW196640:MPX196640 MZS196640:MZT196640 NJO196640:NJP196640 NTK196640:NTL196640 ODG196640:ODH196640 ONC196640:OND196640 OWY196640:OWZ196640 PGU196640:PGV196640 PQQ196640:PQR196640 QAM196640:QAN196640 QKI196640:QKJ196640 QUE196640:QUF196640 REA196640:REB196640 RNW196640:RNX196640 RXS196640:RXT196640 SHO196640:SHP196640 SRK196640:SRL196640 TBG196640:TBH196640 TLC196640:TLD196640 TUY196640:TUZ196640 UEU196640:UEV196640 UOQ196640:UOR196640 UYM196640:UYN196640 VII196640:VIJ196640 VSE196640:VSF196640 WCA196640:WCB196640 WLW196640:WLX196640 WVS196640:WVT196640 K262176:L262176 JG262176:JH262176 TC262176:TD262176 ACY262176:ACZ262176 AMU262176:AMV262176 AWQ262176:AWR262176 BGM262176:BGN262176 BQI262176:BQJ262176 CAE262176:CAF262176 CKA262176:CKB262176 CTW262176:CTX262176 DDS262176:DDT262176 DNO262176:DNP262176 DXK262176:DXL262176 EHG262176:EHH262176 ERC262176:ERD262176 FAY262176:FAZ262176 FKU262176:FKV262176 FUQ262176:FUR262176 GEM262176:GEN262176 GOI262176:GOJ262176 GYE262176:GYF262176 HIA262176:HIB262176 HRW262176:HRX262176 IBS262176:IBT262176 ILO262176:ILP262176 IVK262176:IVL262176 JFG262176:JFH262176 JPC262176:JPD262176 JYY262176:JYZ262176 KIU262176:KIV262176 KSQ262176:KSR262176 LCM262176:LCN262176 LMI262176:LMJ262176 LWE262176:LWF262176 MGA262176:MGB262176 MPW262176:MPX262176 MZS262176:MZT262176 NJO262176:NJP262176 NTK262176:NTL262176 ODG262176:ODH262176 ONC262176:OND262176 OWY262176:OWZ262176 PGU262176:PGV262176 PQQ262176:PQR262176 QAM262176:QAN262176 QKI262176:QKJ262176 QUE262176:QUF262176 REA262176:REB262176 RNW262176:RNX262176 RXS262176:RXT262176 SHO262176:SHP262176 SRK262176:SRL262176 TBG262176:TBH262176 TLC262176:TLD262176 TUY262176:TUZ262176 UEU262176:UEV262176 UOQ262176:UOR262176 UYM262176:UYN262176 VII262176:VIJ262176 VSE262176:VSF262176 WCA262176:WCB262176 WLW262176:WLX262176 WVS262176:WVT262176 K327712:L327712 JG327712:JH327712 TC327712:TD327712 ACY327712:ACZ327712 AMU327712:AMV327712 AWQ327712:AWR327712 BGM327712:BGN327712 BQI327712:BQJ327712 CAE327712:CAF327712 CKA327712:CKB327712 CTW327712:CTX327712 DDS327712:DDT327712 DNO327712:DNP327712 DXK327712:DXL327712 EHG327712:EHH327712 ERC327712:ERD327712 FAY327712:FAZ327712 FKU327712:FKV327712 FUQ327712:FUR327712 GEM327712:GEN327712 GOI327712:GOJ327712 GYE327712:GYF327712 HIA327712:HIB327712 HRW327712:HRX327712 IBS327712:IBT327712 ILO327712:ILP327712 IVK327712:IVL327712 JFG327712:JFH327712 JPC327712:JPD327712 JYY327712:JYZ327712 KIU327712:KIV327712 KSQ327712:KSR327712 LCM327712:LCN327712 LMI327712:LMJ327712 LWE327712:LWF327712 MGA327712:MGB327712 MPW327712:MPX327712 MZS327712:MZT327712 NJO327712:NJP327712 NTK327712:NTL327712 ODG327712:ODH327712 ONC327712:OND327712 OWY327712:OWZ327712 PGU327712:PGV327712 PQQ327712:PQR327712 QAM327712:QAN327712 QKI327712:QKJ327712 QUE327712:QUF327712 REA327712:REB327712 RNW327712:RNX327712 RXS327712:RXT327712 SHO327712:SHP327712 SRK327712:SRL327712 TBG327712:TBH327712 TLC327712:TLD327712 TUY327712:TUZ327712 UEU327712:UEV327712 UOQ327712:UOR327712 UYM327712:UYN327712 VII327712:VIJ327712 VSE327712:VSF327712 WCA327712:WCB327712 WLW327712:WLX327712 WVS327712:WVT327712 K393248:L393248 JG393248:JH393248 TC393248:TD393248 ACY393248:ACZ393248 AMU393248:AMV393248 AWQ393248:AWR393248 BGM393248:BGN393248 BQI393248:BQJ393248 CAE393248:CAF393248 CKA393248:CKB393248 CTW393248:CTX393248 DDS393248:DDT393248 DNO393248:DNP393248 DXK393248:DXL393248 EHG393248:EHH393248 ERC393248:ERD393248 FAY393248:FAZ393248 FKU393248:FKV393248 FUQ393248:FUR393248 GEM393248:GEN393248 GOI393248:GOJ393248 GYE393248:GYF393248 HIA393248:HIB393248 HRW393248:HRX393248 IBS393248:IBT393248 ILO393248:ILP393248 IVK393248:IVL393248 JFG393248:JFH393248 JPC393248:JPD393248 JYY393248:JYZ393248 KIU393248:KIV393248 KSQ393248:KSR393248 LCM393248:LCN393248 LMI393248:LMJ393248 LWE393248:LWF393248 MGA393248:MGB393248 MPW393248:MPX393248 MZS393248:MZT393248 NJO393248:NJP393248 NTK393248:NTL393248 ODG393248:ODH393248 ONC393248:OND393248 OWY393248:OWZ393248 PGU393248:PGV393248 PQQ393248:PQR393248 QAM393248:QAN393248 QKI393248:QKJ393248 QUE393248:QUF393248 REA393248:REB393248 RNW393248:RNX393248 RXS393248:RXT393248 SHO393248:SHP393248 SRK393248:SRL393248 TBG393248:TBH393248 TLC393248:TLD393248 TUY393248:TUZ393248 UEU393248:UEV393248 UOQ393248:UOR393248 UYM393248:UYN393248 VII393248:VIJ393248 VSE393248:VSF393248 WCA393248:WCB393248 WLW393248:WLX393248 WVS393248:WVT393248 K458784:L458784 JG458784:JH458784 TC458784:TD458784 ACY458784:ACZ458784 AMU458784:AMV458784 AWQ458784:AWR458784 BGM458784:BGN458784 BQI458784:BQJ458784 CAE458784:CAF458784 CKA458784:CKB458784 CTW458784:CTX458784 DDS458784:DDT458784 DNO458784:DNP458784 DXK458784:DXL458784 EHG458784:EHH458784 ERC458784:ERD458784 FAY458784:FAZ458784 FKU458784:FKV458784 FUQ458784:FUR458784 GEM458784:GEN458784 GOI458784:GOJ458784 GYE458784:GYF458784 HIA458784:HIB458784 HRW458784:HRX458784 IBS458784:IBT458784 ILO458784:ILP458784 IVK458784:IVL458784 JFG458784:JFH458784 JPC458784:JPD458784 JYY458784:JYZ458784 KIU458784:KIV458784 KSQ458784:KSR458784 LCM458784:LCN458784 LMI458784:LMJ458784 LWE458784:LWF458784 MGA458784:MGB458784 MPW458784:MPX458784 MZS458784:MZT458784 NJO458784:NJP458784 NTK458784:NTL458784 ODG458784:ODH458784 ONC458784:OND458784 OWY458784:OWZ458784 PGU458784:PGV458784 PQQ458784:PQR458784 QAM458784:QAN458784 QKI458784:QKJ458784 QUE458784:QUF458784 REA458784:REB458784 RNW458784:RNX458784 RXS458784:RXT458784 SHO458784:SHP458784 SRK458784:SRL458784 TBG458784:TBH458784 TLC458784:TLD458784 TUY458784:TUZ458784 UEU458784:UEV458784 UOQ458784:UOR458784 UYM458784:UYN458784 VII458784:VIJ458784 VSE458784:VSF458784 WCA458784:WCB458784 WLW458784:WLX458784 WVS458784:WVT458784 K524320:L524320 JG524320:JH524320 TC524320:TD524320 ACY524320:ACZ524320 AMU524320:AMV524320 AWQ524320:AWR524320 BGM524320:BGN524320 BQI524320:BQJ524320 CAE524320:CAF524320 CKA524320:CKB524320 CTW524320:CTX524320 DDS524320:DDT524320 DNO524320:DNP524320 DXK524320:DXL524320 EHG524320:EHH524320 ERC524320:ERD524320 FAY524320:FAZ524320 FKU524320:FKV524320 FUQ524320:FUR524320 GEM524320:GEN524320 GOI524320:GOJ524320 GYE524320:GYF524320 HIA524320:HIB524320 HRW524320:HRX524320 IBS524320:IBT524320 ILO524320:ILP524320 IVK524320:IVL524320 JFG524320:JFH524320 JPC524320:JPD524320 JYY524320:JYZ524320 KIU524320:KIV524320 KSQ524320:KSR524320 LCM524320:LCN524320 LMI524320:LMJ524320 LWE524320:LWF524320 MGA524320:MGB524320 MPW524320:MPX524320 MZS524320:MZT524320 NJO524320:NJP524320 NTK524320:NTL524320 ODG524320:ODH524320 ONC524320:OND524320 OWY524320:OWZ524320 PGU524320:PGV524320 PQQ524320:PQR524320 QAM524320:QAN524320 QKI524320:QKJ524320 QUE524320:QUF524320 REA524320:REB524320 RNW524320:RNX524320 RXS524320:RXT524320 SHO524320:SHP524320 SRK524320:SRL524320 TBG524320:TBH524320 TLC524320:TLD524320 TUY524320:TUZ524320 UEU524320:UEV524320 UOQ524320:UOR524320 UYM524320:UYN524320 VII524320:VIJ524320 VSE524320:VSF524320 WCA524320:WCB524320 WLW524320:WLX524320 WVS524320:WVT524320 K589856:L589856 JG589856:JH589856 TC589856:TD589856 ACY589856:ACZ589856 AMU589856:AMV589856 AWQ589856:AWR589856 BGM589856:BGN589856 BQI589856:BQJ589856 CAE589856:CAF589856 CKA589856:CKB589856 CTW589856:CTX589856 DDS589856:DDT589856 DNO589856:DNP589856 DXK589856:DXL589856 EHG589856:EHH589856 ERC589856:ERD589856 FAY589856:FAZ589856 FKU589856:FKV589856 FUQ589856:FUR589856 GEM589856:GEN589856 GOI589856:GOJ589856 GYE589856:GYF589856 HIA589856:HIB589856 HRW589856:HRX589856 IBS589856:IBT589856 ILO589856:ILP589856 IVK589856:IVL589856 JFG589856:JFH589856 JPC589856:JPD589856 JYY589856:JYZ589856 KIU589856:KIV589856 KSQ589856:KSR589856 LCM589856:LCN589856 LMI589856:LMJ589856 LWE589856:LWF589856 MGA589856:MGB589856 MPW589856:MPX589856 MZS589856:MZT589856 NJO589856:NJP589856 NTK589856:NTL589856 ODG589856:ODH589856 ONC589856:OND589856 OWY589856:OWZ589856 PGU589856:PGV589856 PQQ589856:PQR589856 QAM589856:QAN589856 QKI589856:QKJ589856 QUE589856:QUF589856 REA589856:REB589856 RNW589856:RNX589856 RXS589856:RXT589856 SHO589856:SHP589856 SRK589856:SRL589856 TBG589856:TBH589856 TLC589856:TLD589856 TUY589856:TUZ589856 UEU589856:UEV589856 UOQ589856:UOR589856 UYM589856:UYN589856 VII589856:VIJ589856 VSE589856:VSF589856 WCA589856:WCB589856 WLW589856:WLX589856 WVS589856:WVT589856 K655392:L655392 JG655392:JH655392 TC655392:TD655392 ACY655392:ACZ655392 AMU655392:AMV655392 AWQ655392:AWR655392 BGM655392:BGN655392 BQI655392:BQJ655392 CAE655392:CAF655392 CKA655392:CKB655392 CTW655392:CTX655392 DDS655392:DDT655392 DNO655392:DNP655392 DXK655392:DXL655392 EHG655392:EHH655392 ERC655392:ERD655392 FAY655392:FAZ655392 FKU655392:FKV655392 FUQ655392:FUR655392 GEM655392:GEN655392 GOI655392:GOJ655392 GYE655392:GYF655392 HIA655392:HIB655392 HRW655392:HRX655392 IBS655392:IBT655392 ILO655392:ILP655392 IVK655392:IVL655392 JFG655392:JFH655392 JPC655392:JPD655392 JYY655392:JYZ655392 KIU655392:KIV655392 KSQ655392:KSR655392 LCM655392:LCN655392 LMI655392:LMJ655392 LWE655392:LWF655392 MGA655392:MGB655392 MPW655392:MPX655392 MZS655392:MZT655392 NJO655392:NJP655392 NTK655392:NTL655392 ODG655392:ODH655392 ONC655392:OND655392 OWY655392:OWZ655392 PGU655392:PGV655392 PQQ655392:PQR655392 QAM655392:QAN655392 QKI655392:QKJ655392 QUE655392:QUF655392 REA655392:REB655392 RNW655392:RNX655392 RXS655392:RXT655392 SHO655392:SHP655392 SRK655392:SRL655392 TBG655392:TBH655392 TLC655392:TLD655392 TUY655392:TUZ655392 UEU655392:UEV655392 UOQ655392:UOR655392 UYM655392:UYN655392 VII655392:VIJ655392 VSE655392:VSF655392 WCA655392:WCB655392 WLW655392:WLX655392 WVS655392:WVT655392 K720928:L720928 JG720928:JH720928 TC720928:TD720928 ACY720928:ACZ720928 AMU720928:AMV720928 AWQ720928:AWR720928 BGM720928:BGN720928 BQI720928:BQJ720928 CAE720928:CAF720928 CKA720928:CKB720928 CTW720928:CTX720928 DDS720928:DDT720928 DNO720928:DNP720928 DXK720928:DXL720928 EHG720928:EHH720928 ERC720928:ERD720928 FAY720928:FAZ720928 FKU720928:FKV720928 FUQ720928:FUR720928 GEM720928:GEN720928 GOI720928:GOJ720928 GYE720928:GYF720928 HIA720928:HIB720928 HRW720928:HRX720928 IBS720928:IBT720928 ILO720928:ILP720928 IVK720928:IVL720928 JFG720928:JFH720928 JPC720928:JPD720928 JYY720928:JYZ720928 KIU720928:KIV720928 KSQ720928:KSR720928 LCM720928:LCN720928 LMI720928:LMJ720928 LWE720928:LWF720928 MGA720928:MGB720928 MPW720928:MPX720928 MZS720928:MZT720928 NJO720928:NJP720928 NTK720928:NTL720928 ODG720928:ODH720928 ONC720928:OND720928 OWY720928:OWZ720928 PGU720928:PGV720928 PQQ720928:PQR720928 QAM720928:QAN720928 QKI720928:QKJ720928 QUE720928:QUF720928 REA720928:REB720928 RNW720928:RNX720928 RXS720928:RXT720928 SHO720928:SHP720928 SRK720928:SRL720928 TBG720928:TBH720928 TLC720928:TLD720928 TUY720928:TUZ720928 UEU720928:UEV720928 UOQ720928:UOR720928 UYM720928:UYN720928 VII720928:VIJ720928 VSE720928:VSF720928 WCA720928:WCB720928 WLW720928:WLX720928 WVS720928:WVT720928 K786464:L786464 JG786464:JH786464 TC786464:TD786464 ACY786464:ACZ786464 AMU786464:AMV786464 AWQ786464:AWR786464 BGM786464:BGN786464 BQI786464:BQJ786464 CAE786464:CAF786464 CKA786464:CKB786464 CTW786464:CTX786464 DDS786464:DDT786464 DNO786464:DNP786464 DXK786464:DXL786464 EHG786464:EHH786464 ERC786464:ERD786464 FAY786464:FAZ786464 FKU786464:FKV786464 FUQ786464:FUR786464 GEM786464:GEN786464 GOI786464:GOJ786464 GYE786464:GYF786464 HIA786464:HIB786464 HRW786464:HRX786464 IBS786464:IBT786464 ILO786464:ILP786464 IVK786464:IVL786464 JFG786464:JFH786464 JPC786464:JPD786464 JYY786464:JYZ786464 KIU786464:KIV786464 KSQ786464:KSR786464 LCM786464:LCN786464 LMI786464:LMJ786464 LWE786464:LWF786464 MGA786464:MGB786464 MPW786464:MPX786464 MZS786464:MZT786464 NJO786464:NJP786464 NTK786464:NTL786464 ODG786464:ODH786464 ONC786464:OND786464 OWY786464:OWZ786464 PGU786464:PGV786464 PQQ786464:PQR786464 QAM786464:QAN786464 QKI786464:QKJ786464 QUE786464:QUF786464 REA786464:REB786464 RNW786464:RNX786464 RXS786464:RXT786464 SHO786464:SHP786464 SRK786464:SRL786464 TBG786464:TBH786464 TLC786464:TLD786464 TUY786464:TUZ786464 UEU786464:UEV786464 UOQ786464:UOR786464 UYM786464:UYN786464 VII786464:VIJ786464 VSE786464:VSF786464 WCA786464:WCB786464 WLW786464:WLX786464 WVS786464:WVT786464 K852000:L852000 JG852000:JH852000 TC852000:TD852000 ACY852000:ACZ852000 AMU852000:AMV852000 AWQ852000:AWR852000 BGM852000:BGN852000 BQI852000:BQJ852000 CAE852000:CAF852000 CKA852000:CKB852000 CTW852000:CTX852000 DDS852000:DDT852000 DNO852000:DNP852000 DXK852000:DXL852000 EHG852000:EHH852000 ERC852000:ERD852000 FAY852000:FAZ852000 FKU852000:FKV852000 FUQ852000:FUR852000 GEM852000:GEN852000 GOI852000:GOJ852000 GYE852000:GYF852000 HIA852000:HIB852000 HRW852000:HRX852000 IBS852000:IBT852000 ILO852000:ILP852000 IVK852000:IVL852000 JFG852000:JFH852000 JPC852000:JPD852000 JYY852000:JYZ852000 KIU852000:KIV852000 KSQ852000:KSR852000 LCM852000:LCN852000 LMI852000:LMJ852000 LWE852000:LWF852000 MGA852000:MGB852000 MPW852000:MPX852000 MZS852000:MZT852000 NJO852000:NJP852000 NTK852000:NTL852000 ODG852000:ODH852000 ONC852000:OND852000 OWY852000:OWZ852000 PGU852000:PGV852000 PQQ852000:PQR852000 QAM852000:QAN852000 QKI852000:QKJ852000 QUE852000:QUF852000 REA852000:REB852000 RNW852000:RNX852000 RXS852000:RXT852000 SHO852000:SHP852000 SRK852000:SRL852000 TBG852000:TBH852000 TLC852000:TLD852000 TUY852000:TUZ852000 UEU852000:UEV852000 UOQ852000:UOR852000 UYM852000:UYN852000 VII852000:VIJ852000 VSE852000:VSF852000 WCA852000:WCB852000 WLW852000:WLX852000 WVS852000:WVT852000 K917536:L917536 JG917536:JH917536 TC917536:TD917536 ACY917536:ACZ917536 AMU917536:AMV917536 AWQ917536:AWR917536 BGM917536:BGN917536 BQI917536:BQJ917536 CAE917536:CAF917536 CKA917536:CKB917536 CTW917536:CTX917536 DDS917536:DDT917536 DNO917536:DNP917536 DXK917536:DXL917536 EHG917536:EHH917536 ERC917536:ERD917536 FAY917536:FAZ917536 FKU917536:FKV917536 FUQ917536:FUR917536 GEM917536:GEN917536 GOI917536:GOJ917536 GYE917536:GYF917536 HIA917536:HIB917536 HRW917536:HRX917536 IBS917536:IBT917536 ILO917536:ILP917536 IVK917536:IVL917536 JFG917536:JFH917536 JPC917536:JPD917536 JYY917536:JYZ917536 KIU917536:KIV917536 KSQ917536:KSR917536 LCM917536:LCN917536 LMI917536:LMJ917536 LWE917536:LWF917536 MGA917536:MGB917536 MPW917536:MPX917536 MZS917536:MZT917536 NJO917536:NJP917536 NTK917536:NTL917536 ODG917536:ODH917536 ONC917536:OND917536 OWY917536:OWZ917536 PGU917536:PGV917536 PQQ917536:PQR917536 QAM917536:QAN917536 QKI917536:QKJ917536 QUE917536:QUF917536 REA917536:REB917536 RNW917536:RNX917536 RXS917536:RXT917536 SHO917536:SHP917536 SRK917536:SRL917536 TBG917536:TBH917536 TLC917536:TLD917536 TUY917536:TUZ917536 UEU917536:UEV917536 UOQ917536:UOR917536 UYM917536:UYN917536 VII917536:VIJ917536 VSE917536:VSF917536 WCA917536:WCB917536 WLW917536:WLX917536 WVS917536:WVT917536 K983072:L983072 JG983072:JH983072 TC983072:TD983072 ACY983072:ACZ983072 AMU983072:AMV983072 AWQ983072:AWR983072 BGM983072:BGN983072 BQI983072:BQJ983072 CAE983072:CAF983072 CKA983072:CKB983072 CTW983072:CTX983072 DDS983072:DDT983072 DNO983072:DNP983072 DXK983072:DXL983072 EHG983072:EHH983072 ERC983072:ERD983072 FAY983072:FAZ983072 FKU983072:FKV983072 FUQ983072:FUR983072 GEM983072:GEN983072 GOI983072:GOJ983072 GYE983072:GYF983072 HIA983072:HIB983072 HRW983072:HRX983072 IBS983072:IBT983072 ILO983072:ILP983072 IVK983072:IVL983072 JFG983072:JFH983072 JPC983072:JPD983072 JYY983072:JYZ983072 KIU983072:KIV983072 KSQ983072:KSR983072 LCM983072:LCN983072 LMI983072:LMJ983072 LWE983072:LWF983072 MGA983072:MGB983072 MPW983072:MPX983072 MZS983072:MZT983072 NJO983072:NJP983072 NTK983072:NTL983072 ODG983072:ODH983072 ONC983072:OND983072 OWY983072:OWZ983072 PGU983072:PGV983072 PQQ983072:PQR983072 QAM983072:QAN983072 QKI983072:QKJ983072 QUE983072:QUF983072 REA983072:REB983072 RNW983072:RNX983072 RXS983072:RXT983072 SHO983072:SHP983072 SRK983072:SRL983072 TBG983072:TBH983072 TLC983072:TLD983072 TUY983072:TUZ983072 UEU983072:UEV983072 UOQ983072:UOR983072 UYM983072:UYN983072 VII983072:VIJ983072 VSE983072:VSF983072 WCA983072:WCB983072 WLW983072:WLX983072 WVS983072:WVT983072 K29:L29 JG29:JH29 TC29:TD29 ACY29:ACZ29 AMU29:AMV29 AWQ29:AWR29 BGM29:BGN29 BQI29:BQJ29 CAE29:CAF29 CKA29:CKB29 CTW29:CTX29 DDS29:DDT29 DNO29:DNP29 DXK29:DXL29 EHG29:EHH29 ERC29:ERD29 FAY29:FAZ29 FKU29:FKV29 FUQ29:FUR29 GEM29:GEN29 GOI29:GOJ29 GYE29:GYF29 HIA29:HIB29 HRW29:HRX29 IBS29:IBT29 ILO29:ILP29 IVK29:IVL29 JFG29:JFH29 JPC29:JPD29 JYY29:JYZ29 KIU29:KIV29 KSQ29:KSR29 LCM29:LCN29 LMI29:LMJ29 LWE29:LWF29 MGA29:MGB29 MPW29:MPX29 MZS29:MZT29 NJO29:NJP29 NTK29:NTL29 ODG29:ODH29 ONC29:OND29 OWY29:OWZ29 PGU29:PGV29 PQQ29:PQR29 QAM29:QAN29 QKI29:QKJ29 QUE29:QUF29 REA29:REB29 RNW29:RNX29 RXS29:RXT29 SHO29:SHP29 SRK29:SRL29 TBG29:TBH29 TLC29:TLD29 TUY29:TUZ29 UEU29:UEV29 UOQ29:UOR29 UYM29:UYN29 VII29:VIJ29 VSE29:VSF29 WCA29:WCB29 WLW29:WLX29 WVS29:WVT29 K65565:L65565 JG65565:JH65565 TC65565:TD65565 ACY65565:ACZ65565 AMU65565:AMV65565 AWQ65565:AWR65565 BGM65565:BGN65565 BQI65565:BQJ65565 CAE65565:CAF65565 CKA65565:CKB65565 CTW65565:CTX65565 DDS65565:DDT65565 DNO65565:DNP65565 DXK65565:DXL65565 EHG65565:EHH65565 ERC65565:ERD65565 FAY65565:FAZ65565 FKU65565:FKV65565 FUQ65565:FUR65565 GEM65565:GEN65565 GOI65565:GOJ65565 GYE65565:GYF65565 HIA65565:HIB65565 HRW65565:HRX65565 IBS65565:IBT65565 ILO65565:ILP65565 IVK65565:IVL65565 JFG65565:JFH65565 JPC65565:JPD65565 JYY65565:JYZ65565 KIU65565:KIV65565 KSQ65565:KSR65565 LCM65565:LCN65565 LMI65565:LMJ65565 LWE65565:LWF65565 MGA65565:MGB65565 MPW65565:MPX65565 MZS65565:MZT65565 NJO65565:NJP65565 NTK65565:NTL65565 ODG65565:ODH65565 ONC65565:OND65565 OWY65565:OWZ65565 PGU65565:PGV65565 PQQ65565:PQR65565 QAM65565:QAN65565 QKI65565:QKJ65565 QUE65565:QUF65565 REA65565:REB65565 RNW65565:RNX65565 RXS65565:RXT65565 SHO65565:SHP65565 SRK65565:SRL65565 TBG65565:TBH65565 TLC65565:TLD65565 TUY65565:TUZ65565 UEU65565:UEV65565 UOQ65565:UOR65565 UYM65565:UYN65565 VII65565:VIJ65565 VSE65565:VSF65565 WCA65565:WCB65565 WLW65565:WLX65565 WVS65565:WVT65565 K131101:L131101 JG131101:JH131101 TC131101:TD131101 ACY131101:ACZ131101 AMU131101:AMV131101 AWQ131101:AWR131101 BGM131101:BGN131101 BQI131101:BQJ131101 CAE131101:CAF131101 CKA131101:CKB131101 CTW131101:CTX131101 DDS131101:DDT131101 DNO131101:DNP131101 DXK131101:DXL131101 EHG131101:EHH131101 ERC131101:ERD131101 FAY131101:FAZ131101 FKU131101:FKV131101 FUQ131101:FUR131101 GEM131101:GEN131101 GOI131101:GOJ131101 GYE131101:GYF131101 HIA131101:HIB131101 HRW131101:HRX131101 IBS131101:IBT131101 ILO131101:ILP131101 IVK131101:IVL131101 JFG131101:JFH131101 JPC131101:JPD131101 JYY131101:JYZ131101 KIU131101:KIV131101 KSQ131101:KSR131101 LCM131101:LCN131101 LMI131101:LMJ131101 LWE131101:LWF131101 MGA131101:MGB131101 MPW131101:MPX131101 MZS131101:MZT131101 NJO131101:NJP131101 NTK131101:NTL131101 ODG131101:ODH131101 ONC131101:OND131101 OWY131101:OWZ131101 PGU131101:PGV131101 PQQ131101:PQR131101 QAM131101:QAN131101 QKI131101:QKJ131101 QUE131101:QUF131101 REA131101:REB131101 RNW131101:RNX131101 RXS131101:RXT131101 SHO131101:SHP131101 SRK131101:SRL131101 TBG131101:TBH131101 TLC131101:TLD131101 TUY131101:TUZ131101 UEU131101:UEV131101 UOQ131101:UOR131101 UYM131101:UYN131101 VII131101:VIJ131101 VSE131101:VSF131101 WCA131101:WCB131101 WLW131101:WLX131101 WVS131101:WVT131101 K196637:L196637 JG196637:JH196637 TC196637:TD196637 ACY196637:ACZ196637 AMU196637:AMV196637 AWQ196637:AWR196637 BGM196637:BGN196637 BQI196637:BQJ196637 CAE196637:CAF196637 CKA196637:CKB196637 CTW196637:CTX196637 DDS196637:DDT196637 DNO196637:DNP196637 DXK196637:DXL196637 EHG196637:EHH196637 ERC196637:ERD196637 FAY196637:FAZ196637 FKU196637:FKV196637 FUQ196637:FUR196637 GEM196637:GEN196637 GOI196637:GOJ196637 GYE196637:GYF196637 HIA196637:HIB196637 HRW196637:HRX196637 IBS196637:IBT196637 ILO196637:ILP196637 IVK196637:IVL196637 JFG196637:JFH196637 JPC196637:JPD196637 JYY196637:JYZ196637 KIU196637:KIV196637 KSQ196637:KSR196637 LCM196637:LCN196637 LMI196637:LMJ196637 LWE196637:LWF196637 MGA196637:MGB196637 MPW196637:MPX196637 MZS196637:MZT196637 NJO196637:NJP196637 NTK196637:NTL196637 ODG196637:ODH196637 ONC196637:OND196637 OWY196637:OWZ196637 PGU196637:PGV196637 PQQ196637:PQR196637 QAM196637:QAN196637 QKI196637:QKJ196637 QUE196637:QUF196637 REA196637:REB196637 RNW196637:RNX196637 RXS196637:RXT196637 SHO196637:SHP196637 SRK196637:SRL196637 TBG196637:TBH196637 TLC196637:TLD196637 TUY196637:TUZ196637 UEU196637:UEV196637 UOQ196637:UOR196637 UYM196637:UYN196637 VII196637:VIJ196637 VSE196637:VSF196637 WCA196637:WCB196637 WLW196637:WLX196637 WVS196637:WVT196637 K262173:L262173 JG262173:JH262173 TC262173:TD262173 ACY262173:ACZ262173 AMU262173:AMV262173 AWQ262173:AWR262173 BGM262173:BGN262173 BQI262173:BQJ262173 CAE262173:CAF262173 CKA262173:CKB262173 CTW262173:CTX262173 DDS262173:DDT262173 DNO262173:DNP262173 DXK262173:DXL262173 EHG262173:EHH262173 ERC262173:ERD262173 FAY262173:FAZ262173 FKU262173:FKV262173 FUQ262173:FUR262173 GEM262173:GEN262173 GOI262173:GOJ262173 GYE262173:GYF262173 HIA262173:HIB262173 HRW262173:HRX262173 IBS262173:IBT262173 ILO262173:ILP262173 IVK262173:IVL262173 JFG262173:JFH262173 JPC262173:JPD262173 JYY262173:JYZ262173 KIU262173:KIV262173 KSQ262173:KSR262173 LCM262173:LCN262173 LMI262173:LMJ262173 LWE262173:LWF262173 MGA262173:MGB262173 MPW262173:MPX262173 MZS262173:MZT262173 NJO262173:NJP262173 NTK262173:NTL262173 ODG262173:ODH262173 ONC262173:OND262173 OWY262173:OWZ262173 PGU262173:PGV262173 PQQ262173:PQR262173 QAM262173:QAN262173 QKI262173:QKJ262173 QUE262173:QUF262173 REA262173:REB262173 RNW262173:RNX262173 RXS262173:RXT262173 SHO262173:SHP262173 SRK262173:SRL262173 TBG262173:TBH262173 TLC262173:TLD262173 TUY262173:TUZ262173 UEU262173:UEV262173 UOQ262173:UOR262173 UYM262173:UYN262173 VII262173:VIJ262173 VSE262173:VSF262173 WCA262173:WCB262173 WLW262173:WLX262173 WVS262173:WVT262173 K327709:L327709 JG327709:JH327709 TC327709:TD327709 ACY327709:ACZ327709 AMU327709:AMV327709 AWQ327709:AWR327709 BGM327709:BGN327709 BQI327709:BQJ327709 CAE327709:CAF327709 CKA327709:CKB327709 CTW327709:CTX327709 DDS327709:DDT327709 DNO327709:DNP327709 DXK327709:DXL327709 EHG327709:EHH327709 ERC327709:ERD327709 FAY327709:FAZ327709 FKU327709:FKV327709 FUQ327709:FUR327709 GEM327709:GEN327709 GOI327709:GOJ327709 GYE327709:GYF327709 HIA327709:HIB327709 HRW327709:HRX327709 IBS327709:IBT327709 ILO327709:ILP327709 IVK327709:IVL327709 JFG327709:JFH327709 JPC327709:JPD327709 JYY327709:JYZ327709 KIU327709:KIV327709 KSQ327709:KSR327709 LCM327709:LCN327709 LMI327709:LMJ327709 LWE327709:LWF327709 MGA327709:MGB327709 MPW327709:MPX327709 MZS327709:MZT327709 NJO327709:NJP327709 NTK327709:NTL327709 ODG327709:ODH327709 ONC327709:OND327709 OWY327709:OWZ327709 PGU327709:PGV327709 PQQ327709:PQR327709 QAM327709:QAN327709 QKI327709:QKJ327709 QUE327709:QUF327709 REA327709:REB327709 RNW327709:RNX327709 RXS327709:RXT327709 SHO327709:SHP327709 SRK327709:SRL327709 TBG327709:TBH327709 TLC327709:TLD327709 TUY327709:TUZ327709 UEU327709:UEV327709 UOQ327709:UOR327709 UYM327709:UYN327709 VII327709:VIJ327709 VSE327709:VSF327709 WCA327709:WCB327709 WLW327709:WLX327709 WVS327709:WVT327709 K393245:L393245 JG393245:JH393245 TC393245:TD393245 ACY393245:ACZ393245 AMU393245:AMV393245 AWQ393245:AWR393245 BGM393245:BGN393245 BQI393245:BQJ393245 CAE393245:CAF393245 CKA393245:CKB393245 CTW393245:CTX393245 DDS393245:DDT393245 DNO393245:DNP393245 DXK393245:DXL393245 EHG393245:EHH393245 ERC393245:ERD393245 FAY393245:FAZ393245 FKU393245:FKV393245 FUQ393245:FUR393245 GEM393245:GEN393245 GOI393245:GOJ393245 GYE393245:GYF393245 HIA393245:HIB393245 HRW393245:HRX393245 IBS393245:IBT393245 ILO393245:ILP393245 IVK393245:IVL393245 JFG393245:JFH393245 JPC393245:JPD393245 JYY393245:JYZ393245 KIU393245:KIV393245 KSQ393245:KSR393245 LCM393245:LCN393245 LMI393245:LMJ393245 LWE393245:LWF393245 MGA393245:MGB393245 MPW393245:MPX393245 MZS393245:MZT393245 NJO393245:NJP393245 NTK393245:NTL393245 ODG393245:ODH393245 ONC393245:OND393245 OWY393245:OWZ393245 PGU393245:PGV393245 PQQ393245:PQR393245 QAM393245:QAN393245 QKI393245:QKJ393245 QUE393245:QUF393245 REA393245:REB393245 RNW393245:RNX393245 RXS393245:RXT393245 SHO393245:SHP393245 SRK393245:SRL393245 TBG393245:TBH393245 TLC393245:TLD393245 TUY393245:TUZ393245 UEU393245:UEV393245 UOQ393245:UOR393245 UYM393245:UYN393245 VII393245:VIJ393245 VSE393245:VSF393245 WCA393245:WCB393245 WLW393245:WLX393245 WVS393245:WVT393245 K458781:L458781 JG458781:JH458781 TC458781:TD458781 ACY458781:ACZ458781 AMU458781:AMV458781 AWQ458781:AWR458781 BGM458781:BGN458781 BQI458781:BQJ458781 CAE458781:CAF458781 CKA458781:CKB458781 CTW458781:CTX458781 DDS458781:DDT458781 DNO458781:DNP458781 DXK458781:DXL458781 EHG458781:EHH458781 ERC458781:ERD458781 FAY458781:FAZ458781 FKU458781:FKV458781 FUQ458781:FUR458781 GEM458781:GEN458781 GOI458781:GOJ458781 GYE458781:GYF458781 HIA458781:HIB458781 HRW458781:HRX458781 IBS458781:IBT458781 ILO458781:ILP458781 IVK458781:IVL458781 JFG458781:JFH458781 JPC458781:JPD458781 JYY458781:JYZ458781 KIU458781:KIV458781 KSQ458781:KSR458781 LCM458781:LCN458781 LMI458781:LMJ458781 LWE458781:LWF458781 MGA458781:MGB458781 MPW458781:MPX458781 MZS458781:MZT458781 NJO458781:NJP458781 NTK458781:NTL458781 ODG458781:ODH458781 ONC458781:OND458781 OWY458781:OWZ458781 PGU458781:PGV458781 PQQ458781:PQR458781 QAM458781:QAN458781 QKI458781:QKJ458781 QUE458781:QUF458781 REA458781:REB458781 RNW458781:RNX458781 RXS458781:RXT458781 SHO458781:SHP458781 SRK458781:SRL458781 TBG458781:TBH458781 TLC458781:TLD458781 TUY458781:TUZ458781 UEU458781:UEV458781 UOQ458781:UOR458781 UYM458781:UYN458781 VII458781:VIJ458781 VSE458781:VSF458781 WCA458781:WCB458781 WLW458781:WLX458781 WVS458781:WVT458781 K524317:L524317 JG524317:JH524317 TC524317:TD524317 ACY524317:ACZ524317 AMU524317:AMV524317 AWQ524317:AWR524317 BGM524317:BGN524317 BQI524317:BQJ524317 CAE524317:CAF524317 CKA524317:CKB524317 CTW524317:CTX524317 DDS524317:DDT524317 DNO524317:DNP524317 DXK524317:DXL524317 EHG524317:EHH524317 ERC524317:ERD524317 FAY524317:FAZ524317 FKU524317:FKV524317 FUQ524317:FUR524317 GEM524317:GEN524317 GOI524317:GOJ524317 GYE524317:GYF524317 HIA524317:HIB524317 HRW524317:HRX524317 IBS524317:IBT524317 ILO524317:ILP524317 IVK524317:IVL524317 JFG524317:JFH524317 JPC524317:JPD524317 JYY524317:JYZ524317 KIU524317:KIV524317 KSQ524317:KSR524317 LCM524317:LCN524317 LMI524317:LMJ524317 LWE524317:LWF524317 MGA524317:MGB524317 MPW524317:MPX524317 MZS524317:MZT524317 NJO524317:NJP524317 NTK524317:NTL524317 ODG524317:ODH524317 ONC524317:OND524317 OWY524317:OWZ524317 PGU524317:PGV524317 PQQ524317:PQR524317 QAM524317:QAN524317 QKI524317:QKJ524317 QUE524317:QUF524317 REA524317:REB524317 RNW524317:RNX524317 RXS524317:RXT524317 SHO524317:SHP524317 SRK524317:SRL524317 TBG524317:TBH524317 TLC524317:TLD524317 TUY524317:TUZ524317 UEU524317:UEV524317 UOQ524317:UOR524317 UYM524317:UYN524317 VII524317:VIJ524317 VSE524317:VSF524317 WCA524317:WCB524317 WLW524317:WLX524317 WVS524317:WVT524317 K589853:L589853 JG589853:JH589853 TC589853:TD589853 ACY589853:ACZ589853 AMU589853:AMV589853 AWQ589853:AWR589853 BGM589853:BGN589853 BQI589853:BQJ589853 CAE589853:CAF589853 CKA589853:CKB589853 CTW589853:CTX589853 DDS589853:DDT589853 DNO589853:DNP589853 DXK589853:DXL589853 EHG589853:EHH589853 ERC589853:ERD589853 FAY589853:FAZ589853 FKU589853:FKV589853 FUQ589853:FUR589853 GEM589853:GEN589853 GOI589853:GOJ589853 GYE589853:GYF589853 HIA589853:HIB589853 HRW589853:HRX589853 IBS589853:IBT589853 ILO589853:ILP589853 IVK589853:IVL589853 JFG589853:JFH589853 JPC589853:JPD589853 JYY589853:JYZ589853 KIU589853:KIV589853 KSQ589853:KSR589853 LCM589853:LCN589853 LMI589853:LMJ589853 LWE589853:LWF589853 MGA589853:MGB589853 MPW589853:MPX589853 MZS589853:MZT589853 NJO589853:NJP589853 NTK589853:NTL589853 ODG589853:ODH589853 ONC589853:OND589853 OWY589853:OWZ589853 PGU589853:PGV589853 PQQ589853:PQR589853 QAM589853:QAN589853 QKI589853:QKJ589853 QUE589853:QUF589853 REA589853:REB589853 RNW589853:RNX589853 RXS589853:RXT589853 SHO589853:SHP589853 SRK589853:SRL589853 TBG589853:TBH589853 TLC589853:TLD589853 TUY589853:TUZ589853 UEU589853:UEV589853 UOQ589853:UOR589853 UYM589853:UYN589853 VII589853:VIJ589853 VSE589853:VSF589853 WCA589853:WCB589853 WLW589853:WLX589853 WVS589853:WVT589853 K655389:L655389 JG655389:JH655389 TC655389:TD655389 ACY655389:ACZ655389 AMU655389:AMV655389 AWQ655389:AWR655389 BGM655389:BGN655389 BQI655389:BQJ655389 CAE655389:CAF655389 CKA655389:CKB655389 CTW655389:CTX655389 DDS655389:DDT655389 DNO655389:DNP655389 DXK655389:DXL655389 EHG655389:EHH655389 ERC655389:ERD655389 FAY655389:FAZ655389 FKU655389:FKV655389 FUQ655389:FUR655389 GEM655389:GEN655389 GOI655389:GOJ655389 GYE655389:GYF655389 HIA655389:HIB655389 HRW655389:HRX655389 IBS655389:IBT655389 ILO655389:ILP655389 IVK655389:IVL655389 JFG655389:JFH655389 JPC655389:JPD655389 JYY655389:JYZ655389 KIU655389:KIV655389 KSQ655389:KSR655389 LCM655389:LCN655389 LMI655389:LMJ655389 LWE655389:LWF655389 MGA655389:MGB655389 MPW655389:MPX655389 MZS655389:MZT655389 NJO655389:NJP655389 NTK655389:NTL655389 ODG655389:ODH655389 ONC655389:OND655389 OWY655389:OWZ655389 PGU655389:PGV655389 PQQ655389:PQR655389 QAM655389:QAN655389 QKI655389:QKJ655389 QUE655389:QUF655389 REA655389:REB655389 RNW655389:RNX655389 RXS655389:RXT655389 SHO655389:SHP655389 SRK655389:SRL655389 TBG655389:TBH655389 TLC655389:TLD655389 TUY655389:TUZ655389 UEU655389:UEV655389 UOQ655389:UOR655389 UYM655389:UYN655389 VII655389:VIJ655389 VSE655389:VSF655389 WCA655389:WCB655389 WLW655389:WLX655389 WVS655389:WVT655389 K720925:L720925 JG720925:JH720925 TC720925:TD720925 ACY720925:ACZ720925 AMU720925:AMV720925 AWQ720925:AWR720925 BGM720925:BGN720925 BQI720925:BQJ720925 CAE720925:CAF720925 CKA720925:CKB720925 CTW720925:CTX720925 DDS720925:DDT720925 DNO720925:DNP720925 DXK720925:DXL720925 EHG720925:EHH720925 ERC720925:ERD720925 FAY720925:FAZ720925 FKU720925:FKV720925 FUQ720925:FUR720925 GEM720925:GEN720925 GOI720925:GOJ720925 GYE720925:GYF720925 HIA720925:HIB720925 HRW720925:HRX720925 IBS720925:IBT720925 ILO720925:ILP720925 IVK720925:IVL720925 JFG720925:JFH720925 JPC720925:JPD720925 JYY720925:JYZ720925 KIU720925:KIV720925 KSQ720925:KSR720925 LCM720925:LCN720925 LMI720925:LMJ720925 LWE720925:LWF720925 MGA720925:MGB720925 MPW720925:MPX720925 MZS720925:MZT720925 NJO720925:NJP720925 NTK720925:NTL720925 ODG720925:ODH720925 ONC720925:OND720925 OWY720925:OWZ720925 PGU720925:PGV720925 PQQ720925:PQR720925 QAM720925:QAN720925 QKI720925:QKJ720925 QUE720925:QUF720925 REA720925:REB720925 RNW720925:RNX720925 RXS720925:RXT720925 SHO720925:SHP720925 SRK720925:SRL720925 TBG720925:TBH720925 TLC720925:TLD720925 TUY720925:TUZ720925 UEU720925:UEV720925 UOQ720925:UOR720925 UYM720925:UYN720925 VII720925:VIJ720925 VSE720925:VSF720925 WCA720925:WCB720925 WLW720925:WLX720925 WVS720925:WVT720925 K786461:L786461 JG786461:JH786461 TC786461:TD786461 ACY786461:ACZ786461 AMU786461:AMV786461 AWQ786461:AWR786461 BGM786461:BGN786461 BQI786461:BQJ786461 CAE786461:CAF786461 CKA786461:CKB786461 CTW786461:CTX786461 DDS786461:DDT786461 DNO786461:DNP786461 DXK786461:DXL786461 EHG786461:EHH786461 ERC786461:ERD786461 FAY786461:FAZ786461 FKU786461:FKV786461 FUQ786461:FUR786461 GEM786461:GEN786461 GOI786461:GOJ786461 GYE786461:GYF786461 HIA786461:HIB786461 HRW786461:HRX786461 IBS786461:IBT786461 ILO786461:ILP786461 IVK786461:IVL786461 JFG786461:JFH786461 JPC786461:JPD786461 JYY786461:JYZ786461 KIU786461:KIV786461 KSQ786461:KSR786461 LCM786461:LCN786461 LMI786461:LMJ786461 LWE786461:LWF786461 MGA786461:MGB786461 MPW786461:MPX786461 MZS786461:MZT786461 NJO786461:NJP786461 NTK786461:NTL786461 ODG786461:ODH786461 ONC786461:OND786461 OWY786461:OWZ786461 PGU786461:PGV786461 PQQ786461:PQR786461 QAM786461:QAN786461 QKI786461:QKJ786461 QUE786461:QUF786461 REA786461:REB786461 RNW786461:RNX786461 RXS786461:RXT786461 SHO786461:SHP786461 SRK786461:SRL786461 TBG786461:TBH786461 TLC786461:TLD786461 TUY786461:TUZ786461 UEU786461:UEV786461 UOQ786461:UOR786461 UYM786461:UYN786461 VII786461:VIJ786461 VSE786461:VSF786461 WCA786461:WCB786461 WLW786461:WLX786461 WVS786461:WVT786461 K851997:L851997 JG851997:JH851997 TC851997:TD851997 ACY851997:ACZ851997 AMU851997:AMV851997 AWQ851997:AWR851997 BGM851997:BGN851997 BQI851997:BQJ851997 CAE851997:CAF851997 CKA851997:CKB851997 CTW851997:CTX851997 DDS851997:DDT851997 DNO851997:DNP851997 DXK851997:DXL851997 EHG851997:EHH851997 ERC851997:ERD851997 FAY851997:FAZ851997 FKU851997:FKV851997 FUQ851997:FUR851997 GEM851997:GEN851997 GOI851997:GOJ851997 GYE851997:GYF851997 HIA851997:HIB851997 HRW851997:HRX851997 IBS851997:IBT851997 ILO851997:ILP851997 IVK851997:IVL851997 JFG851997:JFH851997 JPC851997:JPD851997 JYY851997:JYZ851997 KIU851997:KIV851997 KSQ851997:KSR851997 LCM851997:LCN851997 LMI851997:LMJ851997 LWE851997:LWF851997 MGA851997:MGB851997 MPW851997:MPX851997 MZS851997:MZT851997 NJO851997:NJP851997 NTK851997:NTL851997 ODG851997:ODH851997 ONC851997:OND851997 OWY851997:OWZ851997 PGU851997:PGV851997 PQQ851997:PQR851997 QAM851997:QAN851997 QKI851997:QKJ851997 QUE851997:QUF851997 REA851997:REB851997 RNW851997:RNX851997 RXS851997:RXT851997 SHO851997:SHP851997 SRK851997:SRL851997 TBG851997:TBH851997 TLC851997:TLD851997 TUY851997:TUZ851997 UEU851997:UEV851997 UOQ851997:UOR851997 UYM851997:UYN851997 VII851997:VIJ851997 VSE851997:VSF851997 WCA851997:WCB851997 WLW851997:WLX851997 WVS851997:WVT851997 K917533:L917533 JG917533:JH917533 TC917533:TD917533 ACY917533:ACZ917533 AMU917533:AMV917533 AWQ917533:AWR917533 BGM917533:BGN917533 BQI917533:BQJ917533 CAE917533:CAF917533 CKA917533:CKB917533 CTW917533:CTX917533 DDS917533:DDT917533 DNO917533:DNP917533 DXK917533:DXL917533 EHG917533:EHH917533 ERC917533:ERD917533 FAY917533:FAZ917533 FKU917533:FKV917533 FUQ917533:FUR917533 GEM917533:GEN917533 GOI917533:GOJ917533 GYE917533:GYF917533 HIA917533:HIB917533 HRW917533:HRX917533 IBS917533:IBT917533 ILO917533:ILP917533 IVK917533:IVL917533 JFG917533:JFH917533 JPC917533:JPD917533 JYY917533:JYZ917533 KIU917533:KIV917533 KSQ917533:KSR917533 LCM917533:LCN917533 LMI917533:LMJ917533 LWE917533:LWF917533 MGA917533:MGB917533 MPW917533:MPX917533 MZS917533:MZT917533 NJO917533:NJP917533 NTK917533:NTL917533 ODG917533:ODH917533 ONC917533:OND917533 OWY917533:OWZ917533 PGU917533:PGV917533 PQQ917533:PQR917533 QAM917533:QAN917533 QKI917533:QKJ917533 QUE917533:QUF917533 REA917533:REB917533 RNW917533:RNX917533 RXS917533:RXT917533 SHO917533:SHP917533 SRK917533:SRL917533 TBG917533:TBH917533 TLC917533:TLD917533 TUY917533:TUZ917533 UEU917533:UEV917533 UOQ917533:UOR917533 UYM917533:UYN917533 VII917533:VIJ917533 VSE917533:VSF917533 WCA917533:WCB917533 WLW917533:WLX917533 WVS917533:WVT917533 K983069:L983069 JG983069:JH983069 TC983069:TD983069 ACY983069:ACZ983069 AMU983069:AMV983069 AWQ983069:AWR983069 BGM983069:BGN983069 BQI983069:BQJ983069 CAE983069:CAF983069 CKA983069:CKB983069 CTW983069:CTX983069 DDS983069:DDT983069 DNO983069:DNP983069 DXK983069:DXL983069 EHG983069:EHH983069 ERC983069:ERD983069 FAY983069:FAZ983069 FKU983069:FKV983069 FUQ983069:FUR983069 GEM983069:GEN983069 GOI983069:GOJ983069 GYE983069:GYF983069 HIA983069:HIB983069 HRW983069:HRX983069 IBS983069:IBT983069 ILO983069:ILP983069 IVK983069:IVL983069 JFG983069:JFH983069 JPC983069:JPD983069 JYY983069:JYZ983069 KIU983069:KIV983069 KSQ983069:KSR983069 LCM983069:LCN983069 LMI983069:LMJ983069 LWE983069:LWF983069 MGA983069:MGB983069 MPW983069:MPX983069 MZS983069:MZT983069 NJO983069:NJP983069 NTK983069:NTL983069 ODG983069:ODH983069 ONC983069:OND983069 OWY983069:OWZ983069 PGU983069:PGV983069 PQQ983069:PQR983069 QAM983069:QAN983069 QKI983069:QKJ983069 QUE983069:QUF983069 REA983069:REB983069 RNW983069:RNX983069 RXS983069:RXT983069 SHO983069:SHP983069 SRK983069:SRL983069 TBG983069:TBH983069 TLC983069:TLD983069 TUY983069:TUZ983069 UEU983069:UEV983069 UOQ983069:UOR983069 UYM983069:UYN983069 VII983069:VIJ983069 VSE983069:VSF983069 WCA983069:WCB983069 WLW983069:WLX983069 WVS983069:WVT983069 K26:L26 JG26:JH26 TC26:TD26 ACY26:ACZ26 AMU26:AMV26 AWQ26:AWR26 BGM26:BGN26 BQI26:BQJ26 CAE26:CAF26 CKA26:CKB26 CTW26:CTX26 DDS26:DDT26 DNO26:DNP26 DXK26:DXL26 EHG26:EHH26 ERC26:ERD26 FAY26:FAZ26 FKU26:FKV26 FUQ26:FUR26 GEM26:GEN26 GOI26:GOJ26 GYE26:GYF26 HIA26:HIB26 HRW26:HRX26 IBS26:IBT26 ILO26:ILP26 IVK26:IVL26 JFG26:JFH26 JPC26:JPD26 JYY26:JYZ26 KIU26:KIV26 KSQ26:KSR26 LCM26:LCN26 LMI26:LMJ26 LWE26:LWF26 MGA26:MGB26 MPW26:MPX26 MZS26:MZT26 NJO26:NJP26 NTK26:NTL26 ODG26:ODH26 ONC26:OND26 OWY26:OWZ26 PGU26:PGV26 PQQ26:PQR26 QAM26:QAN26 QKI26:QKJ26 QUE26:QUF26 REA26:REB26 RNW26:RNX26 RXS26:RXT26 SHO26:SHP26 SRK26:SRL26 TBG26:TBH26 TLC26:TLD26 TUY26:TUZ26 UEU26:UEV26 UOQ26:UOR26 UYM26:UYN26 VII26:VIJ26 VSE26:VSF26 WCA26:WCB26 WLW26:WLX26 WVS26:WVT26 K65562:L65562 JG65562:JH65562 TC65562:TD65562 ACY65562:ACZ65562 AMU65562:AMV65562 AWQ65562:AWR65562 BGM65562:BGN65562 BQI65562:BQJ65562 CAE65562:CAF65562 CKA65562:CKB65562 CTW65562:CTX65562 DDS65562:DDT65562 DNO65562:DNP65562 DXK65562:DXL65562 EHG65562:EHH65562 ERC65562:ERD65562 FAY65562:FAZ65562 FKU65562:FKV65562 FUQ65562:FUR65562 GEM65562:GEN65562 GOI65562:GOJ65562 GYE65562:GYF65562 HIA65562:HIB65562 HRW65562:HRX65562 IBS65562:IBT65562 ILO65562:ILP65562 IVK65562:IVL65562 JFG65562:JFH65562 JPC65562:JPD65562 JYY65562:JYZ65562 KIU65562:KIV65562 KSQ65562:KSR65562 LCM65562:LCN65562 LMI65562:LMJ65562 LWE65562:LWF65562 MGA65562:MGB65562 MPW65562:MPX65562 MZS65562:MZT65562 NJO65562:NJP65562 NTK65562:NTL65562 ODG65562:ODH65562 ONC65562:OND65562 OWY65562:OWZ65562 PGU65562:PGV65562 PQQ65562:PQR65562 QAM65562:QAN65562 QKI65562:QKJ65562 QUE65562:QUF65562 REA65562:REB65562 RNW65562:RNX65562 RXS65562:RXT65562 SHO65562:SHP65562 SRK65562:SRL65562 TBG65562:TBH65562 TLC65562:TLD65562 TUY65562:TUZ65562 UEU65562:UEV65562 UOQ65562:UOR65562 UYM65562:UYN65562 VII65562:VIJ65562 VSE65562:VSF65562 WCA65562:WCB65562 WLW65562:WLX65562 WVS65562:WVT65562 K131098:L131098 JG131098:JH131098 TC131098:TD131098 ACY131098:ACZ131098 AMU131098:AMV131098 AWQ131098:AWR131098 BGM131098:BGN131098 BQI131098:BQJ131098 CAE131098:CAF131098 CKA131098:CKB131098 CTW131098:CTX131098 DDS131098:DDT131098 DNO131098:DNP131098 DXK131098:DXL131098 EHG131098:EHH131098 ERC131098:ERD131098 FAY131098:FAZ131098 FKU131098:FKV131098 FUQ131098:FUR131098 GEM131098:GEN131098 GOI131098:GOJ131098 GYE131098:GYF131098 HIA131098:HIB131098 HRW131098:HRX131098 IBS131098:IBT131098 ILO131098:ILP131098 IVK131098:IVL131098 JFG131098:JFH131098 JPC131098:JPD131098 JYY131098:JYZ131098 KIU131098:KIV131098 KSQ131098:KSR131098 LCM131098:LCN131098 LMI131098:LMJ131098 LWE131098:LWF131098 MGA131098:MGB131098 MPW131098:MPX131098 MZS131098:MZT131098 NJO131098:NJP131098 NTK131098:NTL131098 ODG131098:ODH131098 ONC131098:OND131098 OWY131098:OWZ131098 PGU131098:PGV131098 PQQ131098:PQR131098 QAM131098:QAN131098 QKI131098:QKJ131098 QUE131098:QUF131098 REA131098:REB131098 RNW131098:RNX131098 RXS131098:RXT131098 SHO131098:SHP131098 SRK131098:SRL131098 TBG131098:TBH131098 TLC131098:TLD131098 TUY131098:TUZ131098 UEU131098:UEV131098 UOQ131098:UOR131098 UYM131098:UYN131098 VII131098:VIJ131098 VSE131098:VSF131098 WCA131098:WCB131098 WLW131098:WLX131098 WVS131098:WVT131098 K196634:L196634 JG196634:JH196634 TC196634:TD196634 ACY196634:ACZ196634 AMU196634:AMV196634 AWQ196634:AWR196634 BGM196634:BGN196634 BQI196634:BQJ196634 CAE196634:CAF196634 CKA196634:CKB196634 CTW196634:CTX196634 DDS196634:DDT196634 DNO196634:DNP196634 DXK196634:DXL196634 EHG196634:EHH196634 ERC196634:ERD196634 FAY196634:FAZ196634 FKU196634:FKV196634 FUQ196634:FUR196634 GEM196634:GEN196634 GOI196634:GOJ196634 GYE196634:GYF196634 HIA196634:HIB196634 HRW196634:HRX196634 IBS196634:IBT196634 ILO196634:ILP196634 IVK196634:IVL196634 JFG196634:JFH196634 JPC196634:JPD196634 JYY196634:JYZ196634 KIU196634:KIV196634 KSQ196634:KSR196634 LCM196634:LCN196634 LMI196634:LMJ196634 LWE196634:LWF196634 MGA196634:MGB196634 MPW196634:MPX196634 MZS196634:MZT196634 NJO196634:NJP196634 NTK196634:NTL196634 ODG196634:ODH196634 ONC196634:OND196634 OWY196634:OWZ196634 PGU196634:PGV196634 PQQ196634:PQR196634 QAM196634:QAN196634 QKI196634:QKJ196634 QUE196634:QUF196634 REA196634:REB196634 RNW196634:RNX196634 RXS196634:RXT196634 SHO196634:SHP196634 SRK196634:SRL196634 TBG196634:TBH196634 TLC196634:TLD196634 TUY196634:TUZ196634 UEU196634:UEV196634 UOQ196634:UOR196634 UYM196634:UYN196634 VII196634:VIJ196634 VSE196634:VSF196634 WCA196634:WCB196634 WLW196634:WLX196634 WVS196634:WVT196634 K262170:L262170 JG262170:JH262170 TC262170:TD262170 ACY262170:ACZ262170 AMU262170:AMV262170 AWQ262170:AWR262170 BGM262170:BGN262170 BQI262170:BQJ262170 CAE262170:CAF262170 CKA262170:CKB262170 CTW262170:CTX262170 DDS262170:DDT262170 DNO262170:DNP262170 DXK262170:DXL262170 EHG262170:EHH262170 ERC262170:ERD262170 FAY262170:FAZ262170 FKU262170:FKV262170 FUQ262170:FUR262170 GEM262170:GEN262170 GOI262170:GOJ262170 GYE262170:GYF262170 HIA262170:HIB262170 HRW262170:HRX262170 IBS262170:IBT262170 ILO262170:ILP262170 IVK262170:IVL262170 JFG262170:JFH262170 JPC262170:JPD262170 JYY262170:JYZ262170 KIU262170:KIV262170 KSQ262170:KSR262170 LCM262170:LCN262170 LMI262170:LMJ262170 LWE262170:LWF262170 MGA262170:MGB262170 MPW262170:MPX262170 MZS262170:MZT262170 NJO262170:NJP262170 NTK262170:NTL262170 ODG262170:ODH262170 ONC262170:OND262170 OWY262170:OWZ262170 PGU262170:PGV262170 PQQ262170:PQR262170 QAM262170:QAN262170 QKI262170:QKJ262170 QUE262170:QUF262170 REA262170:REB262170 RNW262170:RNX262170 RXS262170:RXT262170 SHO262170:SHP262170 SRK262170:SRL262170 TBG262170:TBH262170 TLC262170:TLD262170 TUY262170:TUZ262170 UEU262170:UEV262170 UOQ262170:UOR262170 UYM262170:UYN262170 VII262170:VIJ262170 VSE262170:VSF262170 WCA262170:WCB262170 WLW262170:WLX262170 WVS262170:WVT262170 K327706:L327706 JG327706:JH327706 TC327706:TD327706 ACY327706:ACZ327706 AMU327706:AMV327706 AWQ327706:AWR327706 BGM327706:BGN327706 BQI327706:BQJ327706 CAE327706:CAF327706 CKA327706:CKB327706 CTW327706:CTX327706 DDS327706:DDT327706 DNO327706:DNP327706 DXK327706:DXL327706 EHG327706:EHH327706 ERC327706:ERD327706 FAY327706:FAZ327706 FKU327706:FKV327706 FUQ327706:FUR327706 GEM327706:GEN327706 GOI327706:GOJ327706 GYE327706:GYF327706 HIA327706:HIB327706 HRW327706:HRX327706 IBS327706:IBT327706 ILO327706:ILP327706 IVK327706:IVL327706 JFG327706:JFH327706 JPC327706:JPD327706 JYY327706:JYZ327706 KIU327706:KIV327706 KSQ327706:KSR327706 LCM327706:LCN327706 LMI327706:LMJ327706 LWE327706:LWF327706 MGA327706:MGB327706 MPW327706:MPX327706 MZS327706:MZT327706 NJO327706:NJP327706 NTK327706:NTL327706 ODG327706:ODH327706 ONC327706:OND327706 OWY327706:OWZ327706 PGU327706:PGV327706 PQQ327706:PQR327706 QAM327706:QAN327706 QKI327706:QKJ327706 QUE327706:QUF327706 REA327706:REB327706 RNW327706:RNX327706 RXS327706:RXT327706 SHO327706:SHP327706 SRK327706:SRL327706 TBG327706:TBH327706 TLC327706:TLD327706 TUY327706:TUZ327706 UEU327706:UEV327706 UOQ327706:UOR327706 UYM327706:UYN327706 VII327706:VIJ327706 VSE327706:VSF327706 WCA327706:WCB327706 WLW327706:WLX327706 WVS327706:WVT327706 K393242:L393242 JG393242:JH393242 TC393242:TD393242 ACY393242:ACZ393242 AMU393242:AMV393242 AWQ393242:AWR393242 BGM393242:BGN393242 BQI393242:BQJ393242 CAE393242:CAF393242 CKA393242:CKB393242 CTW393242:CTX393242 DDS393242:DDT393242 DNO393242:DNP393242 DXK393242:DXL393242 EHG393242:EHH393242 ERC393242:ERD393242 FAY393242:FAZ393242 FKU393242:FKV393242 FUQ393242:FUR393242 GEM393242:GEN393242 GOI393242:GOJ393242 GYE393242:GYF393242 HIA393242:HIB393242 HRW393242:HRX393242 IBS393242:IBT393242 ILO393242:ILP393242 IVK393242:IVL393242 JFG393242:JFH393242 JPC393242:JPD393242 JYY393242:JYZ393242 KIU393242:KIV393242 KSQ393242:KSR393242 LCM393242:LCN393242 LMI393242:LMJ393242 LWE393242:LWF393242 MGA393242:MGB393242 MPW393242:MPX393242 MZS393242:MZT393242 NJO393242:NJP393242 NTK393242:NTL393242 ODG393242:ODH393242 ONC393242:OND393242 OWY393242:OWZ393242 PGU393242:PGV393242 PQQ393242:PQR393242 QAM393242:QAN393242 QKI393242:QKJ393242 QUE393242:QUF393242 REA393242:REB393242 RNW393242:RNX393242 RXS393242:RXT393242 SHO393242:SHP393242 SRK393242:SRL393242 TBG393242:TBH393242 TLC393242:TLD393242 TUY393242:TUZ393242 UEU393242:UEV393242 UOQ393242:UOR393242 UYM393242:UYN393242 VII393242:VIJ393242 VSE393242:VSF393242 WCA393242:WCB393242 WLW393242:WLX393242 WVS393242:WVT393242 K458778:L458778 JG458778:JH458778 TC458778:TD458778 ACY458778:ACZ458778 AMU458778:AMV458778 AWQ458778:AWR458778 BGM458778:BGN458778 BQI458778:BQJ458778 CAE458778:CAF458778 CKA458778:CKB458778 CTW458778:CTX458778 DDS458778:DDT458778 DNO458778:DNP458778 DXK458778:DXL458778 EHG458778:EHH458778 ERC458778:ERD458778 FAY458778:FAZ458778 FKU458778:FKV458778 FUQ458778:FUR458778 GEM458778:GEN458778 GOI458778:GOJ458778 GYE458778:GYF458778 HIA458778:HIB458778 HRW458778:HRX458778 IBS458778:IBT458778 ILO458778:ILP458778 IVK458778:IVL458778 JFG458778:JFH458778 JPC458778:JPD458778 JYY458778:JYZ458778 KIU458778:KIV458778 KSQ458778:KSR458778 LCM458778:LCN458778 LMI458778:LMJ458778 LWE458778:LWF458778 MGA458778:MGB458778 MPW458778:MPX458778 MZS458778:MZT458778 NJO458778:NJP458778 NTK458778:NTL458778 ODG458778:ODH458778 ONC458778:OND458778 OWY458778:OWZ458778 PGU458778:PGV458778 PQQ458778:PQR458778 QAM458778:QAN458778 QKI458778:QKJ458778 QUE458778:QUF458778 REA458778:REB458778 RNW458778:RNX458778 RXS458778:RXT458778 SHO458778:SHP458778 SRK458778:SRL458778 TBG458778:TBH458778 TLC458778:TLD458778 TUY458778:TUZ458778 UEU458778:UEV458778 UOQ458778:UOR458778 UYM458778:UYN458778 VII458778:VIJ458778 VSE458778:VSF458778 WCA458778:WCB458778 WLW458778:WLX458778 WVS458778:WVT458778 K524314:L524314 JG524314:JH524314 TC524314:TD524314 ACY524314:ACZ524314 AMU524314:AMV524314 AWQ524314:AWR524314 BGM524314:BGN524314 BQI524314:BQJ524314 CAE524314:CAF524314 CKA524314:CKB524314 CTW524314:CTX524314 DDS524314:DDT524314 DNO524314:DNP524314 DXK524314:DXL524314 EHG524314:EHH524314 ERC524314:ERD524314 FAY524314:FAZ524314 FKU524314:FKV524314 FUQ524314:FUR524314 GEM524314:GEN524314 GOI524314:GOJ524314 GYE524314:GYF524314 HIA524314:HIB524314 HRW524314:HRX524314 IBS524314:IBT524314 ILO524314:ILP524314 IVK524314:IVL524314 JFG524314:JFH524314 JPC524314:JPD524314 JYY524314:JYZ524314 KIU524314:KIV524314 KSQ524314:KSR524314 LCM524314:LCN524314 LMI524314:LMJ524314 LWE524314:LWF524314 MGA524314:MGB524314 MPW524314:MPX524314 MZS524314:MZT524314 NJO524314:NJP524314 NTK524314:NTL524314 ODG524314:ODH524314 ONC524314:OND524314 OWY524314:OWZ524314 PGU524314:PGV524314 PQQ524314:PQR524314 QAM524314:QAN524314 QKI524314:QKJ524314 QUE524314:QUF524314 REA524314:REB524314 RNW524314:RNX524314 RXS524314:RXT524314 SHO524314:SHP524314 SRK524314:SRL524314 TBG524314:TBH524314 TLC524314:TLD524314 TUY524314:TUZ524314 UEU524314:UEV524314 UOQ524314:UOR524314 UYM524314:UYN524314 VII524314:VIJ524314 VSE524314:VSF524314 WCA524314:WCB524314 WLW524314:WLX524314 WVS524314:WVT524314 K589850:L589850 JG589850:JH589850 TC589850:TD589850 ACY589850:ACZ589850 AMU589850:AMV589850 AWQ589850:AWR589850 BGM589850:BGN589850 BQI589850:BQJ589850 CAE589850:CAF589850 CKA589850:CKB589850 CTW589850:CTX589850 DDS589850:DDT589850 DNO589850:DNP589850 DXK589850:DXL589850 EHG589850:EHH589850 ERC589850:ERD589850 FAY589850:FAZ589850 FKU589850:FKV589850 FUQ589850:FUR589850 GEM589850:GEN589850 GOI589850:GOJ589850 GYE589850:GYF589850 HIA589850:HIB589850 HRW589850:HRX589850 IBS589850:IBT589850 ILO589850:ILP589850 IVK589850:IVL589850 JFG589850:JFH589850 JPC589850:JPD589850 JYY589850:JYZ589850 KIU589850:KIV589850 KSQ589850:KSR589850 LCM589850:LCN589850 LMI589850:LMJ589850 LWE589850:LWF589850 MGA589850:MGB589850 MPW589850:MPX589850 MZS589850:MZT589850 NJO589850:NJP589850 NTK589850:NTL589850 ODG589850:ODH589850 ONC589850:OND589850 OWY589850:OWZ589850 PGU589850:PGV589850 PQQ589850:PQR589850 QAM589850:QAN589850 QKI589850:QKJ589850 QUE589850:QUF589850 REA589850:REB589850 RNW589850:RNX589850 RXS589850:RXT589850 SHO589850:SHP589850 SRK589850:SRL589850 TBG589850:TBH589850 TLC589850:TLD589850 TUY589850:TUZ589850 UEU589850:UEV589850 UOQ589850:UOR589850 UYM589850:UYN589850 VII589850:VIJ589850 VSE589850:VSF589850 WCA589850:WCB589850 WLW589850:WLX589850 WVS589850:WVT589850 K655386:L655386 JG655386:JH655386 TC655386:TD655386 ACY655386:ACZ655386 AMU655386:AMV655386 AWQ655386:AWR655386 BGM655386:BGN655386 BQI655386:BQJ655386 CAE655386:CAF655386 CKA655386:CKB655386 CTW655386:CTX655386 DDS655386:DDT655386 DNO655386:DNP655386 DXK655386:DXL655386 EHG655386:EHH655386 ERC655386:ERD655386 FAY655386:FAZ655386 FKU655386:FKV655386 FUQ655386:FUR655386 GEM655386:GEN655386 GOI655386:GOJ655386 GYE655386:GYF655386 HIA655386:HIB655386 HRW655386:HRX655386 IBS655386:IBT655386 ILO655386:ILP655386 IVK655386:IVL655386 JFG655386:JFH655386 JPC655386:JPD655386 JYY655386:JYZ655386 KIU655386:KIV655386 KSQ655386:KSR655386 LCM655386:LCN655386 LMI655386:LMJ655386 LWE655386:LWF655386 MGA655386:MGB655386 MPW655386:MPX655386 MZS655386:MZT655386 NJO655386:NJP655386 NTK655386:NTL655386 ODG655386:ODH655386 ONC655386:OND655386 OWY655386:OWZ655386 PGU655386:PGV655386 PQQ655386:PQR655386 QAM655386:QAN655386 QKI655386:QKJ655386 QUE655386:QUF655386 REA655386:REB655386 RNW655386:RNX655386 RXS655386:RXT655386 SHO655386:SHP655386 SRK655386:SRL655386 TBG655386:TBH655386 TLC655386:TLD655386 TUY655386:TUZ655386 UEU655386:UEV655386 UOQ655386:UOR655386 UYM655386:UYN655386 VII655386:VIJ655386 VSE655386:VSF655386 WCA655386:WCB655386 WLW655386:WLX655386 WVS655386:WVT655386 K720922:L720922 JG720922:JH720922 TC720922:TD720922 ACY720922:ACZ720922 AMU720922:AMV720922 AWQ720922:AWR720922 BGM720922:BGN720922 BQI720922:BQJ720922 CAE720922:CAF720922 CKA720922:CKB720922 CTW720922:CTX720922 DDS720922:DDT720922 DNO720922:DNP720922 DXK720922:DXL720922 EHG720922:EHH720922 ERC720922:ERD720922 FAY720922:FAZ720922 FKU720922:FKV720922 FUQ720922:FUR720922 GEM720922:GEN720922 GOI720922:GOJ720922 GYE720922:GYF720922 HIA720922:HIB720922 HRW720922:HRX720922 IBS720922:IBT720922 ILO720922:ILP720922 IVK720922:IVL720922 JFG720922:JFH720922 JPC720922:JPD720922 JYY720922:JYZ720922 KIU720922:KIV720922 KSQ720922:KSR720922 LCM720922:LCN720922 LMI720922:LMJ720922 LWE720922:LWF720922 MGA720922:MGB720922 MPW720922:MPX720922 MZS720922:MZT720922 NJO720922:NJP720922 NTK720922:NTL720922 ODG720922:ODH720922 ONC720922:OND720922 OWY720922:OWZ720922 PGU720922:PGV720922 PQQ720922:PQR720922 QAM720922:QAN720922 QKI720922:QKJ720922 QUE720922:QUF720922 REA720922:REB720922 RNW720922:RNX720922 RXS720922:RXT720922 SHO720922:SHP720922 SRK720922:SRL720922 TBG720922:TBH720922 TLC720922:TLD720922 TUY720922:TUZ720922 UEU720922:UEV720922 UOQ720922:UOR720922 UYM720922:UYN720922 VII720922:VIJ720922 VSE720922:VSF720922 WCA720922:WCB720922 WLW720922:WLX720922 WVS720922:WVT720922 K786458:L786458 JG786458:JH786458 TC786458:TD786458 ACY786458:ACZ786458 AMU786458:AMV786458 AWQ786458:AWR786458 BGM786458:BGN786458 BQI786458:BQJ786458 CAE786458:CAF786458 CKA786458:CKB786458 CTW786458:CTX786458 DDS786458:DDT786458 DNO786458:DNP786458 DXK786458:DXL786458 EHG786458:EHH786458 ERC786458:ERD786458 FAY786458:FAZ786458 FKU786458:FKV786458 FUQ786458:FUR786458 GEM786458:GEN786458 GOI786458:GOJ786458 GYE786458:GYF786458 HIA786458:HIB786458 HRW786458:HRX786458 IBS786458:IBT786458 ILO786458:ILP786458 IVK786458:IVL786458 JFG786458:JFH786458 JPC786458:JPD786458 JYY786458:JYZ786458 KIU786458:KIV786458 KSQ786458:KSR786458 LCM786458:LCN786458 LMI786458:LMJ786458 LWE786458:LWF786458 MGA786458:MGB786458 MPW786458:MPX786458 MZS786458:MZT786458 NJO786458:NJP786458 NTK786458:NTL786458 ODG786458:ODH786458 ONC786458:OND786458 OWY786458:OWZ786458 PGU786458:PGV786458 PQQ786458:PQR786458 QAM786458:QAN786458 QKI786458:QKJ786458 QUE786458:QUF786458 REA786458:REB786458 RNW786458:RNX786458 RXS786458:RXT786458 SHO786458:SHP786458 SRK786458:SRL786458 TBG786458:TBH786458 TLC786458:TLD786458 TUY786458:TUZ786458 UEU786458:UEV786458 UOQ786458:UOR786458 UYM786458:UYN786458 VII786458:VIJ786458 VSE786458:VSF786458 WCA786458:WCB786458 WLW786458:WLX786458 WVS786458:WVT786458 K851994:L851994 JG851994:JH851994 TC851994:TD851994 ACY851994:ACZ851994 AMU851994:AMV851994 AWQ851994:AWR851994 BGM851994:BGN851994 BQI851994:BQJ851994 CAE851994:CAF851994 CKA851994:CKB851994 CTW851994:CTX851994 DDS851994:DDT851994 DNO851994:DNP851994 DXK851994:DXL851994 EHG851994:EHH851994 ERC851994:ERD851994 FAY851994:FAZ851994 FKU851994:FKV851994 FUQ851994:FUR851994 GEM851994:GEN851994 GOI851994:GOJ851994 GYE851994:GYF851994 HIA851994:HIB851994 HRW851994:HRX851994 IBS851994:IBT851994 ILO851994:ILP851994 IVK851994:IVL851994 JFG851994:JFH851994 JPC851994:JPD851994 JYY851994:JYZ851994 KIU851994:KIV851994 KSQ851994:KSR851994 LCM851994:LCN851994 LMI851994:LMJ851994 LWE851994:LWF851994 MGA851994:MGB851994 MPW851994:MPX851994 MZS851994:MZT851994 NJO851994:NJP851994 NTK851994:NTL851994 ODG851994:ODH851994 ONC851994:OND851994 OWY851994:OWZ851994 PGU851994:PGV851994 PQQ851994:PQR851994 QAM851994:QAN851994 QKI851994:QKJ851994 QUE851994:QUF851994 REA851994:REB851994 RNW851994:RNX851994 RXS851994:RXT851994 SHO851994:SHP851994 SRK851994:SRL851994 TBG851994:TBH851994 TLC851994:TLD851994 TUY851994:TUZ851994 UEU851994:UEV851994 UOQ851994:UOR851994 UYM851994:UYN851994 VII851994:VIJ851994 VSE851994:VSF851994 WCA851994:WCB851994 WLW851994:WLX851994 WVS851994:WVT851994 K917530:L917530 JG917530:JH917530 TC917530:TD917530 ACY917530:ACZ917530 AMU917530:AMV917530 AWQ917530:AWR917530 BGM917530:BGN917530 BQI917530:BQJ917530 CAE917530:CAF917530 CKA917530:CKB917530 CTW917530:CTX917530 DDS917530:DDT917530 DNO917530:DNP917530 DXK917530:DXL917530 EHG917530:EHH917530 ERC917530:ERD917530 FAY917530:FAZ917530 FKU917530:FKV917530 FUQ917530:FUR917530 GEM917530:GEN917530 GOI917530:GOJ917530 GYE917530:GYF917530 HIA917530:HIB917530 HRW917530:HRX917530 IBS917530:IBT917530 ILO917530:ILP917530 IVK917530:IVL917530 JFG917530:JFH917530 JPC917530:JPD917530 JYY917530:JYZ917530 KIU917530:KIV917530 KSQ917530:KSR917530 LCM917530:LCN917530 LMI917530:LMJ917530 LWE917530:LWF917530 MGA917530:MGB917530 MPW917530:MPX917530 MZS917530:MZT917530 NJO917530:NJP917530 NTK917530:NTL917530 ODG917530:ODH917530 ONC917530:OND917530 OWY917530:OWZ917530 PGU917530:PGV917530 PQQ917530:PQR917530 QAM917530:QAN917530 QKI917530:QKJ917530 QUE917530:QUF917530 REA917530:REB917530 RNW917530:RNX917530 RXS917530:RXT917530 SHO917530:SHP917530 SRK917530:SRL917530 TBG917530:TBH917530 TLC917530:TLD917530 TUY917530:TUZ917530 UEU917530:UEV917530 UOQ917530:UOR917530 UYM917530:UYN917530 VII917530:VIJ917530 VSE917530:VSF917530 WCA917530:WCB917530 WLW917530:WLX917530 WVS917530:WVT917530 K983066:L983066 JG983066:JH983066 TC983066:TD983066 ACY983066:ACZ983066 AMU983066:AMV983066 AWQ983066:AWR983066 BGM983066:BGN983066 BQI983066:BQJ983066 CAE983066:CAF983066 CKA983066:CKB983066 CTW983066:CTX983066 DDS983066:DDT983066 DNO983066:DNP983066 DXK983066:DXL983066 EHG983066:EHH983066 ERC983066:ERD983066 FAY983066:FAZ983066 FKU983066:FKV983066 FUQ983066:FUR983066 GEM983066:GEN983066 GOI983066:GOJ983066 GYE983066:GYF983066 HIA983066:HIB983066 HRW983066:HRX983066 IBS983066:IBT983066 ILO983066:ILP983066 IVK983066:IVL983066 JFG983066:JFH983066 JPC983066:JPD983066 JYY983066:JYZ983066 KIU983066:KIV983066 KSQ983066:KSR983066 LCM983066:LCN983066 LMI983066:LMJ983066 LWE983066:LWF983066 MGA983066:MGB983066 MPW983066:MPX983066 MZS983066:MZT983066 NJO983066:NJP983066 NTK983066:NTL983066 ODG983066:ODH983066 ONC983066:OND983066 OWY983066:OWZ983066 PGU983066:PGV983066 PQQ983066:PQR983066 QAM983066:QAN983066 QKI983066:QKJ983066 QUE983066:QUF983066 REA983066:REB983066 RNW983066:RNX983066 RXS983066:RXT983066 SHO983066:SHP983066 SRK983066:SRL983066 TBG983066:TBH983066 TLC983066:TLD983066 TUY983066:TUZ983066 UEU983066:UEV983066 UOQ983066:UOR983066 UYM983066:UYN983066 VII983066:VIJ983066 VSE983066:VSF983066 WCA983066:WCB983066 WLW983066:WLX983066 WVS983066:WVT983066 K23:L23 JG23:JH23 TC23:TD23 ACY23:ACZ23 AMU23:AMV23 AWQ23:AWR23 BGM23:BGN23 BQI23:BQJ23 CAE23:CAF23 CKA23:CKB23 CTW23:CTX23 DDS23:DDT23 DNO23:DNP23 DXK23:DXL23 EHG23:EHH23 ERC23:ERD23 FAY23:FAZ23 FKU23:FKV23 FUQ23:FUR23 GEM23:GEN23 GOI23:GOJ23 GYE23:GYF23 HIA23:HIB23 HRW23:HRX23 IBS23:IBT23 ILO23:ILP23 IVK23:IVL23 JFG23:JFH23 JPC23:JPD23 JYY23:JYZ23 KIU23:KIV23 KSQ23:KSR23 LCM23:LCN23 LMI23:LMJ23 LWE23:LWF23 MGA23:MGB23 MPW23:MPX23 MZS23:MZT23 NJO23:NJP23 NTK23:NTL23 ODG23:ODH23 ONC23:OND23 OWY23:OWZ23 PGU23:PGV23 PQQ23:PQR23 QAM23:QAN23 QKI23:QKJ23 QUE23:QUF23 REA23:REB23 RNW23:RNX23 RXS23:RXT23 SHO23:SHP23 SRK23:SRL23 TBG23:TBH23 TLC23:TLD23 TUY23:TUZ23 UEU23:UEV23 UOQ23:UOR23 UYM23:UYN23 VII23:VIJ23 VSE23:VSF23 WCA23:WCB23 WLW23:WLX23 WVS23:WVT23 K65559:L65559 JG65559:JH65559 TC65559:TD65559 ACY65559:ACZ65559 AMU65559:AMV65559 AWQ65559:AWR65559 BGM65559:BGN65559 BQI65559:BQJ65559 CAE65559:CAF65559 CKA65559:CKB65559 CTW65559:CTX65559 DDS65559:DDT65559 DNO65559:DNP65559 DXK65559:DXL65559 EHG65559:EHH65559 ERC65559:ERD65559 FAY65559:FAZ65559 FKU65559:FKV65559 FUQ65559:FUR65559 GEM65559:GEN65559 GOI65559:GOJ65559 GYE65559:GYF65559 HIA65559:HIB65559 HRW65559:HRX65559 IBS65559:IBT65559 ILO65559:ILP65559 IVK65559:IVL65559 JFG65559:JFH65559 JPC65559:JPD65559 JYY65559:JYZ65559 KIU65559:KIV65559 KSQ65559:KSR65559 LCM65559:LCN65559 LMI65559:LMJ65559 LWE65559:LWF65559 MGA65559:MGB65559 MPW65559:MPX65559 MZS65559:MZT65559 NJO65559:NJP65559 NTK65559:NTL65559 ODG65559:ODH65559 ONC65559:OND65559 OWY65559:OWZ65559 PGU65559:PGV65559 PQQ65559:PQR65559 QAM65559:QAN65559 QKI65559:QKJ65559 QUE65559:QUF65559 REA65559:REB65559 RNW65559:RNX65559 RXS65559:RXT65559 SHO65559:SHP65559 SRK65559:SRL65559 TBG65559:TBH65559 TLC65559:TLD65559 TUY65559:TUZ65559 UEU65559:UEV65559 UOQ65559:UOR65559 UYM65559:UYN65559 VII65559:VIJ65559 VSE65559:VSF65559 WCA65559:WCB65559 WLW65559:WLX65559 WVS65559:WVT65559 K131095:L131095 JG131095:JH131095 TC131095:TD131095 ACY131095:ACZ131095 AMU131095:AMV131095 AWQ131095:AWR131095 BGM131095:BGN131095 BQI131095:BQJ131095 CAE131095:CAF131095 CKA131095:CKB131095 CTW131095:CTX131095 DDS131095:DDT131095 DNO131095:DNP131095 DXK131095:DXL131095 EHG131095:EHH131095 ERC131095:ERD131095 FAY131095:FAZ131095 FKU131095:FKV131095 FUQ131095:FUR131095 GEM131095:GEN131095 GOI131095:GOJ131095 GYE131095:GYF131095 HIA131095:HIB131095 HRW131095:HRX131095 IBS131095:IBT131095 ILO131095:ILP131095 IVK131095:IVL131095 JFG131095:JFH131095 JPC131095:JPD131095 JYY131095:JYZ131095 KIU131095:KIV131095 KSQ131095:KSR131095 LCM131095:LCN131095 LMI131095:LMJ131095 LWE131095:LWF131095 MGA131095:MGB131095 MPW131095:MPX131095 MZS131095:MZT131095 NJO131095:NJP131095 NTK131095:NTL131095 ODG131095:ODH131095 ONC131095:OND131095 OWY131095:OWZ131095 PGU131095:PGV131095 PQQ131095:PQR131095 QAM131095:QAN131095 QKI131095:QKJ131095 QUE131095:QUF131095 REA131095:REB131095 RNW131095:RNX131095 RXS131095:RXT131095 SHO131095:SHP131095 SRK131095:SRL131095 TBG131095:TBH131095 TLC131095:TLD131095 TUY131095:TUZ131095 UEU131095:UEV131095 UOQ131095:UOR131095 UYM131095:UYN131095 VII131095:VIJ131095 VSE131095:VSF131095 WCA131095:WCB131095 WLW131095:WLX131095 WVS131095:WVT131095 K196631:L196631 JG196631:JH196631 TC196631:TD196631 ACY196631:ACZ196631 AMU196631:AMV196631 AWQ196631:AWR196631 BGM196631:BGN196631 BQI196631:BQJ196631 CAE196631:CAF196631 CKA196631:CKB196631 CTW196631:CTX196631 DDS196631:DDT196631 DNO196631:DNP196631 DXK196631:DXL196631 EHG196631:EHH196631 ERC196631:ERD196631 FAY196631:FAZ196631 FKU196631:FKV196631 FUQ196631:FUR196631 GEM196631:GEN196631 GOI196631:GOJ196631 GYE196631:GYF196631 HIA196631:HIB196631 HRW196631:HRX196631 IBS196631:IBT196631 ILO196631:ILP196631 IVK196631:IVL196631 JFG196631:JFH196631 JPC196631:JPD196631 JYY196631:JYZ196631 KIU196631:KIV196631 KSQ196631:KSR196631 LCM196631:LCN196631 LMI196631:LMJ196631 LWE196631:LWF196631 MGA196631:MGB196631 MPW196631:MPX196631 MZS196631:MZT196631 NJO196631:NJP196631 NTK196631:NTL196631 ODG196631:ODH196631 ONC196631:OND196631 OWY196631:OWZ196631 PGU196631:PGV196631 PQQ196631:PQR196631 QAM196631:QAN196631 QKI196631:QKJ196631 QUE196631:QUF196631 REA196631:REB196631 RNW196631:RNX196631 RXS196631:RXT196631 SHO196631:SHP196631 SRK196631:SRL196631 TBG196631:TBH196631 TLC196631:TLD196631 TUY196631:TUZ196631 UEU196631:UEV196631 UOQ196631:UOR196631 UYM196631:UYN196631 VII196631:VIJ196631 VSE196631:VSF196631 WCA196631:WCB196631 WLW196631:WLX196631 WVS196631:WVT196631 K262167:L262167 JG262167:JH262167 TC262167:TD262167 ACY262167:ACZ262167 AMU262167:AMV262167 AWQ262167:AWR262167 BGM262167:BGN262167 BQI262167:BQJ262167 CAE262167:CAF262167 CKA262167:CKB262167 CTW262167:CTX262167 DDS262167:DDT262167 DNO262167:DNP262167 DXK262167:DXL262167 EHG262167:EHH262167 ERC262167:ERD262167 FAY262167:FAZ262167 FKU262167:FKV262167 FUQ262167:FUR262167 GEM262167:GEN262167 GOI262167:GOJ262167 GYE262167:GYF262167 HIA262167:HIB262167 HRW262167:HRX262167 IBS262167:IBT262167 ILO262167:ILP262167 IVK262167:IVL262167 JFG262167:JFH262167 JPC262167:JPD262167 JYY262167:JYZ262167 KIU262167:KIV262167 KSQ262167:KSR262167 LCM262167:LCN262167 LMI262167:LMJ262167 LWE262167:LWF262167 MGA262167:MGB262167 MPW262167:MPX262167 MZS262167:MZT262167 NJO262167:NJP262167 NTK262167:NTL262167 ODG262167:ODH262167 ONC262167:OND262167 OWY262167:OWZ262167 PGU262167:PGV262167 PQQ262167:PQR262167 QAM262167:QAN262167 QKI262167:QKJ262167 QUE262167:QUF262167 REA262167:REB262167 RNW262167:RNX262167 RXS262167:RXT262167 SHO262167:SHP262167 SRK262167:SRL262167 TBG262167:TBH262167 TLC262167:TLD262167 TUY262167:TUZ262167 UEU262167:UEV262167 UOQ262167:UOR262167 UYM262167:UYN262167 VII262167:VIJ262167 VSE262167:VSF262167 WCA262167:WCB262167 WLW262167:WLX262167 WVS262167:WVT262167 K327703:L327703 JG327703:JH327703 TC327703:TD327703 ACY327703:ACZ327703 AMU327703:AMV327703 AWQ327703:AWR327703 BGM327703:BGN327703 BQI327703:BQJ327703 CAE327703:CAF327703 CKA327703:CKB327703 CTW327703:CTX327703 DDS327703:DDT327703 DNO327703:DNP327703 DXK327703:DXL327703 EHG327703:EHH327703 ERC327703:ERD327703 FAY327703:FAZ327703 FKU327703:FKV327703 FUQ327703:FUR327703 GEM327703:GEN327703 GOI327703:GOJ327703 GYE327703:GYF327703 HIA327703:HIB327703 HRW327703:HRX327703 IBS327703:IBT327703 ILO327703:ILP327703 IVK327703:IVL327703 JFG327703:JFH327703 JPC327703:JPD327703 JYY327703:JYZ327703 KIU327703:KIV327703 KSQ327703:KSR327703 LCM327703:LCN327703 LMI327703:LMJ327703 LWE327703:LWF327703 MGA327703:MGB327703 MPW327703:MPX327703 MZS327703:MZT327703 NJO327703:NJP327703 NTK327703:NTL327703 ODG327703:ODH327703 ONC327703:OND327703 OWY327703:OWZ327703 PGU327703:PGV327703 PQQ327703:PQR327703 QAM327703:QAN327703 QKI327703:QKJ327703 QUE327703:QUF327703 REA327703:REB327703 RNW327703:RNX327703 RXS327703:RXT327703 SHO327703:SHP327703 SRK327703:SRL327703 TBG327703:TBH327703 TLC327703:TLD327703 TUY327703:TUZ327703 UEU327703:UEV327703 UOQ327703:UOR327703 UYM327703:UYN327703 VII327703:VIJ327703 VSE327703:VSF327703 WCA327703:WCB327703 WLW327703:WLX327703 WVS327703:WVT327703 K393239:L393239 JG393239:JH393239 TC393239:TD393239 ACY393239:ACZ393239 AMU393239:AMV393239 AWQ393239:AWR393239 BGM393239:BGN393239 BQI393239:BQJ393239 CAE393239:CAF393239 CKA393239:CKB393239 CTW393239:CTX393239 DDS393239:DDT393239 DNO393239:DNP393239 DXK393239:DXL393239 EHG393239:EHH393239 ERC393239:ERD393239 FAY393239:FAZ393239 FKU393239:FKV393239 FUQ393239:FUR393239 GEM393239:GEN393239 GOI393239:GOJ393239 GYE393239:GYF393239 HIA393239:HIB393239 HRW393239:HRX393239 IBS393239:IBT393239 ILO393239:ILP393239 IVK393239:IVL393239 JFG393239:JFH393239 JPC393239:JPD393239 JYY393239:JYZ393239 KIU393239:KIV393239 KSQ393239:KSR393239 LCM393239:LCN393239 LMI393239:LMJ393239 LWE393239:LWF393239 MGA393239:MGB393239 MPW393239:MPX393239 MZS393239:MZT393239 NJO393239:NJP393239 NTK393239:NTL393239 ODG393239:ODH393239 ONC393239:OND393239 OWY393239:OWZ393239 PGU393239:PGV393239 PQQ393239:PQR393239 QAM393239:QAN393239 QKI393239:QKJ393239 QUE393239:QUF393239 REA393239:REB393239 RNW393239:RNX393239 RXS393239:RXT393239 SHO393239:SHP393239 SRK393239:SRL393239 TBG393239:TBH393239 TLC393239:TLD393239 TUY393239:TUZ393239 UEU393239:UEV393239 UOQ393239:UOR393239 UYM393239:UYN393239 VII393239:VIJ393239 VSE393239:VSF393239 WCA393239:WCB393239 WLW393239:WLX393239 WVS393239:WVT393239 K458775:L458775 JG458775:JH458775 TC458775:TD458775 ACY458775:ACZ458775 AMU458775:AMV458775 AWQ458775:AWR458775 BGM458775:BGN458775 BQI458775:BQJ458775 CAE458775:CAF458775 CKA458775:CKB458775 CTW458775:CTX458775 DDS458775:DDT458775 DNO458775:DNP458775 DXK458775:DXL458775 EHG458775:EHH458775 ERC458775:ERD458775 FAY458775:FAZ458775 FKU458775:FKV458775 FUQ458775:FUR458775 GEM458775:GEN458775 GOI458775:GOJ458775 GYE458775:GYF458775 HIA458775:HIB458775 HRW458775:HRX458775 IBS458775:IBT458775 ILO458775:ILP458775 IVK458775:IVL458775 JFG458775:JFH458775 JPC458775:JPD458775 JYY458775:JYZ458775 KIU458775:KIV458775 KSQ458775:KSR458775 LCM458775:LCN458775 LMI458775:LMJ458775 LWE458775:LWF458775 MGA458775:MGB458775 MPW458775:MPX458775 MZS458775:MZT458775 NJO458775:NJP458775 NTK458775:NTL458775 ODG458775:ODH458775 ONC458775:OND458775 OWY458775:OWZ458775 PGU458775:PGV458775 PQQ458775:PQR458775 QAM458775:QAN458775 QKI458775:QKJ458775 QUE458775:QUF458775 REA458775:REB458775 RNW458775:RNX458775 RXS458775:RXT458775 SHO458775:SHP458775 SRK458775:SRL458775 TBG458775:TBH458775 TLC458775:TLD458775 TUY458775:TUZ458775 UEU458775:UEV458775 UOQ458775:UOR458775 UYM458775:UYN458775 VII458775:VIJ458775 VSE458775:VSF458775 WCA458775:WCB458775 WLW458775:WLX458775 WVS458775:WVT458775 K524311:L524311 JG524311:JH524311 TC524311:TD524311 ACY524311:ACZ524311 AMU524311:AMV524311 AWQ524311:AWR524311 BGM524311:BGN524311 BQI524311:BQJ524311 CAE524311:CAF524311 CKA524311:CKB524311 CTW524311:CTX524311 DDS524311:DDT524311 DNO524311:DNP524311 DXK524311:DXL524311 EHG524311:EHH524311 ERC524311:ERD524311 FAY524311:FAZ524311 FKU524311:FKV524311 FUQ524311:FUR524311 GEM524311:GEN524311 GOI524311:GOJ524311 GYE524311:GYF524311 HIA524311:HIB524311 HRW524311:HRX524311 IBS524311:IBT524311 ILO524311:ILP524311 IVK524311:IVL524311 JFG524311:JFH524311 JPC524311:JPD524311 JYY524311:JYZ524311 KIU524311:KIV524311 KSQ524311:KSR524311 LCM524311:LCN524311 LMI524311:LMJ524311 LWE524311:LWF524311 MGA524311:MGB524311 MPW524311:MPX524311 MZS524311:MZT524311 NJO524311:NJP524311 NTK524311:NTL524311 ODG524311:ODH524311 ONC524311:OND524311 OWY524311:OWZ524311 PGU524311:PGV524311 PQQ524311:PQR524311 QAM524311:QAN524311 QKI524311:QKJ524311 QUE524311:QUF524311 REA524311:REB524311 RNW524311:RNX524311 RXS524311:RXT524311 SHO524311:SHP524311 SRK524311:SRL524311 TBG524311:TBH524311 TLC524311:TLD524311 TUY524311:TUZ524311 UEU524311:UEV524311 UOQ524311:UOR524311 UYM524311:UYN524311 VII524311:VIJ524311 VSE524311:VSF524311 WCA524311:WCB524311 WLW524311:WLX524311 WVS524311:WVT524311 K589847:L589847 JG589847:JH589847 TC589847:TD589847 ACY589847:ACZ589847 AMU589847:AMV589847 AWQ589847:AWR589847 BGM589847:BGN589847 BQI589847:BQJ589847 CAE589847:CAF589847 CKA589847:CKB589847 CTW589847:CTX589847 DDS589847:DDT589847 DNO589847:DNP589847 DXK589847:DXL589847 EHG589847:EHH589847 ERC589847:ERD589847 FAY589847:FAZ589847 FKU589847:FKV589847 FUQ589847:FUR589847 GEM589847:GEN589847 GOI589847:GOJ589847 GYE589847:GYF589847 HIA589847:HIB589847 HRW589847:HRX589847 IBS589847:IBT589847 ILO589847:ILP589847 IVK589847:IVL589847 JFG589847:JFH589847 JPC589847:JPD589847 JYY589847:JYZ589847 KIU589847:KIV589847 KSQ589847:KSR589847 LCM589847:LCN589847 LMI589847:LMJ589847 LWE589847:LWF589847 MGA589847:MGB589847 MPW589847:MPX589847 MZS589847:MZT589847 NJO589847:NJP589847 NTK589847:NTL589847 ODG589847:ODH589847 ONC589847:OND589847 OWY589847:OWZ589847 PGU589847:PGV589847 PQQ589847:PQR589847 QAM589847:QAN589847 QKI589847:QKJ589847 QUE589847:QUF589847 REA589847:REB589847 RNW589847:RNX589847 RXS589847:RXT589847 SHO589847:SHP589847 SRK589847:SRL589847 TBG589847:TBH589847 TLC589847:TLD589847 TUY589847:TUZ589847 UEU589847:UEV589847 UOQ589847:UOR589847 UYM589847:UYN589847 VII589847:VIJ589847 VSE589847:VSF589847 WCA589847:WCB589847 WLW589847:WLX589847 WVS589847:WVT589847 K655383:L655383 JG655383:JH655383 TC655383:TD655383 ACY655383:ACZ655383 AMU655383:AMV655383 AWQ655383:AWR655383 BGM655383:BGN655383 BQI655383:BQJ655383 CAE655383:CAF655383 CKA655383:CKB655383 CTW655383:CTX655383 DDS655383:DDT655383 DNO655383:DNP655383 DXK655383:DXL655383 EHG655383:EHH655383 ERC655383:ERD655383 FAY655383:FAZ655383 FKU655383:FKV655383 FUQ655383:FUR655383 GEM655383:GEN655383 GOI655383:GOJ655383 GYE655383:GYF655383 HIA655383:HIB655383 HRW655383:HRX655383 IBS655383:IBT655383 ILO655383:ILP655383 IVK655383:IVL655383 JFG655383:JFH655383 JPC655383:JPD655383 JYY655383:JYZ655383 KIU655383:KIV655383 KSQ655383:KSR655383 LCM655383:LCN655383 LMI655383:LMJ655383 LWE655383:LWF655383 MGA655383:MGB655383 MPW655383:MPX655383 MZS655383:MZT655383 NJO655383:NJP655383 NTK655383:NTL655383 ODG655383:ODH655383 ONC655383:OND655383 OWY655383:OWZ655383 PGU655383:PGV655383 PQQ655383:PQR655383 QAM655383:QAN655383 QKI655383:QKJ655383 QUE655383:QUF655383 REA655383:REB655383 RNW655383:RNX655383 RXS655383:RXT655383 SHO655383:SHP655383 SRK655383:SRL655383 TBG655383:TBH655383 TLC655383:TLD655383 TUY655383:TUZ655383 UEU655383:UEV655383 UOQ655383:UOR655383 UYM655383:UYN655383 VII655383:VIJ655383 VSE655383:VSF655383 WCA655383:WCB655383 WLW655383:WLX655383 WVS655383:WVT655383 K720919:L720919 JG720919:JH720919 TC720919:TD720919 ACY720919:ACZ720919 AMU720919:AMV720919 AWQ720919:AWR720919 BGM720919:BGN720919 BQI720919:BQJ720919 CAE720919:CAF720919 CKA720919:CKB720919 CTW720919:CTX720919 DDS720919:DDT720919 DNO720919:DNP720919 DXK720919:DXL720919 EHG720919:EHH720919 ERC720919:ERD720919 FAY720919:FAZ720919 FKU720919:FKV720919 FUQ720919:FUR720919 GEM720919:GEN720919 GOI720919:GOJ720919 GYE720919:GYF720919 HIA720919:HIB720919 HRW720919:HRX720919 IBS720919:IBT720919 ILO720919:ILP720919 IVK720919:IVL720919 JFG720919:JFH720919 JPC720919:JPD720919 JYY720919:JYZ720919 KIU720919:KIV720919 KSQ720919:KSR720919 LCM720919:LCN720919 LMI720919:LMJ720919 LWE720919:LWF720919 MGA720919:MGB720919 MPW720919:MPX720919 MZS720919:MZT720919 NJO720919:NJP720919 NTK720919:NTL720919 ODG720919:ODH720919 ONC720919:OND720919 OWY720919:OWZ720919 PGU720919:PGV720919 PQQ720919:PQR720919 QAM720919:QAN720919 QKI720919:QKJ720919 QUE720919:QUF720919 REA720919:REB720919 RNW720919:RNX720919 RXS720919:RXT720919 SHO720919:SHP720919 SRK720919:SRL720919 TBG720919:TBH720919 TLC720919:TLD720919 TUY720919:TUZ720919 UEU720919:UEV720919 UOQ720919:UOR720919 UYM720919:UYN720919 VII720919:VIJ720919 VSE720919:VSF720919 WCA720919:WCB720919 WLW720919:WLX720919 WVS720919:WVT720919 K786455:L786455 JG786455:JH786455 TC786455:TD786455 ACY786455:ACZ786455 AMU786455:AMV786455 AWQ786455:AWR786455 BGM786455:BGN786455 BQI786455:BQJ786455 CAE786455:CAF786455 CKA786455:CKB786455 CTW786455:CTX786455 DDS786455:DDT786455 DNO786455:DNP786455 DXK786455:DXL786455 EHG786455:EHH786455 ERC786455:ERD786455 FAY786455:FAZ786455 FKU786455:FKV786455 FUQ786455:FUR786455 GEM786455:GEN786455 GOI786455:GOJ786455 GYE786455:GYF786455 HIA786455:HIB786455 HRW786455:HRX786455 IBS786455:IBT786455 ILO786455:ILP786455 IVK786455:IVL786455 JFG786455:JFH786455 JPC786455:JPD786455 JYY786455:JYZ786455 KIU786455:KIV786455 KSQ786455:KSR786455 LCM786455:LCN786455 LMI786455:LMJ786455 LWE786455:LWF786455 MGA786455:MGB786455 MPW786455:MPX786455 MZS786455:MZT786455 NJO786455:NJP786455 NTK786455:NTL786455 ODG786455:ODH786455 ONC786455:OND786455 OWY786455:OWZ786455 PGU786455:PGV786455 PQQ786455:PQR786455 QAM786455:QAN786455 QKI786455:QKJ786455 QUE786455:QUF786455 REA786455:REB786455 RNW786455:RNX786455 RXS786455:RXT786455 SHO786455:SHP786455 SRK786455:SRL786455 TBG786455:TBH786455 TLC786455:TLD786455 TUY786455:TUZ786455 UEU786455:UEV786455 UOQ786455:UOR786455 UYM786455:UYN786455 VII786455:VIJ786455 VSE786455:VSF786455 WCA786455:WCB786455 WLW786455:WLX786455 WVS786455:WVT786455 K851991:L851991 JG851991:JH851991 TC851991:TD851991 ACY851991:ACZ851991 AMU851991:AMV851991 AWQ851991:AWR851991 BGM851991:BGN851991 BQI851991:BQJ851991 CAE851991:CAF851991 CKA851991:CKB851991 CTW851991:CTX851991 DDS851991:DDT851991 DNO851991:DNP851991 DXK851991:DXL851991 EHG851991:EHH851991 ERC851991:ERD851991 FAY851991:FAZ851991 FKU851991:FKV851991 FUQ851991:FUR851991 GEM851991:GEN851991 GOI851991:GOJ851991 GYE851991:GYF851991 HIA851991:HIB851991 HRW851991:HRX851991 IBS851991:IBT851991 ILO851991:ILP851991 IVK851991:IVL851991 JFG851991:JFH851991 JPC851991:JPD851991 JYY851991:JYZ851991 KIU851991:KIV851991 KSQ851991:KSR851991 LCM851991:LCN851991 LMI851991:LMJ851991 LWE851991:LWF851991 MGA851991:MGB851991 MPW851991:MPX851991 MZS851991:MZT851991 NJO851991:NJP851991 NTK851991:NTL851991 ODG851991:ODH851991 ONC851991:OND851991 OWY851991:OWZ851991 PGU851991:PGV851991 PQQ851991:PQR851991 QAM851991:QAN851991 QKI851991:QKJ851991 QUE851991:QUF851991 REA851991:REB851991 RNW851991:RNX851991 RXS851991:RXT851991 SHO851991:SHP851991 SRK851991:SRL851991 TBG851991:TBH851991 TLC851991:TLD851991 TUY851991:TUZ851991 UEU851991:UEV851991 UOQ851991:UOR851991 UYM851991:UYN851991 VII851991:VIJ851991 VSE851991:VSF851991 WCA851991:WCB851991 WLW851991:WLX851991 WVS851991:WVT851991 K917527:L917527 JG917527:JH917527 TC917527:TD917527 ACY917527:ACZ917527 AMU917527:AMV917527 AWQ917527:AWR917527 BGM917527:BGN917527 BQI917527:BQJ917527 CAE917527:CAF917527 CKA917527:CKB917527 CTW917527:CTX917527 DDS917527:DDT917527 DNO917527:DNP917527 DXK917527:DXL917527 EHG917527:EHH917527 ERC917527:ERD917527 FAY917527:FAZ917527 FKU917527:FKV917527 FUQ917527:FUR917527 GEM917527:GEN917527 GOI917527:GOJ917527 GYE917527:GYF917527 HIA917527:HIB917527 HRW917527:HRX917527 IBS917527:IBT917527 ILO917527:ILP917527 IVK917527:IVL917527 JFG917527:JFH917527 JPC917527:JPD917527 JYY917527:JYZ917527 KIU917527:KIV917527 KSQ917527:KSR917527 LCM917527:LCN917527 LMI917527:LMJ917527 LWE917527:LWF917527 MGA917527:MGB917527 MPW917527:MPX917527 MZS917527:MZT917527 NJO917527:NJP917527 NTK917527:NTL917527 ODG917527:ODH917527 ONC917527:OND917527 OWY917527:OWZ917527 PGU917527:PGV917527 PQQ917527:PQR917527 QAM917527:QAN917527 QKI917527:QKJ917527 QUE917527:QUF917527 REA917527:REB917527 RNW917527:RNX917527 RXS917527:RXT917527 SHO917527:SHP917527 SRK917527:SRL917527 TBG917527:TBH917527 TLC917527:TLD917527 TUY917527:TUZ917527 UEU917527:UEV917527 UOQ917527:UOR917527 UYM917527:UYN917527 VII917527:VIJ917527 VSE917527:VSF917527 WCA917527:WCB917527 WLW917527:WLX917527 WVS917527:WVT917527 K983063:L983063 JG983063:JH983063 TC983063:TD983063 ACY983063:ACZ983063 AMU983063:AMV983063 AWQ983063:AWR983063 BGM983063:BGN983063 BQI983063:BQJ983063 CAE983063:CAF983063 CKA983063:CKB983063 CTW983063:CTX983063 DDS983063:DDT983063 DNO983063:DNP983063 DXK983063:DXL983063 EHG983063:EHH983063 ERC983063:ERD983063 FAY983063:FAZ983063 FKU983063:FKV983063 FUQ983063:FUR983063 GEM983063:GEN983063 GOI983063:GOJ983063 GYE983063:GYF983063 HIA983063:HIB983063 HRW983063:HRX983063 IBS983063:IBT983063 ILO983063:ILP983063 IVK983063:IVL983063 JFG983063:JFH983063 JPC983063:JPD983063 JYY983063:JYZ983063 KIU983063:KIV983063 KSQ983063:KSR983063 LCM983063:LCN983063 LMI983063:LMJ983063 LWE983063:LWF983063 MGA983063:MGB983063 MPW983063:MPX983063 MZS983063:MZT983063 NJO983063:NJP983063 NTK983063:NTL983063 ODG983063:ODH983063 ONC983063:OND983063 OWY983063:OWZ983063 PGU983063:PGV983063 PQQ983063:PQR983063 QAM983063:QAN983063 QKI983063:QKJ983063 QUE983063:QUF983063 REA983063:REB983063 RNW983063:RNX983063 RXS983063:RXT983063 SHO983063:SHP983063 SRK983063:SRL983063 TBG983063:TBH983063 TLC983063:TLD983063 TUY983063:TUZ983063 UEU983063:UEV983063 UOQ983063:UOR983063 UYM983063:UYN983063 VII983063:VIJ983063 VSE983063:VSF983063 WCA983063:WCB983063 WLW983063:WLX983063 WVS983063:WVT983063 K20:L20 JG20:JH20 TC20:TD20 ACY20:ACZ20 AMU20:AMV20 AWQ20:AWR20 BGM20:BGN20 BQI20:BQJ20 CAE20:CAF20 CKA20:CKB20 CTW20:CTX20 DDS20:DDT20 DNO20:DNP20 DXK20:DXL20 EHG20:EHH20 ERC20:ERD20 FAY20:FAZ20 FKU20:FKV20 FUQ20:FUR20 GEM20:GEN20 GOI20:GOJ20 GYE20:GYF20 HIA20:HIB20 HRW20:HRX20 IBS20:IBT20 ILO20:ILP20 IVK20:IVL20 JFG20:JFH20 JPC20:JPD20 JYY20:JYZ20 KIU20:KIV20 KSQ20:KSR20 LCM20:LCN20 LMI20:LMJ20 LWE20:LWF20 MGA20:MGB20 MPW20:MPX20 MZS20:MZT20 NJO20:NJP20 NTK20:NTL20 ODG20:ODH20 ONC20:OND20 OWY20:OWZ20 PGU20:PGV20 PQQ20:PQR20 QAM20:QAN20 QKI20:QKJ20 QUE20:QUF20 REA20:REB20 RNW20:RNX20 RXS20:RXT20 SHO20:SHP20 SRK20:SRL20 TBG20:TBH20 TLC20:TLD20 TUY20:TUZ20 UEU20:UEV20 UOQ20:UOR20 UYM20:UYN20 VII20:VIJ20 VSE20:VSF20 WCA20:WCB20 WLW20:WLX20 WVS20:WVT20 K65556:L65556 JG65556:JH65556 TC65556:TD65556 ACY65556:ACZ65556 AMU65556:AMV65556 AWQ65556:AWR65556 BGM65556:BGN65556 BQI65556:BQJ65556 CAE65556:CAF65556 CKA65556:CKB65556 CTW65556:CTX65556 DDS65556:DDT65556 DNO65556:DNP65556 DXK65556:DXL65556 EHG65556:EHH65556 ERC65556:ERD65556 FAY65556:FAZ65556 FKU65556:FKV65556 FUQ65556:FUR65556 GEM65556:GEN65556 GOI65556:GOJ65556 GYE65556:GYF65556 HIA65556:HIB65556 HRW65556:HRX65556 IBS65556:IBT65556 ILO65556:ILP65556 IVK65556:IVL65556 JFG65556:JFH65556 JPC65556:JPD65556 JYY65556:JYZ65556 KIU65556:KIV65556 KSQ65556:KSR65556 LCM65556:LCN65556 LMI65556:LMJ65556 LWE65556:LWF65556 MGA65556:MGB65556 MPW65556:MPX65556 MZS65556:MZT65556 NJO65556:NJP65556 NTK65556:NTL65556 ODG65556:ODH65556 ONC65556:OND65556 OWY65556:OWZ65556 PGU65556:PGV65556 PQQ65556:PQR65556 QAM65556:QAN65556 QKI65556:QKJ65556 QUE65556:QUF65556 REA65556:REB65556 RNW65556:RNX65556 RXS65556:RXT65556 SHO65556:SHP65556 SRK65556:SRL65556 TBG65556:TBH65556 TLC65556:TLD65556 TUY65556:TUZ65556 UEU65556:UEV65556 UOQ65556:UOR65556 UYM65556:UYN65556 VII65556:VIJ65556 VSE65556:VSF65556 WCA65556:WCB65556 WLW65556:WLX65556 WVS65556:WVT65556 K131092:L131092 JG131092:JH131092 TC131092:TD131092 ACY131092:ACZ131092 AMU131092:AMV131092 AWQ131092:AWR131092 BGM131092:BGN131092 BQI131092:BQJ131092 CAE131092:CAF131092 CKA131092:CKB131092 CTW131092:CTX131092 DDS131092:DDT131092 DNO131092:DNP131092 DXK131092:DXL131092 EHG131092:EHH131092 ERC131092:ERD131092 FAY131092:FAZ131092 FKU131092:FKV131092 FUQ131092:FUR131092 GEM131092:GEN131092 GOI131092:GOJ131092 GYE131092:GYF131092 HIA131092:HIB131092 HRW131092:HRX131092 IBS131092:IBT131092 ILO131092:ILP131092 IVK131092:IVL131092 JFG131092:JFH131092 JPC131092:JPD131092 JYY131092:JYZ131092 KIU131092:KIV131092 KSQ131092:KSR131092 LCM131092:LCN131092 LMI131092:LMJ131092 LWE131092:LWF131092 MGA131092:MGB131092 MPW131092:MPX131092 MZS131092:MZT131092 NJO131092:NJP131092 NTK131092:NTL131092 ODG131092:ODH131092 ONC131092:OND131092 OWY131092:OWZ131092 PGU131092:PGV131092 PQQ131092:PQR131092 QAM131092:QAN131092 QKI131092:QKJ131092 QUE131092:QUF131092 REA131092:REB131092 RNW131092:RNX131092 RXS131092:RXT131092 SHO131092:SHP131092 SRK131092:SRL131092 TBG131092:TBH131092 TLC131092:TLD131092 TUY131092:TUZ131092 UEU131092:UEV131092 UOQ131092:UOR131092 UYM131092:UYN131092 VII131092:VIJ131092 VSE131092:VSF131092 WCA131092:WCB131092 WLW131092:WLX131092 WVS131092:WVT131092 K196628:L196628 JG196628:JH196628 TC196628:TD196628 ACY196628:ACZ196628 AMU196628:AMV196628 AWQ196628:AWR196628 BGM196628:BGN196628 BQI196628:BQJ196628 CAE196628:CAF196628 CKA196628:CKB196628 CTW196628:CTX196628 DDS196628:DDT196628 DNO196628:DNP196628 DXK196628:DXL196628 EHG196628:EHH196628 ERC196628:ERD196628 FAY196628:FAZ196628 FKU196628:FKV196628 FUQ196628:FUR196628 GEM196628:GEN196628 GOI196628:GOJ196628 GYE196628:GYF196628 HIA196628:HIB196628 HRW196628:HRX196628 IBS196628:IBT196628 ILO196628:ILP196628 IVK196628:IVL196628 JFG196628:JFH196628 JPC196628:JPD196628 JYY196628:JYZ196628 KIU196628:KIV196628 KSQ196628:KSR196628 LCM196628:LCN196628 LMI196628:LMJ196628 LWE196628:LWF196628 MGA196628:MGB196628 MPW196628:MPX196628 MZS196628:MZT196628 NJO196628:NJP196628 NTK196628:NTL196628 ODG196628:ODH196628 ONC196628:OND196628 OWY196628:OWZ196628 PGU196628:PGV196628 PQQ196628:PQR196628 QAM196628:QAN196628 QKI196628:QKJ196628 QUE196628:QUF196628 REA196628:REB196628 RNW196628:RNX196628 RXS196628:RXT196628 SHO196628:SHP196628 SRK196628:SRL196628 TBG196628:TBH196628 TLC196628:TLD196628 TUY196628:TUZ196628 UEU196628:UEV196628 UOQ196628:UOR196628 UYM196628:UYN196628 VII196628:VIJ196628 VSE196628:VSF196628 WCA196628:WCB196628 WLW196628:WLX196628 WVS196628:WVT196628 K262164:L262164 JG262164:JH262164 TC262164:TD262164 ACY262164:ACZ262164 AMU262164:AMV262164 AWQ262164:AWR262164 BGM262164:BGN262164 BQI262164:BQJ262164 CAE262164:CAF262164 CKA262164:CKB262164 CTW262164:CTX262164 DDS262164:DDT262164 DNO262164:DNP262164 DXK262164:DXL262164 EHG262164:EHH262164 ERC262164:ERD262164 FAY262164:FAZ262164 FKU262164:FKV262164 FUQ262164:FUR262164 GEM262164:GEN262164 GOI262164:GOJ262164 GYE262164:GYF262164 HIA262164:HIB262164 HRW262164:HRX262164 IBS262164:IBT262164 ILO262164:ILP262164 IVK262164:IVL262164 JFG262164:JFH262164 JPC262164:JPD262164 JYY262164:JYZ262164 KIU262164:KIV262164 KSQ262164:KSR262164 LCM262164:LCN262164 LMI262164:LMJ262164 LWE262164:LWF262164 MGA262164:MGB262164 MPW262164:MPX262164 MZS262164:MZT262164 NJO262164:NJP262164 NTK262164:NTL262164 ODG262164:ODH262164 ONC262164:OND262164 OWY262164:OWZ262164 PGU262164:PGV262164 PQQ262164:PQR262164 QAM262164:QAN262164 QKI262164:QKJ262164 QUE262164:QUF262164 REA262164:REB262164 RNW262164:RNX262164 RXS262164:RXT262164 SHO262164:SHP262164 SRK262164:SRL262164 TBG262164:TBH262164 TLC262164:TLD262164 TUY262164:TUZ262164 UEU262164:UEV262164 UOQ262164:UOR262164 UYM262164:UYN262164 VII262164:VIJ262164 VSE262164:VSF262164 WCA262164:WCB262164 WLW262164:WLX262164 WVS262164:WVT262164 K327700:L327700 JG327700:JH327700 TC327700:TD327700 ACY327700:ACZ327700 AMU327700:AMV327700 AWQ327700:AWR327700 BGM327700:BGN327700 BQI327700:BQJ327700 CAE327700:CAF327700 CKA327700:CKB327700 CTW327700:CTX327700 DDS327700:DDT327700 DNO327700:DNP327700 DXK327700:DXL327700 EHG327700:EHH327700 ERC327700:ERD327700 FAY327700:FAZ327700 FKU327700:FKV327700 FUQ327700:FUR327700 GEM327700:GEN327700 GOI327700:GOJ327700 GYE327700:GYF327700 HIA327700:HIB327700 HRW327700:HRX327700 IBS327700:IBT327700 ILO327700:ILP327700 IVK327700:IVL327700 JFG327700:JFH327700 JPC327700:JPD327700 JYY327700:JYZ327700 KIU327700:KIV327700 KSQ327700:KSR327700 LCM327700:LCN327700 LMI327700:LMJ327700 LWE327700:LWF327700 MGA327700:MGB327700 MPW327700:MPX327700 MZS327700:MZT327700 NJO327700:NJP327700 NTK327700:NTL327700 ODG327700:ODH327700 ONC327700:OND327700 OWY327700:OWZ327700 PGU327700:PGV327700 PQQ327700:PQR327700 QAM327700:QAN327700 QKI327700:QKJ327700 QUE327700:QUF327700 REA327700:REB327700 RNW327700:RNX327700 RXS327700:RXT327700 SHO327700:SHP327700 SRK327700:SRL327700 TBG327700:TBH327700 TLC327700:TLD327700 TUY327700:TUZ327700 UEU327700:UEV327700 UOQ327700:UOR327700 UYM327700:UYN327700 VII327700:VIJ327700 VSE327700:VSF327700 WCA327700:WCB327700 WLW327700:WLX327700 WVS327700:WVT327700 K393236:L393236 JG393236:JH393236 TC393236:TD393236 ACY393236:ACZ393236 AMU393236:AMV393236 AWQ393236:AWR393236 BGM393236:BGN393236 BQI393236:BQJ393236 CAE393236:CAF393236 CKA393236:CKB393236 CTW393236:CTX393236 DDS393236:DDT393236 DNO393236:DNP393236 DXK393236:DXL393236 EHG393236:EHH393236 ERC393236:ERD393236 FAY393236:FAZ393236 FKU393236:FKV393236 FUQ393236:FUR393236 GEM393236:GEN393236 GOI393236:GOJ393236 GYE393236:GYF393236 HIA393236:HIB393236 HRW393236:HRX393236 IBS393236:IBT393236 ILO393236:ILP393236 IVK393236:IVL393236 JFG393236:JFH393236 JPC393236:JPD393236 JYY393236:JYZ393236 KIU393236:KIV393236 KSQ393236:KSR393236 LCM393236:LCN393236 LMI393236:LMJ393236 LWE393236:LWF393236 MGA393236:MGB393236 MPW393236:MPX393236 MZS393236:MZT393236 NJO393236:NJP393236 NTK393236:NTL393236 ODG393236:ODH393236 ONC393236:OND393236 OWY393236:OWZ393236 PGU393236:PGV393236 PQQ393236:PQR393236 QAM393236:QAN393236 QKI393236:QKJ393236 QUE393236:QUF393236 REA393236:REB393236 RNW393236:RNX393236 RXS393236:RXT393236 SHO393236:SHP393236 SRK393236:SRL393236 TBG393236:TBH393236 TLC393236:TLD393236 TUY393236:TUZ393236 UEU393236:UEV393236 UOQ393236:UOR393236 UYM393236:UYN393236 VII393236:VIJ393236 VSE393236:VSF393236 WCA393236:WCB393236 WLW393236:WLX393236 WVS393236:WVT393236 K458772:L458772 JG458772:JH458772 TC458772:TD458772 ACY458772:ACZ458772 AMU458772:AMV458772 AWQ458772:AWR458772 BGM458772:BGN458772 BQI458772:BQJ458772 CAE458772:CAF458772 CKA458772:CKB458772 CTW458772:CTX458772 DDS458772:DDT458772 DNO458772:DNP458772 DXK458772:DXL458772 EHG458772:EHH458772 ERC458772:ERD458772 FAY458772:FAZ458772 FKU458772:FKV458772 FUQ458772:FUR458772 GEM458772:GEN458772 GOI458772:GOJ458772 GYE458772:GYF458772 HIA458772:HIB458772 HRW458772:HRX458772 IBS458772:IBT458772 ILO458772:ILP458772 IVK458772:IVL458772 JFG458772:JFH458772 JPC458772:JPD458772 JYY458772:JYZ458772 KIU458772:KIV458772 KSQ458772:KSR458772 LCM458772:LCN458772 LMI458772:LMJ458772 LWE458772:LWF458772 MGA458772:MGB458772 MPW458772:MPX458772 MZS458772:MZT458772 NJO458772:NJP458772 NTK458772:NTL458772 ODG458772:ODH458772 ONC458772:OND458772 OWY458772:OWZ458772 PGU458772:PGV458772 PQQ458772:PQR458772 QAM458772:QAN458772 QKI458772:QKJ458772 QUE458772:QUF458772 REA458772:REB458772 RNW458772:RNX458772 RXS458772:RXT458772 SHO458772:SHP458772 SRK458772:SRL458772 TBG458772:TBH458772 TLC458772:TLD458772 TUY458772:TUZ458772 UEU458772:UEV458772 UOQ458772:UOR458772 UYM458772:UYN458772 VII458772:VIJ458772 VSE458772:VSF458772 WCA458772:WCB458772 WLW458772:WLX458772 WVS458772:WVT458772 K524308:L524308 JG524308:JH524308 TC524308:TD524308 ACY524308:ACZ524308 AMU524308:AMV524308 AWQ524308:AWR524308 BGM524308:BGN524308 BQI524308:BQJ524308 CAE524308:CAF524308 CKA524308:CKB524308 CTW524308:CTX524308 DDS524308:DDT524308 DNO524308:DNP524308 DXK524308:DXL524308 EHG524308:EHH524308 ERC524308:ERD524308 FAY524308:FAZ524308 FKU524308:FKV524308 FUQ524308:FUR524308 GEM524308:GEN524308 GOI524308:GOJ524308 GYE524308:GYF524308 HIA524308:HIB524308 HRW524308:HRX524308 IBS524308:IBT524308 ILO524308:ILP524308 IVK524308:IVL524308 JFG524308:JFH524308 JPC524308:JPD524308 JYY524308:JYZ524308 KIU524308:KIV524308 KSQ524308:KSR524308 LCM524308:LCN524308 LMI524308:LMJ524308 LWE524308:LWF524308 MGA524308:MGB524308 MPW524308:MPX524308 MZS524308:MZT524308 NJO524308:NJP524308 NTK524308:NTL524308 ODG524308:ODH524308 ONC524308:OND524308 OWY524308:OWZ524308 PGU524308:PGV524308 PQQ524308:PQR524308 QAM524308:QAN524308 QKI524308:QKJ524308 QUE524308:QUF524308 REA524308:REB524308 RNW524308:RNX524308 RXS524308:RXT524308 SHO524308:SHP524308 SRK524308:SRL524308 TBG524308:TBH524308 TLC524308:TLD524308 TUY524308:TUZ524308 UEU524308:UEV524308 UOQ524308:UOR524308 UYM524308:UYN524308 VII524308:VIJ524308 VSE524308:VSF524308 WCA524308:WCB524308 WLW524308:WLX524308 WVS524308:WVT524308 K589844:L589844 JG589844:JH589844 TC589844:TD589844 ACY589844:ACZ589844 AMU589844:AMV589844 AWQ589844:AWR589844 BGM589844:BGN589844 BQI589844:BQJ589844 CAE589844:CAF589844 CKA589844:CKB589844 CTW589844:CTX589844 DDS589844:DDT589844 DNO589844:DNP589844 DXK589844:DXL589844 EHG589844:EHH589844 ERC589844:ERD589844 FAY589844:FAZ589844 FKU589844:FKV589844 FUQ589844:FUR589844 GEM589844:GEN589844 GOI589844:GOJ589844 GYE589844:GYF589844 HIA589844:HIB589844 HRW589844:HRX589844 IBS589844:IBT589844 ILO589844:ILP589844 IVK589844:IVL589844 JFG589844:JFH589844 JPC589844:JPD589844 JYY589844:JYZ589844 KIU589844:KIV589844 KSQ589844:KSR589844 LCM589844:LCN589844 LMI589844:LMJ589844 LWE589844:LWF589844 MGA589844:MGB589844 MPW589844:MPX589844 MZS589844:MZT589844 NJO589844:NJP589844 NTK589844:NTL589844 ODG589844:ODH589844 ONC589844:OND589844 OWY589844:OWZ589844 PGU589844:PGV589844 PQQ589844:PQR589844 QAM589844:QAN589844 QKI589844:QKJ589844 QUE589844:QUF589844 REA589844:REB589844 RNW589844:RNX589844 RXS589844:RXT589844 SHO589844:SHP589844 SRK589844:SRL589844 TBG589844:TBH589844 TLC589844:TLD589844 TUY589844:TUZ589844 UEU589844:UEV589844 UOQ589844:UOR589844 UYM589844:UYN589844 VII589844:VIJ589844 VSE589844:VSF589844 WCA589844:WCB589844 WLW589844:WLX589844 WVS589844:WVT589844 K655380:L655380 JG655380:JH655380 TC655380:TD655380 ACY655380:ACZ655380 AMU655380:AMV655380 AWQ655380:AWR655380 BGM655380:BGN655380 BQI655380:BQJ655380 CAE655380:CAF655380 CKA655380:CKB655380 CTW655380:CTX655380 DDS655380:DDT655380 DNO655380:DNP655380 DXK655380:DXL655380 EHG655380:EHH655380 ERC655380:ERD655380 FAY655380:FAZ655380 FKU655380:FKV655380 FUQ655380:FUR655380 GEM655380:GEN655380 GOI655380:GOJ655380 GYE655380:GYF655380 HIA655380:HIB655380 HRW655380:HRX655380 IBS655380:IBT655380 ILO655380:ILP655380 IVK655380:IVL655380 JFG655380:JFH655380 JPC655380:JPD655380 JYY655380:JYZ655380 KIU655380:KIV655380 KSQ655380:KSR655380 LCM655380:LCN655380 LMI655380:LMJ655380 LWE655380:LWF655380 MGA655380:MGB655380 MPW655380:MPX655380 MZS655380:MZT655380 NJO655380:NJP655380 NTK655380:NTL655380 ODG655380:ODH655380 ONC655380:OND655380 OWY655380:OWZ655380 PGU655380:PGV655380 PQQ655380:PQR655380 QAM655380:QAN655380 QKI655380:QKJ655380 QUE655380:QUF655380 REA655380:REB655380 RNW655380:RNX655380 RXS655380:RXT655380 SHO655380:SHP655380 SRK655380:SRL655380 TBG655380:TBH655380 TLC655380:TLD655380 TUY655380:TUZ655380 UEU655380:UEV655380 UOQ655380:UOR655380 UYM655380:UYN655380 VII655380:VIJ655380 VSE655380:VSF655380 WCA655380:WCB655380 WLW655380:WLX655380 WVS655380:WVT655380 K720916:L720916 JG720916:JH720916 TC720916:TD720916 ACY720916:ACZ720916 AMU720916:AMV720916 AWQ720916:AWR720916 BGM720916:BGN720916 BQI720916:BQJ720916 CAE720916:CAF720916 CKA720916:CKB720916 CTW720916:CTX720916 DDS720916:DDT720916 DNO720916:DNP720916 DXK720916:DXL720916 EHG720916:EHH720916 ERC720916:ERD720916 FAY720916:FAZ720916 FKU720916:FKV720916 FUQ720916:FUR720916 GEM720916:GEN720916 GOI720916:GOJ720916 GYE720916:GYF720916 HIA720916:HIB720916 HRW720916:HRX720916 IBS720916:IBT720916 ILO720916:ILP720916 IVK720916:IVL720916 JFG720916:JFH720916 JPC720916:JPD720916 JYY720916:JYZ720916 KIU720916:KIV720916 KSQ720916:KSR720916 LCM720916:LCN720916 LMI720916:LMJ720916 LWE720916:LWF720916 MGA720916:MGB720916 MPW720916:MPX720916 MZS720916:MZT720916 NJO720916:NJP720916 NTK720916:NTL720916 ODG720916:ODH720916 ONC720916:OND720916 OWY720916:OWZ720916 PGU720916:PGV720916 PQQ720916:PQR720916 QAM720916:QAN720916 QKI720916:QKJ720916 QUE720916:QUF720916 REA720916:REB720916 RNW720916:RNX720916 RXS720916:RXT720916 SHO720916:SHP720916 SRK720916:SRL720916 TBG720916:TBH720916 TLC720916:TLD720916 TUY720916:TUZ720916 UEU720916:UEV720916 UOQ720916:UOR720916 UYM720916:UYN720916 VII720916:VIJ720916 VSE720916:VSF720916 WCA720916:WCB720916 WLW720916:WLX720916 WVS720916:WVT720916 K786452:L786452 JG786452:JH786452 TC786452:TD786452 ACY786452:ACZ786452 AMU786452:AMV786452 AWQ786452:AWR786452 BGM786452:BGN786452 BQI786452:BQJ786452 CAE786452:CAF786452 CKA786452:CKB786452 CTW786452:CTX786452 DDS786452:DDT786452 DNO786452:DNP786452 DXK786452:DXL786452 EHG786452:EHH786452 ERC786452:ERD786452 FAY786452:FAZ786452 FKU786452:FKV786452 FUQ786452:FUR786452 GEM786452:GEN786452 GOI786452:GOJ786452 GYE786452:GYF786452 HIA786452:HIB786452 HRW786452:HRX786452 IBS786452:IBT786452 ILO786452:ILP786452 IVK786452:IVL786452 JFG786452:JFH786452 JPC786452:JPD786452 JYY786452:JYZ786452 KIU786452:KIV786452 KSQ786452:KSR786452 LCM786452:LCN786452 LMI786452:LMJ786452 LWE786452:LWF786452 MGA786452:MGB786452 MPW786452:MPX786452 MZS786452:MZT786452 NJO786452:NJP786452 NTK786452:NTL786452 ODG786452:ODH786452 ONC786452:OND786452 OWY786452:OWZ786452 PGU786452:PGV786452 PQQ786452:PQR786452 QAM786452:QAN786452 QKI786452:QKJ786452 QUE786452:QUF786452 REA786452:REB786452 RNW786452:RNX786452 RXS786452:RXT786452 SHO786452:SHP786452 SRK786452:SRL786452 TBG786452:TBH786452 TLC786452:TLD786452 TUY786452:TUZ786452 UEU786452:UEV786452 UOQ786452:UOR786452 UYM786452:UYN786452 VII786452:VIJ786452 VSE786452:VSF786452 WCA786452:WCB786452 WLW786452:WLX786452 WVS786452:WVT786452 K851988:L851988 JG851988:JH851988 TC851988:TD851988 ACY851988:ACZ851988 AMU851988:AMV851988 AWQ851988:AWR851988 BGM851988:BGN851988 BQI851988:BQJ851988 CAE851988:CAF851988 CKA851988:CKB851988 CTW851988:CTX851988 DDS851988:DDT851988 DNO851988:DNP851988 DXK851988:DXL851988 EHG851988:EHH851988 ERC851988:ERD851988 FAY851988:FAZ851988 FKU851988:FKV851988 FUQ851988:FUR851988 GEM851988:GEN851988 GOI851988:GOJ851988 GYE851988:GYF851988 HIA851988:HIB851988 HRW851988:HRX851988 IBS851988:IBT851988 ILO851988:ILP851988 IVK851988:IVL851988 JFG851988:JFH851988 JPC851988:JPD851988 JYY851988:JYZ851988 KIU851988:KIV851988 KSQ851988:KSR851988 LCM851988:LCN851988 LMI851988:LMJ851988 LWE851988:LWF851988 MGA851988:MGB851988 MPW851988:MPX851988 MZS851988:MZT851988 NJO851988:NJP851988 NTK851988:NTL851988 ODG851988:ODH851988 ONC851988:OND851988 OWY851988:OWZ851988 PGU851988:PGV851988 PQQ851988:PQR851988 QAM851988:QAN851988 QKI851988:QKJ851988 QUE851988:QUF851988 REA851988:REB851988 RNW851988:RNX851988 RXS851988:RXT851988 SHO851988:SHP851988 SRK851988:SRL851988 TBG851988:TBH851988 TLC851988:TLD851988 TUY851988:TUZ851988 UEU851988:UEV851988 UOQ851988:UOR851988 UYM851988:UYN851988 VII851988:VIJ851988 VSE851988:VSF851988 WCA851988:WCB851988 WLW851988:WLX851988 WVS851988:WVT851988 K917524:L917524 JG917524:JH917524 TC917524:TD917524 ACY917524:ACZ917524 AMU917524:AMV917524 AWQ917524:AWR917524 BGM917524:BGN917524 BQI917524:BQJ917524 CAE917524:CAF917524 CKA917524:CKB917524 CTW917524:CTX917524 DDS917524:DDT917524 DNO917524:DNP917524 DXK917524:DXL917524 EHG917524:EHH917524 ERC917524:ERD917524 FAY917524:FAZ917524 FKU917524:FKV917524 FUQ917524:FUR917524 GEM917524:GEN917524 GOI917524:GOJ917524 GYE917524:GYF917524 HIA917524:HIB917524 HRW917524:HRX917524 IBS917524:IBT917524 ILO917524:ILP917524 IVK917524:IVL917524 JFG917524:JFH917524 JPC917524:JPD917524 JYY917524:JYZ917524 KIU917524:KIV917524 KSQ917524:KSR917524 LCM917524:LCN917524 LMI917524:LMJ917524 LWE917524:LWF917524 MGA917524:MGB917524 MPW917524:MPX917524 MZS917524:MZT917524 NJO917524:NJP917524 NTK917524:NTL917524 ODG917524:ODH917524 ONC917524:OND917524 OWY917524:OWZ917524 PGU917524:PGV917524 PQQ917524:PQR917524 QAM917524:QAN917524 QKI917524:QKJ917524 QUE917524:QUF917524 REA917524:REB917524 RNW917524:RNX917524 RXS917524:RXT917524 SHO917524:SHP917524 SRK917524:SRL917524 TBG917524:TBH917524 TLC917524:TLD917524 TUY917524:TUZ917524 UEU917524:UEV917524 UOQ917524:UOR917524 UYM917524:UYN917524 VII917524:VIJ917524 VSE917524:VSF917524 WCA917524:WCB917524 WLW917524:WLX917524 WVS917524:WVT917524 K983060:L983060 JG983060:JH983060 TC983060:TD983060 ACY983060:ACZ983060 AMU983060:AMV983060 AWQ983060:AWR983060 BGM983060:BGN983060 BQI983060:BQJ983060 CAE983060:CAF983060 CKA983060:CKB983060 CTW983060:CTX983060 DDS983060:DDT983060 DNO983060:DNP983060 DXK983060:DXL983060 EHG983060:EHH983060 ERC983060:ERD983060 FAY983060:FAZ983060 FKU983060:FKV983060 FUQ983060:FUR983060 GEM983060:GEN983060 GOI983060:GOJ983060 GYE983060:GYF983060 HIA983060:HIB983060 HRW983060:HRX983060 IBS983060:IBT983060 ILO983060:ILP983060 IVK983060:IVL983060 JFG983060:JFH983060 JPC983060:JPD983060 JYY983060:JYZ983060 KIU983060:KIV983060 KSQ983060:KSR983060 LCM983060:LCN983060 LMI983060:LMJ983060 LWE983060:LWF983060 MGA983060:MGB983060 MPW983060:MPX983060 MZS983060:MZT983060 NJO983060:NJP983060 NTK983060:NTL983060 ODG983060:ODH983060 ONC983060:OND983060 OWY983060:OWZ983060 PGU983060:PGV983060 PQQ983060:PQR983060 QAM983060:QAN983060 QKI983060:QKJ983060 QUE983060:QUF983060 REA983060:REB983060 RNW983060:RNX983060 RXS983060:RXT983060 SHO983060:SHP983060 SRK983060:SRL983060 TBG983060:TBH983060 TLC983060:TLD983060 TUY983060:TUZ983060 UEU983060:UEV983060 UOQ983060:UOR983060 UYM983060:UYN983060 VII983060:VIJ983060 VSE983060:VSF983060 WCA983060:WCB983060 WLW983060:WLX983060 WVS983060:WVT983060 K17:L17 JG17:JH17 TC17:TD17 ACY17:ACZ17 AMU17:AMV17 AWQ17:AWR17 BGM17:BGN17 BQI17:BQJ17 CAE17:CAF17 CKA17:CKB17 CTW17:CTX17 DDS17:DDT17 DNO17:DNP17 DXK17:DXL17 EHG17:EHH17 ERC17:ERD17 FAY17:FAZ17 FKU17:FKV17 FUQ17:FUR17 GEM17:GEN17 GOI17:GOJ17 GYE17:GYF17 HIA17:HIB17 HRW17:HRX17 IBS17:IBT17 ILO17:ILP17 IVK17:IVL17 JFG17:JFH17 JPC17:JPD17 JYY17:JYZ17 KIU17:KIV17 KSQ17:KSR17 LCM17:LCN17 LMI17:LMJ17 LWE17:LWF17 MGA17:MGB17 MPW17:MPX17 MZS17:MZT17 NJO17:NJP17 NTK17:NTL17 ODG17:ODH17 ONC17:OND17 OWY17:OWZ17 PGU17:PGV17 PQQ17:PQR17 QAM17:QAN17 QKI17:QKJ17 QUE17:QUF17 REA17:REB17 RNW17:RNX17 RXS17:RXT17 SHO17:SHP17 SRK17:SRL17 TBG17:TBH17 TLC17:TLD17 TUY17:TUZ17 UEU17:UEV17 UOQ17:UOR17 UYM17:UYN17 VII17:VIJ17 VSE17:VSF17 WCA17:WCB17 WLW17:WLX17 WVS17:WVT17 K65553:L65553 JG65553:JH65553 TC65553:TD65553 ACY65553:ACZ65553 AMU65553:AMV65553 AWQ65553:AWR65553 BGM65553:BGN65553 BQI65553:BQJ65553 CAE65553:CAF65553 CKA65553:CKB65553 CTW65553:CTX65553 DDS65553:DDT65553 DNO65553:DNP65553 DXK65553:DXL65553 EHG65553:EHH65553 ERC65553:ERD65553 FAY65553:FAZ65553 FKU65553:FKV65553 FUQ65553:FUR65553 GEM65553:GEN65553 GOI65553:GOJ65553 GYE65553:GYF65553 HIA65553:HIB65553 HRW65553:HRX65553 IBS65553:IBT65553 ILO65553:ILP65553 IVK65553:IVL65553 JFG65553:JFH65553 JPC65553:JPD65553 JYY65553:JYZ65553 KIU65553:KIV65553 KSQ65553:KSR65553 LCM65553:LCN65553 LMI65553:LMJ65553 LWE65553:LWF65553 MGA65553:MGB65553 MPW65553:MPX65553 MZS65553:MZT65553 NJO65553:NJP65553 NTK65553:NTL65553 ODG65553:ODH65553 ONC65553:OND65553 OWY65553:OWZ65553 PGU65553:PGV65553 PQQ65553:PQR65553 QAM65553:QAN65553 QKI65553:QKJ65553 QUE65553:QUF65553 REA65553:REB65553 RNW65553:RNX65553 RXS65553:RXT65553 SHO65553:SHP65553 SRK65553:SRL65553 TBG65553:TBH65553 TLC65553:TLD65553 TUY65553:TUZ65553 UEU65553:UEV65553 UOQ65553:UOR65553 UYM65553:UYN65553 VII65553:VIJ65553 VSE65553:VSF65553 WCA65553:WCB65553 WLW65553:WLX65553 WVS65553:WVT65553 K131089:L131089 JG131089:JH131089 TC131089:TD131089 ACY131089:ACZ131089 AMU131089:AMV131089 AWQ131089:AWR131089 BGM131089:BGN131089 BQI131089:BQJ131089 CAE131089:CAF131089 CKA131089:CKB131089 CTW131089:CTX131089 DDS131089:DDT131089 DNO131089:DNP131089 DXK131089:DXL131089 EHG131089:EHH131089 ERC131089:ERD131089 FAY131089:FAZ131089 FKU131089:FKV131089 FUQ131089:FUR131089 GEM131089:GEN131089 GOI131089:GOJ131089 GYE131089:GYF131089 HIA131089:HIB131089 HRW131089:HRX131089 IBS131089:IBT131089 ILO131089:ILP131089 IVK131089:IVL131089 JFG131089:JFH131089 JPC131089:JPD131089 JYY131089:JYZ131089 KIU131089:KIV131089 KSQ131089:KSR131089 LCM131089:LCN131089 LMI131089:LMJ131089 LWE131089:LWF131089 MGA131089:MGB131089 MPW131089:MPX131089 MZS131089:MZT131089 NJO131089:NJP131089 NTK131089:NTL131089 ODG131089:ODH131089 ONC131089:OND131089 OWY131089:OWZ131089 PGU131089:PGV131089 PQQ131089:PQR131089 QAM131089:QAN131089 QKI131089:QKJ131089 QUE131089:QUF131089 REA131089:REB131089 RNW131089:RNX131089 RXS131089:RXT131089 SHO131089:SHP131089 SRK131089:SRL131089 TBG131089:TBH131089 TLC131089:TLD131089 TUY131089:TUZ131089 UEU131089:UEV131089 UOQ131089:UOR131089 UYM131089:UYN131089 VII131089:VIJ131089 VSE131089:VSF131089 WCA131089:WCB131089 WLW131089:WLX131089 WVS131089:WVT131089 K196625:L196625 JG196625:JH196625 TC196625:TD196625 ACY196625:ACZ196625 AMU196625:AMV196625 AWQ196625:AWR196625 BGM196625:BGN196625 BQI196625:BQJ196625 CAE196625:CAF196625 CKA196625:CKB196625 CTW196625:CTX196625 DDS196625:DDT196625 DNO196625:DNP196625 DXK196625:DXL196625 EHG196625:EHH196625 ERC196625:ERD196625 FAY196625:FAZ196625 FKU196625:FKV196625 FUQ196625:FUR196625 GEM196625:GEN196625 GOI196625:GOJ196625 GYE196625:GYF196625 HIA196625:HIB196625 HRW196625:HRX196625 IBS196625:IBT196625 ILO196625:ILP196625 IVK196625:IVL196625 JFG196625:JFH196625 JPC196625:JPD196625 JYY196625:JYZ196625 KIU196625:KIV196625 KSQ196625:KSR196625 LCM196625:LCN196625 LMI196625:LMJ196625 LWE196625:LWF196625 MGA196625:MGB196625 MPW196625:MPX196625 MZS196625:MZT196625 NJO196625:NJP196625 NTK196625:NTL196625 ODG196625:ODH196625 ONC196625:OND196625 OWY196625:OWZ196625 PGU196625:PGV196625 PQQ196625:PQR196625 QAM196625:QAN196625 QKI196625:QKJ196625 QUE196625:QUF196625 REA196625:REB196625 RNW196625:RNX196625 RXS196625:RXT196625 SHO196625:SHP196625 SRK196625:SRL196625 TBG196625:TBH196625 TLC196625:TLD196625 TUY196625:TUZ196625 UEU196625:UEV196625 UOQ196625:UOR196625 UYM196625:UYN196625 VII196625:VIJ196625 VSE196625:VSF196625 WCA196625:WCB196625 WLW196625:WLX196625 WVS196625:WVT196625 K262161:L262161 JG262161:JH262161 TC262161:TD262161 ACY262161:ACZ262161 AMU262161:AMV262161 AWQ262161:AWR262161 BGM262161:BGN262161 BQI262161:BQJ262161 CAE262161:CAF262161 CKA262161:CKB262161 CTW262161:CTX262161 DDS262161:DDT262161 DNO262161:DNP262161 DXK262161:DXL262161 EHG262161:EHH262161 ERC262161:ERD262161 FAY262161:FAZ262161 FKU262161:FKV262161 FUQ262161:FUR262161 GEM262161:GEN262161 GOI262161:GOJ262161 GYE262161:GYF262161 HIA262161:HIB262161 HRW262161:HRX262161 IBS262161:IBT262161 ILO262161:ILP262161 IVK262161:IVL262161 JFG262161:JFH262161 JPC262161:JPD262161 JYY262161:JYZ262161 KIU262161:KIV262161 KSQ262161:KSR262161 LCM262161:LCN262161 LMI262161:LMJ262161 LWE262161:LWF262161 MGA262161:MGB262161 MPW262161:MPX262161 MZS262161:MZT262161 NJO262161:NJP262161 NTK262161:NTL262161 ODG262161:ODH262161 ONC262161:OND262161 OWY262161:OWZ262161 PGU262161:PGV262161 PQQ262161:PQR262161 QAM262161:QAN262161 QKI262161:QKJ262161 QUE262161:QUF262161 REA262161:REB262161 RNW262161:RNX262161 RXS262161:RXT262161 SHO262161:SHP262161 SRK262161:SRL262161 TBG262161:TBH262161 TLC262161:TLD262161 TUY262161:TUZ262161 UEU262161:UEV262161 UOQ262161:UOR262161 UYM262161:UYN262161 VII262161:VIJ262161 VSE262161:VSF262161 WCA262161:WCB262161 WLW262161:WLX262161 WVS262161:WVT262161 K327697:L327697 JG327697:JH327697 TC327697:TD327697 ACY327697:ACZ327697 AMU327697:AMV327697 AWQ327697:AWR327697 BGM327697:BGN327697 BQI327697:BQJ327697 CAE327697:CAF327697 CKA327697:CKB327697 CTW327697:CTX327697 DDS327697:DDT327697 DNO327697:DNP327697 DXK327697:DXL327697 EHG327697:EHH327697 ERC327697:ERD327697 FAY327697:FAZ327697 FKU327697:FKV327697 FUQ327697:FUR327697 GEM327697:GEN327697 GOI327697:GOJ327697 GYE327697:GYF327697 HIA327697:HIB327697 HRW327697:HRX327697 IBS327697:IBT327697 ILO327697:ILP327697 IVK327697:IVL327697 JFG327697:JFH327697 JPC327697:JPD327697 JYY327697:JYZ327697 KIU327697:KIV327697 KSQ327697:KSR327697 LCM327697:LCN327697 LMI327697:LMJ327697 LWE327697:LWF327697 MGA327697:MGB327697 MPW327697:MPX327697 MZS327697:MZT327697 NJO327697:NJP327697 NTK327697:NTL327697 ODG327697:ODH327697 ONC327697:OND327697 OWY327697:OWZ327697 PGU327697:PGV327697 PQQ327697:PQR327697 QAM327697:QAN327697 QKI327697:QKJ327697 QUE327697:QUF327697 REA327697:REB327697 RNW327697:RNX327697 RXS327697:RXT327697 SHO327697:SHP327697 SRK327697:SRL327697 TBG327697:TBH327697 TLC327697:TLD327697 TUY327697:TUZ327697 UEU327697:UEV327697 UOQ327697:UOR327697 UYM327697:UYN327697 VII327697:VIJ327697 VSE327697:VSF327697 WCA327697:WCB327697 WLW327697:WLX327697 WVS327697:WVT327697 K393233:L393233 JG393233:JH393233 TC393233:TD393233 ACY393233:ACZ393233 AMU393233:AMV393233 AWQ393233:AWR393233 BGM393233:BGN393233 BQI393233:BQJ393233 CAE393233:CAF393233 CKA393233:CKB393233 CTW393233:CTX393233 DDS393233:DDT393233 DNO393233:DNP393233 DXK393233:DXL393233 EHG393233:EHH393233 ERC393233:ERD393233 FAY393233:FAZ393233 FKU393233:FKV393233 FUQ393233:FUR393233 GEM393233:GEN393233 GOI393233:GOJ393233 GYE393233:GYF393233 HIA393233:HIB393233 HRW393233:HRX393233 IBS393233:IBT393233 ILO393233:ILP393233 IVK393233:IVL393233 JFG393233:JFH393233 JPC393233:JPD393233 JYY393233:JYZ393233 KIU393233:KIV393233 KSQ393233:KSR393233 LCM393233:LCN393233 LMI393233:LMJ393233 LWE393233:LWF393233 MGA393233:MGB393233 MPW393233:MPX393233 MZS393233:MZT393233 NJO393233:NJP393233 NTK393233:NTL393233 ODG393233:ODH393233 ONC393233:OND393233 OWY393233:OWZ393233 PGU393233:PGV393233 PQQ393233:PQR393233 QAM393233:QAN393233 QKI393233:QKJ393233 QUE393233:QUF393233 REA393233:REB393233 RNW393233:RNX393233 RXS393233:RXT393233 SHO393233:SHP393233 SRK393233:SRL393233 TBG393233:TBH393233 TLC393233:TLD393233 TUY393233:TUZ393233 UEU393233:UEV393233 UOQ393233:UOR393233 UYM393233:UYN393233 VII393233:VIJ393233 VSE393233:VSF393233 WCA393233:WCB393233 WLW393233:WLX393233 WVS393233:WVT393233 K458769:L458769 JG458769:JH458769 TC458769:TD458769 ACY458769:ACZ458769 AMU458769:AMV458769 AWQ458769:AWR458769 BGM458769:BGN458769 BQI458769:BQJ458769 CAE458769:CAF458769 CKA458769:CKB458769 CTW458769:CTX458769 DDS458769:DDT458769 DNO458769:DNP458769 DXK458769:DXL458769 EHG458769:EHH458769 ERC458769:ERD458769 FAY458769:FAZ458769 FKU458769:FKV458769 FUQ458769:FUR458769 GEM458769:GEN458769 GOI458769:GOJ458769 GYE458769:GYF458769 HIA458769:HIB458769 HRW458769:HRX458769 IBS458769:IBT458769 ILO458769:ILP458769 IVK458769:IVL458769 JFG458769:JFH458769 JPC458769:JPD458769 JYY458769:JYZ458769 KIU458769:KIV458769 KSQ458769:KSR458769 LCM458769:LCN458769 LMI458769:LMJ458769 LWE458769:LWF458769 MGA458769:MGB458769 MPW458769:MPX458769 MZS458769:MZT458769 NJO458769:NJP458769 NTK458769:NTL458769 ODG458769:ODH458769 ONC458769:OND458769 OWY458769:OWZ458769 PGU458769:PGV458769 PQQ458769:PQR458769 QAM458769:QAN458769 QKI458769:QKJ458769 QUE458769:QUF458769 REA458769:REB458769 RNW458769:RNX458769 RXS458769:RXT458769 SHO458769:SHP458769 SRK458769:SRL458769 TBG458769:TBH458769 TLC458769:TLD458769 TUY458769:TUZ458769 UEU458769:UEV458769 UOQ458769:UOR458769 UYM458769:UYN458769 VII458769:VIJ458769 VSE458769:VSF458769 WCA458769:WCB458769 WLW458769:WLX458769 WVS458769:WVT458769 K524305:L524305 JG524305:JH524305 TC524305:TD524305 ACY524305:ACZ524305 AMU524305:AMV524305 AWQ524305:AWR524305 BGM524305:BGN524305 BQI524305:BQJ524305 CAE524305:CAF524305 CKA524305:CKB524305 CTW524305:CTX524305 DDS524305:DDT524305 DNO524305:DNP524305 DXK524305:DXL524305 EHG524305:EHH524305 ERC524305:ERD524305 FAY524305:FAZ524305 FKU524305:FKV524305 FUQ524305:FUR524305 GEM524305:GEN524305 GOI524305:GOJ524305 GYE524305:GYF524305 HIA524305:HIB524305 HRW524305:HRX524305 IBS524305:IBT524305 ILO524305:ILP524305 IVK524305:IVL524305 JFG524305:JFH524305 JPC524305:JPD524305 JYY524305:JYZ524305 KIU524305:KIV524305 KSQ524305:KSR524305 LCM524305:LCN524305 LMI524305:LMJ524305 LWE524305:LWF524305 MGA524305:MGB524305 MPW524305:MPX524305 MZS524305:MZT524305 NJO524305:NJP524305 NTK524305:NTL524305 ODG524305:ODH524305 ONC524305:OND524305 OWY524305:OWZ524305 PGU524305:PGV524305 PQQ524305:PQR524305 QAM524305:QAN524305 QKI524305:QKJ524305 QUE524305:QUF524305 REA524305:REB524305 RNW524305:RNX524305 RXS524305:RXT524305 SHO524305:SHP524305 SRK524305:SRL524305 TBG524305:TBH524305 TLC524305:TLD524305 TUY524305:TUZ524305 UEU524305:UEV524305 UOQ524305:UOR524305 UYM524305:UYN524305 VII524305:VIJ524305 VSE524305:VSF524305 WCA524305:WCB524305 WLW524305:WLX524305 WVS524305:WVT524305 K589841:L589841 JG589841:JH589841 TC589841:TD589841 ACY589841:ACZ589841 AMU589841:AMV589841 AWQ589841:AWR589841 BGM589841:BGN589841 BQI589841:BQJ589841 CAE589841:CAF589841 CKA589841:CKB589841 CTW589841:CTX589841 DDS589841:DDT589841 DNO589841:DNP589841 DXK589841:DXL589841 EHG589841:EHH589841 ERC589841:ERD589841 FAY589841:FAZ589841 FKU589841:FKV589841 FUQ589841:FUR589841 GEM589841:GEN589841 GOI589841:GOJ589841 GYE589841:GYF589841 HIA589841:HIB589841 HRW589841:HRX589841 IBS589841:IBT589841 ILO589841:ILP589841 IVK589841:IVL589841 JFG589841:JFH589841 JPC589841:JPD589841 JYY589841:JYZ589841 KIU589841:KIV589841 KSQ589841:KSR589841 LCM589841:LCN589841 LMI589841:LMJ589841 LWE589841:LWF589841 MGA589841:MGB589841 MPW589841:MPX589841 MZS589841:MZT589841 NJO589841:NJP589841 NTK589841:NTL589841 ODG589841:ODH589841 ONC589841:OND589841 OWY589841:OWZ589841 PGU589841:PGV589841 PQQ589841:PQR589841 QAM589841:QAN589841 QKI589841:QKJ589841 QUE589841:QUF589841 REA589841:REB589841 RNW589841:RNX589841 RXS589841:RXT589841 SHO589841:SHP589841 SRK589841:SRL589841 TBG589841:TBH589841 TLC589841:TLD589841 TUY589841:TUZ589841 UEU589841:UEV589841 UOQ589841:UOR589841 UYM589841:UYN589841 VII589841:VIJ589841 VSE589841:VSF589841 WCA589841:WCB589841 WLW589841:WLX589841 WVS589841:WVT589841 K655377:L655377 JG655377:JH655377 TC655377:TD655377 ACY655377:ACZ655377 AMU655377:AMV655377 AWQ655377:AWR655377 BGM655377:BGN655377 BQI655377:BQJ655377 CAE655377:CAF655377 CKA655377:CKB655377 CTW655377:CTX655377 DDS655377:DDT655377 DNO655377:DNP655377 DXK655377:DXL655377 EHG655377:EHH655377 ERC655377:ERD655377 FAY655377:FAZ655377 FKU655377:FKV655377 FUQ655377:FUR655377 GEM655377:GEN655377 GOI655377:GOJ655377 GYE655377:GYF655377 HIA655377:HIB655377 HRW655377:HRX655377 IBS655377:IBT655377 ILO655377:ILP655377 IVK655377:IVL655377 JFG655377:JFH655377 JPC655377:JPD655377 JYY655377:JYZ655377 KIU655377:KIV655377 KSQ655377:KSR655377 LCM655377:LCN655377 LMI655377:LMJ655377 LWE655377:LWF655377 MGA655377:MGB655377 MPW655377:MPX655377 MZS655377:MZT655377 NJO655377:NJP655377 NTK655377:NTL655377 ODG655377:ODH655377 ONC655377:OND655377 OWY655377:OWZ655377 PGU655377:PGV655377 PQQ655377:PQR655377 QAM655377:QAN655377 QKI655377:QKJ655377 QUE655377:QUF655377 REA655377:REB655377 RNW655377:RNX655377 RXS655377:RXT655377 SHO655377:SHP655377 SRK655377:SRL655377 TBG655377:TBH655377 TLC655377:TLD655377 TUY655377:TUZ655377 UEU655377:UEV655377 UOQ655377:UOR655377 UYM655377:UYN655377 VII655377:VIJ655377 VSE655377:VSF655377 WCA655377:WCB655377 WLW655377:WLX655377 WVS655377:WVT655377 K720913:L720913 JG720913:JH720913 TC720913:TD720913 ACY720913:ACZ720913 AMU720913:AMV720913 AWQ720913:AWR720913 BGM720913:BGN720913 BQI720913:BQJ720913 CAE720913:CAF720913 CKA720913:CKB720913 CTW720913:CTX720913 DDS720913:DDT720913 DNO720913:DNP720913 DXK720913:DXL720913 EHG720913:EHH720913 ERC720913:ERD720913 FAY720913:FAZ720913 FKU720913:FKV720913 FUQ720913:FUR720913 GEM720913:GEN720913 GOI720913:GOJ720913 GYE720913:GYF720913 HIA720913:HIB720913 HRW720913:HRX720913 IBS720913:IBT720913 ILO720913:ILP720913 IVK720913:IVL720913 JFG720913:JFH720913 JPC720913:JPD720913 JYY720913:JYZ720913 KIU720913:KIV720913 KSQ720913:KSR720913 LCM720913:LCN720913 LMI720913:LMJ720913 LWE720913:LWF720913 MGA720913:MGB720913 MPW720913:MPX720913 MZS720913:MZT720913 NJO720913:NJP720913 NTK720913:NTL720913 ODG720913:ODH720913 ONC720913:OND720913 OWY720913:OWZ720913 PGU720913:PGV720913 PQQ720913:PQR720913 QAM720913:QAN720913 QKI720913:QKJ720913 QUE720913:QUF720913 REA720913:REB720913 RNW720913:RNX720913 RXS720913:RXT720913 SHO720913:SHP720913 SRK720913:SRL720913 TBG720913:TBH720913 TLC720913:TLD720913 TUY720913:TUZ720913 UEU720913:UEV720913 UOQ720913:UOR720913 UYM720913:UYN720913 VII720913:VIJ720913 VSE720913:VSF720913 WCA720913:WCB720913 WLW720913:WLX720913 WVS720913:WVT720913 K786449:L786449 JG786449:JH786449 TC786449:TD786449 ACY786449:ACZ786449 AMU786449:AMV786449 AWQ786449:AWR786449 BGM786449:BGN786449 BQI786449:BQJ786449 CAE786449:CAF786449 CKA786449:CKB786449 CTW786449:CTX786449 DDS786449:DDT786449 DNO786449:DNP786449 DXK786449:DXL786449 EHG786449:EHH786449 ERC786449:ERD786449 FAY786449:FAZ786449 FKU786449:FKV786449 FUQ786449:FUR786449 GEM786449:GEN786449 GOI786449:GOJ786449 GYE786449:GYF786449 HIA786449:HIB786449 HRW786449:HRX786449 IBS786449:IBT786449 ILO786449:ILP786449 IVK786449:IVL786449 JFG786449:JFH786449 JPC786449:JPD786449 JYY786449:JYZ786449 KIU786449:KIV786449 KSQ786449:KSR786449 LCM786449:LCN786449 LMI786449:LMJ786449 LWE786449:LWF786449 MGA786449:MGB786449 MPW786449:MPX786449 MZS786449:MZT786449 NJO786449:NJP786449 NTK786449:NTL786449 ODG786449:ODH786449 ONC786449:OND786449 OWY786449:OWZ786449 PGU786449:PGV786449 PQQ786449:PQR786449 QAM786449:QAN786449 QKI786449:QKJ786449 QUE786449:QUF786449 REA786449:REB786449 RNW786449:RNX786449 RXS786449:RXT786449 SHO786449:SHP786449 SRK786449:SRL786449 TBG786449:TBH786449 TLC786449:TLD786449 TUY786449:TUZ786449 UEU786449:UEV786449 UOQ786449:UOR786449 UYM786449:UYN786449 VII786449:VIJ786449 VSE786449:VSF786449 WCA786449:WCB786449 WLW786449:WLX786449 WVS786449:WVT786449 K851985:L851985 JG851985:JH851985 TC851985:TD851985 ACY851985:ACZ851985 AMU851985:AMV851985 AWQ851985:AWR851985 BGM851985:BGN851985 BQI851985:BQJ851985 CAE851985:CAF851985 CKA851985:CKB851985 CTW851985:CTX851985 DDS851985:DDT851985 DNO851985:DNP851985 DXK851985:DXL851985 EHG851985:EHH851985 ERC851985:ERD851985 FAY851985:FAZ851985 FKU851985:FKV851985 FUQ851985:FUR851985 GEM851985:GEN851985 GOI851985:GOJ851985 GYE851985:GYF851985 HIA851985:HIB851985 HRW851985:HRX851985 IBS851985:IBT851985 ILO851985:ILP851985 IVK851985:IVL851985 JFG851985:JFH851985 JPC851985:JPD851985 JYY851985:JYZ851985 KIU851985:KIV851985 KSQ851985:KSR851985 LCM851985:LCN851985 LMI851985:LMJ851985 LWE851985:LWF851985 MGA851985:MGB851985 MPW851985:MPX851985 MZS851985:MZT851985 NJO851985:NJP851985 NTK851985:NTL851985 ODG851985:ODH851985 ONC851985:OND851985 OWY851985:OWZ851985 PGU851985:PGV851985 PQQ851985:PQR851985 QAM851985:QAN851985 QKI851985:QKJ851985 QUE851985:QUF851985 REA851985:REB851985 RNW851985:RNX851985 RXS851985:RXT851985 SHO851985:SHP851985 SRK851985:SRL851985 TBG851985:TBH851985 TLC851985:TLD851985 TUY851985:TUZ851985 UEU851985:UEV851985 UOQ851985:UOR851985 UYM851985:UYN851985 VII851985:VIJ851985 VSE851985:VSF851985 WCA851985:WCB851985 WLW851985:WLX851985 WVS851985:WVT851985 K917521:L917521 JG917521:JH917521 TC917521:TD917521 ACY917521:ACZ917521 AMU917521:AMV917521 AWQ917521:AWR917521 BGM917521:BGN917521 BQI917521:BQJ917521 CAE917521:CAF917521 CKA917521:CKB917521 CTW917521:CTX917521 DDS917521:DDT917521 DNO917521:DNP917521 DXK917521:DXL917521 EHG917521:EHH917521 ERC917521:ERD917521 FAY917521:FAZ917521 FKU917521:FKV917521 FUQ917521:FUR917521 GEM917521:GEN917521 GOI917521:GOJ917521 GYE917521:GYF917521 HIA917521:HIB917521 HRW917521:HRX917521 IBS917521:IBT917521 ILO917521:ILP917521 IVK917521:IVL917521 JFG917521:JFH917521 JPC917521:JPD917521 JYY917521:JYZ917521 KIU917521:KIV917521 KSQ917521:KSR917521 LCM917521:LCN917521 LMI917521:LMJ917521 LWE917521:LWF917521 MGA917521:MGB917521 MPW917521:MPX917521 MZS917521:MZT917521 NJO917521:NJP917521 NTK917521:NTL917521 ODG917521:ODH917521 ONC917521:OND917521 OWY917521:OWZ917521 PGU917521:PGV917521 PQQ917521:PQR917521 QAM917521:QAN917521 QKI917521:QKJ917521 QUE917521:QUF917521 REA917521:REB917521 RNW917521:RNX917521 RXS917521:RXT917521 SHO917521:SHP917521 SRK917521:SRL917521 TBG917521:TBH917521 TLC917521:TLD917521 TUY917521:TUZ917521 UEU917521:UEV917521 UOQ917521:UOR917521 UYM917521:UYN917521 VII917521:VIJ917521 VSE917521:VSF917521 WCA917521:WCB917521 WLW917521:WLX917521 WVS917521:WVT917521 K983057:L983057 JG983057:JH983057 TC983057:TD983057 ACY983057:ACZ983057 AMU983057:AMV983057 AWQ983057:AWR983057 BGM983057:BGN983057 BQI983057:BQJ983057 CAE983057:CAF983057 CKA983057:CKB983057 CTW983057:CTX983057 DDS983057:DDT983057 DNO983057:DNP983057 DXK983057:DXL983057 EHG983057:EHH983057 ERC983057:ERD983057 FAY983057:FAZ983057 FKU983057:FKV983057 FUQ983057:FUR983057 GEM983057:GEN983057 GOI983057:GOJ983057 GYE983057:GYF983057 HIA983057:HIB983057 HRW983057:HRX983057 IBS983057:IBT983057 ILO983057:ILP983057 IVK983057:IVL983057 JFG983057:JFH983057 JPC983057:JPD983057 JYY983057:JYZ983057 KIU983057:KIV983057 KSQ983057:KSR983057 LCM983057:LCN983057 LMI983057:LMJ983057 LWE983057:LWF983057 MGA983057:MGB983057 MPW983057:MPX983057 MZS983057:MZT983057 NJO983057:NJP983057 NTK983057:NTL983057 ODG983057:ODH983057 ONC983057:OND983057 OWY983057:OWZ983057 PGU983057:PGV983057 PQQ983057:PQR983057 QAM983057:QAN983057 QKI983057:QKJ983057 QUE983057:QUF983057 REA983057:REB983057 RNW983057:RNX983057 RXS983057:RXT983057 SHO983057:SHP983057 SRK983057:SRL983057 TBG983057:TBH983057 TLC983057:TLD983057 TUY983057:TUZ983057 UEU983057:UEV983057 UOQ983057:UOR983057 UYM983057:UYN983057 VII983057:VIJ983057 VSE983057:VSF983057 WCA983057:WCB983057 WLW983057:WLX983057 WVS983057:WVT983057 K14:L14 JG14:JH14 TC14:TD14 ACY14:ACZ14 AMU14:AMV14 AWQ14:AWR14 BGM14:BGN14 BQI14:BQJ14 CAE14:CAF14 CKA14:CKB14 CTW14:CTX14 DDS14:DDT14 DNO14:DNP14 DXK14:DXL14 EHG14:EHH14 ERC14:ERD14 FAY14:FAZ14 FKU14:FKV14 FUQ14:FUR14 GEM14:GEN14 GOI14:GOJ14 GYE14:GYF14 HIA14:HIB14 HRW14:HRX14 IBS14:IBT14 ILO14:ILP14 IVK14:IVL14 JFG14:JFH14 JPC14:JPD14 JYY14:JYZ14 KIU14:KIV14 KSQ14:KSR14 LCM14:LCN14 LMI14:LMJ14 LWE14:LWF14 MGA14:MGB14 MPW14:MPX14 MZS14:MZT14 NJO14:NJP14 NTK14:NTL14 ODG14:ODH14 ONC14:OND14 OWY14:OWZ14 PGU14:PGV14 PQQ14:PQR14 QAM14:QAN14 QKI14:QKJ14 QUE14:QUF14 REA14:REB14 RNW14:RNX14 RXS14:RXT14 SHO14:SHP14 SRK14:SRL14 TBG14:TBH14 TLC14:TLD14 TUY14:TUZ14 UEU14:UEV14 UOQ14:UOR14 UYM14:UYN14 VII14:VIJ14 VSE14:VSF14 WCA14:WCB14 WLW14:WLX14 WVS14:WVT14 K65550:L65550 JG65550:JH65550 TC65550:TD65550 ACY65550:ACZ65550 AMU65550:AMV65550 AWQ65550:AWR65550 BGM65550:BGN65550 BQI65550:BQJ65550 CAE65550:CAF65550 CKA65550:CKB65550 CTW65550:CTX65550 DDS65550:DDT65550 DNO65550:DNP65550 DXK65550:DXL65550 EHG65550:EHH65550 ERC65550:ERD65550 FAY65550:FAZ65550 FKU65550:FKV65550 FUQ65550:FUR65550 GEM65550:GEN65550 GOI65550:GOJ65550 GYE65550:GYF65550 HIA65550:HIB65550 HRW65550:HRX65550 IBS65550:IBT65550 ILO65550:ILP65550 IVK65550:IVL65550 JFG65550:JFH65550 JPC65550:JPD65550 JYY65550:JYZ65550 KIU65550:KIV65550 KSQ65550:KSR65550 LCM65550:LCN65550 LMI65550:LMJ65550 LWE65550:LWF65550 MGA65550:MGB65550 MPW65550:MPX65550 MZS65550:MZT65550 NJO65550:NJP65550 NTK65550:NTL65550 ODG65550:ODH65550 ONC65550:OND65550 OWY65550:OWZ65550 PGU65550:PGV65550 PQQ65550:PQR65550 QAM65550:QAN65550 QKI65550:QKJ65550 QUE65550:QUF65550 REA65550:REB65550 RNW65550:RNX65550 RXS65550:RXT65550 SHO65550:SHP65550 SRK65550:SRL65550 TBG65550:TBH65550 TLC65550:TLD65550 TUY65550:TUZ65550 UEU65550:UEV65550 UOQ65550:UOR65550 UYM65550:UYN65550 VII65550:VIJ65550 VSE65550:VSF65550 WCA65550:WCB65550 WLW65550:WLX65550 WVS65550:WVT65550 K131086:L131086 JG131086:JH131086 TC131086:TD131086 ACY131086:ACZ131086 AMU131086:AMV131086 AWQ131086:AWR131086 BGM131086:BGN131086 BQI131086:BQJ131086 CAE131086:CAF131086 CKA131086:CKB131086 CTW131086:CTX131086 DDS131086:DDT131086 DNO131086:DNP131086 DXK131086:DXL131086 EHG131086:EHH131086 ERC131086:ERD131086 FAY131086:FAZ131086 FKU131086:FKV131086 FUQ131086:FUR131086 GEM131086:GEN131086 GOI131086:GOJ131086 GYE131086:GYF131086 HIA131086:HIB131086 HRW131086:HRX131086 IBS131086:IBT131086 ILO131086:ILP131086 IVK131086:IVL131086 JFG131086:JFH131086 JPC131086:JPD131086 JYY131086:JYZ131086 KIU131086:KIV131086 KSQ131086:KSR131086 LCM131086:LCN131086 LMI131086:LMJ131086 LWE131086:LWF131086 MGA131086:MGB131086 MPW131086:MPX131086 MZS131086:MZT131086 NJO131086:NJP131086 NTK131086:NTL131086 ODG131086:ODH131086 ONC131086:OND131086 OWY131086:OWZ131086 PGU131086:PGV131086 PQQ131086:PQR131086 QAM131086:QAN131086 QKI131086:QKJ131086 QUE131086:QUF131086 REA131086:REB131086 RNW131086:RNX131086 RXS131086:RXT131086 SHO131086:SHP131086 SRK131086:SRL131086 TBG131086:TBH131086 TLC131086:TLD131086 TUY131086:TUZ131086 UEU131086:UEV131086 UOQ131086:UOR131086 UYM131086:UYN131086 VII131086:VIJ131086 VSE131086:VSF131086 WCA131086:WCB131086 WLW131086:WLX131086 WVS131086:WVT131086 K196622:L196622 JG196622:JH196622 TC196622:TD196622 ACY196622:ACZ196622 AMU196622:AMV196622 AWQ196622:AWR196622 BGM196622:BGN196622 BQI196622:BQJ196622 CAE196622:CAF196622 CKA196622:CKB196622 CTW196622:CTX196622 DDS196622:DDT196622 DNO196622:DNP196622 DXK196622:DXL196622 EHG196622:EHH196622 ERC196622:ERD196622 FAY196622:FAZ196622 FKU196622:FKV196622 FUQ196622:FUR196622 GEM196622:GEN196622 GOI196622:GOJ196622 GYE196622:GYF196622 HIA196622:HIB196622 HRW196622:HRX196622 IBS196622:IBT196622 ILO196622:ILP196622 IVK196622:IVL196622 JFG196622:JFH196622 JPC196622:JPD196622 JYY196622:JYZ196622 KIU196622:KIV196622 KSQ196622:KSR196622 LCM196622:LCN196622 LMI196622:LMJ196622 LWE196622:LWF196622 MGA196622:MGB196622 MPW196622:MPX196622 MZS196622:MZT196622 NJO196622:NJP196622 NTK196622:NTL196622 ODG196622:ODH196622 ONC196622:OND196622 OWY196622:OWZ196622 PGU196622:PGV196622 PQQ196622:PQR196622 QAM196622:QAN196622 QKI196622:QKJ196622 QUE196622:QUF196622 REA196622:REB196622 RNW196622:RNX196622 RXS196622:RXT196622 SHO196622:SHP196622 SRK196622:SRL196622 TBG196622:TBH196622 TLC196622:TLD196622 TUY196622:TUZ196622 UEU196622:UEV196622 UOQ196622:UOR196622 UYM196622:UYN196622 VII196622:VIJ196622 VSE196622:VSF196622 WCA196622:WCB196622 WLW196622:WLX196622 WVS196622:WVT196622 K262158:L262158 JG262158:JH262158 TC262158:TD262158 ACY262158:ACZ262158 AMU262158:AMV262158 AWQ262158:AWR262158 BGM262158:BGN262158 BQI262158:BQJ262158 CAE262158:CAF262158 CKA262158:CKB262158 CTW262158:CTX262158 DDS262158:DDT262158 DNO262158:DNP262158 DXK262158:DXL262158 EHG262158:EHH262158 ERC262158:ERD262158 FAY262158:FAZ262158 FKU262158:FKV262158 FUQ262158:FUR262158 GEM262158:GEN262158 GOI262158:GOJ262158 GYE262158:GYF262158 HIA262158:HIB262158 HRW262158:HRX262158 IBS262158:IBT262158 ILO262158:ILP262158 IVK262158:IVL262158 JFG262158:JFH262158 JPC262158:JPD262158 JYY262158:JYZ262158 KIU262158:KIV262158 KSQ262158:KSR262158 LCM262158:LCN262158 LMI262158:LMJ262158 LWE262158:LWF262158 MGA262158:MGB262158 MPW262158:MPX262158 MZS262158:MZT262158 NJO262158:NJP262158 NTK262158:NTL262158 ODG262158:ODH262158 ONC262158:OND262158 OWY262158:OWZ262158 PGU262158:PGV262158 PQQ262158:PQR262158 QAM262158:QAN262158 QKI262158:QKJ262158 QUE262158:QUF262158 REA262158:REB262158 RNW262158:RNX262158 RXS262158:RXT262158 SHO262158:SHP262158 SRK262158:SRL262158 TBG262158:TBH262158 TLC262158:TLD262158 TUY262158:TUZ262158 UEU262158:UEV262158 UOQ262158:UOR262158 UYM262158:UYN262158 VII262158:VIJ262158 VSE262158:VSF262158 WCA262158:WCB262158 WLW262158:WLX262158 WVS262158:WVT262158 K327694:L327694 JG327694:JH327694 TC327694:TD327694 ACY327694:ACZ327694 AMU327694:AMV327694 AWQ327694:AWR327694 BGM327694:BGN327694 BQI327694:BQJ327694 CAE327694:CAF327694 CKA327694:CKB327694 CTW327694:CTX327694 DDS327694:DDT327694 DNO327694:DNP327694 DXK327694:DXL327694 EHG327694:EHH327694 ERC327694:ERD327694 FAY327694:FAZ327694 FKU327694:FKV327694 FUQ327694:FUR327694 GEM327694:GEN327694 GOI327694:GOJ327694 GYE327694:GYF327694 HIA327694:HIB327694 HRW327694:HRX327694 IBS327694:IBT327694 ILO327694:ILP327694 IVK327694:IVL327694 JFG327694:JFH327694 JPC327694:JPD327694 JYY327694:JYZ327694 KIU327694:KIV327694 KSQ327694:KSR327694 LCM327694:LCN327694 LMI327694:LMJ327694 LWE327694:LWF327694 MGA327694:MGB327694 MPW327694:MPX327694 MZS327694:MZT327694 NJO327694:NJP327694 NTK327694:NTL327694 ODG327694:ODH327694 ONC327694:OND327694 OWY327694:OWZ327694 PGU327694:PGV327694 PQQ327694:PQR327694 QAM327694:QAN327694 QKI327694:QKJ327694 QUE327694:QUF327694 REA327694:REB327694 RNW327694:RNX327694 RXS327694:RXT327694 SHO327694:SHP327694 SRK327694:SRL327694 TBG327694:TBH327694 TLC327694:TLD327694 TUY327694:TUZ327694 UEU327694:UEV327694 UOQ327694:UOR327694 UYM327694:UYN327694 VII327694:VIJ327694 VSE327694:VSF327694 WCA327694:WCB327694 WLW327694:WLX327694 WVS327694:WVT327694 K393230:L393230 JG393230:JH393230 TC393230:TD393230 ACY393230:ACZ393230 AMU393230:AMV393230 AWQ393230:AWR393230 BGM393230:BGN393230 BQI393230:BQJ393230 CAE393230:CAF393230 CKA393230:CKB393230 CTW393230:CTX393230 DDS393230:DDT393230 DNO393230:DNP393230 DXK393230:DXL393230 EHG393230:EHH393230 ERC393230:ERD393230 FAY393230:FAZ393230 FKU393230:FKV393230 FUQ393230:FUR393230 GEM393230:GEN393230 GOI393230:GOJ393230 GYE393230:GYF393230 HIA393230:HIB393230 HRW393230:HRX393230 IBS393230:IBT393230 ILO393230:ILP393230 IVK393230:IVL393230 JFG393230:JFH393230 JPC393230:JPD393230 JYY393230:JYZ393230 KIU393230:KIV393230 KSQ393230:KSR393230 LCM393230:LCN393230 LMI393230:LMJ393230 LWE393230:LWF393230 MGA393230:MGB393230 MPW393230:MPX393230 MZS393230:MZT393230 NJO393230:NJP393230 NTK393230:NTL393230 ODG393230:ODH393230 ONC393230:OND393230 OWY393230:OWZ393230 PGU393230:PGV393230 PQQ393230:PQR393230 QAM393230:QAN393230 QKI393230:QKJ393230 QUE393230:QUF393230 REA393230:REB393230 RNW393230:RNX393230 RXS393230:RXT393230 SHO393230:SHP393230 SRK393230:SRL393230 TBG393230:TBH393230 TLC393230:TLD393230 TUY393230:TUZ393230 UEU393230:UEV393230 UOQ393230:UOR393230 UYM393230:UYN393230 VII393230:VIJ393230 VSE393230:VSF393230 WCA393230:WCB393230 WLW393230:WLX393230 WVS393230:WVT393230 K458766:L458766 JG458766:JH458766 TC458766:TD458766 ACY458766:ACZ458766 AMU458766:AMV458766 AWQ458766:AWR458766 BGM458766:BGN458766 BQI458766:BQJ458766 CAE458766:CAF458766 CKA458766:CKB458766 CTW458766:CTX458766 DDS458766:DDT458766 DNO458766:DNP458766 DXK458766:DXL458766 EHG458766:EHH458766 ERC458766:ERD458766 FAY458766:FAZ458766 FKU458766:FKV458766 FUQ458766:FUR458766 GEM458766:GEN458766 GOI458766:GOJ458766 GYE458766:GYF458766 HIA458766:HIB458766 HRW458766:HRX458766 IBS458766:IBT458766 ILO458766:ILP458766 IVK458766:IVL458766 JFG458766:JFH458766 JPC458766:JPD458766 JYY458766:JYZ458766 KIU458766:KIV458766 KSQ458766:KSR458766 LCM458766:LCN458766 LMI458766:LMJ458766 LWE458766:LWF458766 MGA458766:MGB458766 MPW458766:MPX458766 MZS458766:MZT458766 NJO458766:NJP458766 NTK458766:NTL458766 ODG458766:ODH458766 ONC458766:OND458766 OWY458766:OWZ458766 PGU458766:PGV458766 PQQ458766:PQR458766 QAM458766:QAN458766 QKI458766:QKJ458766 QUE458766:QUF458766 REA458766:REB458766 RNW458766:RNX458766 RXS458766:RXT458766 SHO458766:SHP458766 SRK458766:SRL458766 TBG458766:TBH458766 TLC458766:TLD458766 TUY458766:TUZ458766 UEU458766:UEV458766 UOQ458766:UOR458766 UYM458766:UYN458766 VII458766:VIJ458766 VSE458766:VSF458766 WCA458766:WCB458766 WLW458766:WLX458766 WVS458766:WVT458766 K524302:L524302 JG524302:JH524302 TC524302:TD524302 ACY524302:ACZ524302 AMU524302:AMV524302 AWQ524302:AWR524302 BGM524302:BGN524302 BQI524302:BQJ524302 CAE524302:CAF524302 CKA524302:CKB524302 CTW524302:CTX524302 DDS524302:DDT524302 DNO524302:DNP524302 DXK524302:DXL524302 EHG524302:EHH524302 ERC524302:ERD524302 FAY524302:FAZ524302 FKU524302:FKV524302 FUQ524302:FUR524302 GEM524302:GEN524302 GOI524302:GOJ524302 GYE524302:GYF524302 HIA524302:HIB524302 HRW524302:HRX524302 IBS524302:IBT524302 ILO524302:ILP524302 IVK524302:IVL524302 JFG524302:JFH524302 JPC524302:JPD524302 JYY524302:JYZ524302 KIU524302:KIV524302 KSQ524302:KSR524302 LCM524302:LCN524302 LMI524302:LMJ524302 LWE524302:LWF524302 MGA524302:MGB524302 MPW524302:MPX524302 MZS524302:MZT524302 NJO524302:NJP524302 NTK524302:NTL524302 ODG524302:ODH524302 ONC524302:OND524302 OWY524302:OWZ524302 PGU524302:PGV524302 PQQ524302:PQR524302 QAM524302:QAN524302 QKI524302:QKJ524302 QUE524302:QUF524302 REA524302:REB524302 RNW524302:RNX524302 RXS524302:RXT524302 SHO524302:SHP524302 SRK524302:SRL524302 TBG524302:TBH524302 TLC524302:TLD524302 TUY524302:TUZ524302 UEU524302:UEV524302 UOQ524302:UOR524302 UYM524302:UYN524302 VII524302:VIJ524302 VSE524302:VSF524302 WCA524302:WCB524302 WLW524302:WLX524302 WVS524302:WVT524302 K589838:L589838 JG589838:JH589838 TC589838:TD589838 ACY589838:ACZ589838 AMU589838:AMV589838 AWQ589838:AWR589838 BGM589838:BGN589838 BQI589838:BQJ589838 CAE589838:CAF589838 CKA589838:CKB589838 CTW589838:CTX589838 DDS589838:DDT589838 DNO589838:DNP589838 DXK589838:DXL589838 EHG589838:EHH589838 ERC589838:ERD589838 FAY589838:FAZ589838 FKU589838:FKV589838 FUQ589838:FUR589838 GEM589838:GEN589838 GOI589838:GOJ589838 GYE589838:GYF589838 HIA589838:HIB589838 HRW589838:HRX589838 IBS589838:IBT589838 ILO589838:ILP589838 IVK589838:IVL589838 JFG589838:JFH589838 JPC589838:JPD589838 JYY589838:JYZ589838 KIU589838:KIV589838 KSQ589838:KSR589838 LCM589838:LCN589838 LMI589838:LMJ589838 LWE589838:LWF589838 MGA589838:MGB589838 MPW589838:MPX589838 MZS589838:MZT589838 NJO589838:NJP589838 NTK589838:NTL589838 ODG589838:ODH589838 ONC589838:OND589838 OWY589838:OWZ589838 PGU589838:PGV589838 PQQ589838:PQR589838 QAM589838:QAN589838 QKI589838:QKJ589838 QUE589838:QUF589838 REA589838:REB589838 RNW589838:RNX589838 RXS589838:RXT589838 SHO589838:SHP589838 SRK589838:SRL589838 TBG589838:TBH589838 TLC589838:TLD589838 TUY589838:TUZ589838 UEU589838:UEV589838 UOQ589838:UOR589838 UYM589838:UYN589838 VII589838:VIJ589838 VSE589838:VSF589838 WCA589838:WCB589838 WLW589838:WLX589838 WVS589838:WVT589838 K655374:L655374 JG655374:JH655374 TC655374:TD655374 ACY655374:ACZ655374 AMU655374:AMV655374 AWQ655374:AWR655374 BGM655374:BGN655374 BQI655374:BQJ655374 CAE655374:CAF655374 CKA655374:CKB655374 CTW655374:CTX655374 DDS655374:DDT655374 DNO655374:DNP655374 DXK655374:DXL655374 EHG655374:EHH655374 ERC655374:ERD655374 FAY655374:FAZ655374 FKU655374:FKV655374 FUQ655374:FUR655374 GEM655374:GEN655374 GOI655374:GOJ655374 GYE655374:GYF655374 HIA655374:HIB655374 HRW655374:HRX655374 IBS655374:IBT655374 ILO655374:ILP655374 IVK655374:IVL655374 JFG655374:JFH655374 JPC655374:JPD655374 JYY655374:JYZ655374 KIU655374:KIV655374 KSQ655374:KSR655374 LCM655374:LCN655374 LMI655374:LMJ655374 LWE655374:LWF655374 MGA655374:MGB655374 MPW655374:MPX655374 MZS655374:MZT655374 NJO655374:NJP655374 NTK655374:NTL655374 ODG655374:ODH655374 ONC655374:OND655374 OWY655374:OWZ655374 PGU655374:PGV655374 PQQ655374:PQR655374 QAM655374:QAN655374 QKI655374:QKJ655374 QUE655374:QUF655374 REA655374:REB655374 RNW655374:RNX655374 RXS655374:RXT655374 SHO655374:SHP655374 SRK655374:SRL655374 TBG655374:TBH655374 TLC655374:TLD655374 TUY655374:TUZ655374 UEU655374:UEV655374 UOQ655374:UOR655374 UYM655374:UYN655374 VII655374:VIJ655374 VSE655374:VSF655374 WCA655374:WCB655374 WLW655374:WLX655374 WVS655374:WVT655374 K720910:L720910 JG720910:JH720910 TC720910:TD720910 ACY720910:ACZ720910 AMU720910:AMV720910 AWQ720910:AWR720910 BGM720910:BGN720910 BQI720910:BQJ720910 CAE720910:CAF720910 CKA720910:CKB720910 CTW720910:CTX720910 DDS720910:DDT720910 DNO720910:DNP720910 DXK720910:DXL720910 EHG720910:EHH720910 ERC720910:ERD720910 FAY720910:FAZ720910 FKU720910:FKV720910 FUQ720910:FUR720910 GEM720910:GEN720910 GOI720910:GOJ720910 GYE720910:GYF720910 HIA720910:HIB720910 HRW720910:HRX720910 IBS720910:IBT720910 ILO720910:ILP720910 IVK720910:IVL720910 JFG720910:JFH720910 JPC720910:JPD720910 JYY720910:JYZ720910 KIU720910:KIV720910 KSQ720910:KSR720910 LCM720910:LCN720910 LMI720910:LMJ720910 LWE720910:LWF720910 MGA720910:MGB720910 MPW720910:MPX720910 MZS720910:MZT720910 NJO720910:NJP720910 NTK720910:NTL720910 ODG720910:ODH720910 ONC720910:OND720910 OWY720910:OWZ720910 PGU720910:PGV720910 PQQ720910:PQR720910 QAM720910:QAN720910 QKI720910:QKJ720910 QUE720910:QUF720910 REA720910:REB720910 RNW720910:RNX720910 RXS720910:RXT720910 SHO720910:SHP720910 SRK720910:SRL720910 TBG720910:TBH720910 TLC720910:TLD720910 TUY720910:TUZ720910 UEU720910:UEV720910 UOQ720910:UOR720910 UYM720910:UYN720910 VII720910:VIJ720910 VSE720910:VSF720910 WCA720910:WCB720910 WLW720910:WLX720910 WVS720910:WVT720910 K786446:L786446 JG786446:JH786446 TC786446:TD786446 ACY786446:ACZ786446 AMU786446:AMV786446 AWQ786446:AWR786446 BGM786446:BGN786446 BQI786446:BQJ786446 CAE786446:CAF786446 CKA786446:CKB786446 CTW786446:CTX786446 DDS786446:DDT786446 DNO786446:DNP786446 DXK786446:DXL786446 EHG786446:EHH786446 ERC786446:ERD786446 FAY786446:FAZ786446 FKU786446:FKV786446 FUQ786446:FUR786446 GEM786446:GEN786446 GOI786446:GOJ786446 GYE786446:GYF786446 HIA786446:HIB786446 HRW786446:HRX786446 IBS786446:IBT786446 ILO786446:ILP786446 IVK786446:IVL786446 JFG786446:JFH786446 JPC786446:JPD786446 JYY786446:JYZ786446 KIU786446:KIV786446 KSQ786446:KSR786446 LCM786446:LCN786446 LMI786446:LMJ786446 LWE786446:LWF786446 MGA786446:MGB786446 MPW786446:MPX786446 MZS786446:MZT786446 NJO786446:NJP786446 NTK786446:NTL786446 ODG786446:ODH786446 ONC786446:OND786446 OWY786446:OWZ786446 PGU786446:PGV786446 PQQ786446:PQR786446 QAM786446:QAN786446 QKI786446:QKJ786446 QUE786446:QUF786446 REA786446:REB786446 RNW786446:RNX786446 RXS786446:RXT786446 SHO786446:SHP786446 SRK786446:SRL786446 TBG786446:TBH786446 TLC786446:TLD786446 TUY786446:TUZ786446 UEU786446:UEV786446 UOQ786446:UOR786446 UYM786446:UYN786446 VII786446:VIJ786446 VSE786446:VSF786446 WCA786446:WCB786446 WLW786446:WLX786446 WVS786446:WVT786446 K851982:L851982 JG851982:JH851982 TC851982:TD851982 ACY851982:ACZ851982 AMU851982:AMV851982 AWQ851982:AWR851982 BGM851982:BGN851982 BQI851982:BQJ851982 CAE851982:CAF851982 CKA851982:CKB851982 CTW851982:CTX851982 DDS851982:DDT851982 DNO851982:DNP851982 DXK851982:DXL851982 EHG851982:EHH851982 ERC851982:ERD851982 FAY851982:FAZ851982 FKU851982:FKV851982 FUQ851982:FUR851982 GEM851982:GEN851982 GOI851982:GOJ851982 GYE851982:GYF851982 HIA851982:HIB851982 HRW851982:HRX851982 IBS851982:IBT851982 ILO851982:ILP851982 IVK851982:IVL851982 JFG851982:JFH851982 JPC851982:JPD851982 JYY851982:JYZ851982 KIU851982:KIV851982 KSQ851982:KSR851982 LCM851982:LCN851982 LMI851982:LMJ851982 LWE851982:LWF851982 MGA851982:MGB851982 MPW851982:MPX851982 MZS851982:MZT851982 NJO851982:NJP851982 NTK851982:NTL851982 ODG851982:ODH851982 ONC851982:OND851982 OWY851982:OWZ851982 PGU851982:PGV851982 PQQ851982:PQR851982 QAM851982:QAN851982 QKI851982:QKJ851982 QUE851982:QUF851982 REA851982:REB851982 RNW851982:RNX851982 RXS851982:RXT851982 SHO851982:SHP851982 SRK851982:SRL851982 TBG851982:TBH851982 TLC851982:TLD851982 TUY851982:TUZ851982 UEU851982:UEV851982 UOQ851982:UOR851982 UYM851982:UYN851982 VII851982:VIJ851982 VSE851982:VSF851982 WCA851982:WCB851982 WLW851982:WLX851982 WVS851982:WVT851982 K917518:L917518 JG917518:JH917518 TC917518:TD917518 ACY917518:ACZ917518 AMU917518:AMV917518 AWQ917518:AWR917518 BGM917518:BGN917518 BQI917518:BQJ917518 CAE917518:CAF917518 CKA917518:CKB917518 CTW917518:CTX917518 DDS917518:DDT917518 DNO917518:DNP917518 DXK917518:DXL917518 EHG917518:EHH917518 ERC917518:ERD917518 FAY917518:FAZ917518 FKU917518:FKV917518 FUQ917518:FUR917518 GEM917518:GEN917518 GOI917518:GOJ917518 GYE917518:GYF917518 HIA917518:HIB917518 HRW917518:HRX917518 IBS917518:IBT917518 ILO917518:ILP917518 IVK917518:IVL917518 JFG917518:JFH917518 JPC917518:JPD917518 JYY917518:JYZ917518 KIU917518:KIV917518 KSQ917518:KSR917518 LCM917518:LCN917518 LMI917518:LMJ917518 LWE917518:LWF917518 MGA917518:MGB917518 MPW917518:MPX917518 MZS917518:MZT917518 NJO917518:NJP917518 NTK917518:NTL917518 ODG917518:ODH917518 ONC917518:OND917518 OWY917518:OWZ917518 PGU917518:PGV917518 PQQ917518:PQR917518 QAM917518:QAN917518 QKI917518:QKJ917518 QUE917518:QUF917518 REA917518:REB917518 RNW917518:RNX917518 RXS917518:RXT917518 SHO917518:SHP917518 SRK917518:SRL917518 TBG917518:TBH917518 TLC917518:TLD917518 TUY917518:TUZ917518 UEU917518:UEV917518 UOQ917518:UOR917518 UYM917518:UYN917518 VII917518:VIJ917518 VSE917518:VSF917518 WCA917518:WCB917518 WLW917518:WLX917518 WVS917518:WVT917518 K983054:L983054 JG983054:JH983054 TC983054:TD983054 ACY983054:ACZ983054 AMU983054:AMV983054 AWQ983054:AWR983054 BGM983054:BGN983054 BQI983054:BQJ983054 CAE983054:CAF983054 CKA983054:CKB983054 CTW983054:CTX983054 DDS983054:DDT983054 DNO983054:DNP983054 DXK983054:DXL983054 EHG983054:EHH983054 ERC983054:ERD983054 FAY983054:FAZ983054 FKU983054:FKV983054 FUQ983054:FUR983054 GEM983054:GEN983054 GOI983054:GOJ983054 GYE983054:GYF983054 HIA983054:HIB983054 HRW983054:HRX983054 IBS983054:IBT983054 ILO983054:ILP983054 IVK983054:IVL983054 JFG983054:JFH983054 JPC983054:JPD983054 JYY983054:JYZ983054 KIU983054:KIV983054 KSQ983054:KSR983054 LCM983054:LCN983054 LMI983054:LMJ983054 LWE983054:LWF983054 MGA983054:MGB983054 MPW983054:MPX983054 MZS983054:MZT983054 NJO983054:NJP983054 NTK983054:NTL983054 ODG983054:ODH983054 ONC983054:OND983054 OWY983054:OWZ983054 PGU983054:PGV983054 PQQ983054:PQR983054 QAM983054:QAN983054 QKI983054:QKJ983054 QUE983054:QUF983054 REA983054:REB983054 RNW983054:RNX983054 RXS983054:RXT983054 SHO983054:SHP983054 SRK983054:SRL983054 TBG983054:TBH983054 TLC983054:TLD983054 TUY983054:TUZ983054 UEU983054:UEV983054 UOQ983054:UOR983054 UYM983054:UYN983054 VII983054:VIJ983054 VSE983054:VSF983054 WCA983054:WCB983054 WLW983054:WLX983054 WVS983054:WVT983054 P11 JL11 TH11 ADD11 AMZ11 AWV11 BGR11 BQN11 CAJ11 CKF11 CUB11 DDX11 DNT11 DXP11 EHL11 ERH11 FBD11 FKZ11 FUV11 GER11 GON11 GYJ11 HIF11 HSB11 IBX11 ILT11 IVP11 JFL11 JPH11 JZD11 KIZ11 KSV11 LCR11 LMN11 LWJ11 MGF11 MQB11 MZX11 NJT11 NTP11 ODL11 ONH11 OXD11 PGZ11 PQV11 QAR11 QKN11 QUJ11 REF11 ROB11 RXX11 SHT11 SRP11 TBL11 TLH11 TVD11 UEZ11 UOV11 UYR11 VIN11 VSJ11 WCF11 WMB11 WVX11 P65547 JL65547 TH65547 ADD65547 AMZ65547 AWV65547 BGR65547 BQN65547 CAJ65547 CKF65547 CUB65547 DDX65547 DNT65547 DXP65547 EHL65547 ERH65547 FBD65547 FKZ65547 FUV65547 GER65547 GON65547 GYJ65547 HIF65547 HSB65547 IBX65547 ILT65547 IVP65547 JFL65547 JPH65547 JZD65547 KIZ65547 KSV65547 LCR65547 LMN65547 LWJ65547 MGF65547 MQB65547 MZX65547 NJT65547 NTP65547 ODL65547 ONH65547 OXD65547 PGZ65547 PQV65547 QAR65547 QKN65547 QUJ65547 REF65547 ROB65547 RXX65547 SHT65547 SRP65547 TBL65547 TLH65547 TVD65547 UEZ65547 UOV65547 UYR65547 VIN65547 VSJ65547 WCF65547 WMB65547 WVX65547 P131083 JL131083 TH131083 ADD131083 AMZ131083 AWV131083 BGR131083 BQN131083 CAJ131083 CKF131083 CUB131083 DDX131083 DNT131083 DXP131083 EHL131083 ERH131083 FBD131083 FKZ131083 FUV131083 GER131083 GON131083 GYJ131083 HIF131083 HSB131083 IBX131083 ILT131083 IVP131083 JFL131083 JPH131083 JZD131083 KIZ131083 KSV131083 LCR131083 LMN131083 LWJ131083 MGF131083 MQB131083 MZX131083 NJT131083 NTP131083 ODL131083 ONH131083 OXD131083 PGZ131083 PQV131083 QAR131083 QKN131083 QUJ131083 REF131083 ROB131083 RXX131083 SHT131083 SRP131083 TBL131083 TLH131083 TVD131083 UEZ131083 UOV131083 UYR131083 VIN131083 VSJ131083 WCF131083 WMB131083 WVX131083 P196619 JL196619 TH196619 ADD196619 AMZ196619 AWV196619 BGR196619 BQN196619 CAJ196619 CKF196619 CUB196619 DDX196619 DNT196619 DXP196619 EHL196619 ERH196619 FBD196619 FKZ196619 FUV196619 GER196619 GON196619 GYJ196619 HIF196619 HSB196619 IBX196619 ILT196619 IVP196619 JFL196619 JPH196619 JZD196619 KIZ196619 KSV196619 LCR196619 LMN196619 LWJ196619 MGF196619 MQB196619 MZX196619 NJT196619 NTP196619 ODL196619 ONH196619 OXD196619 PGZ196619 PQV196619 QAR196619 QKN196619 QUJ196619 REF196619 ROB196619 RXX196619 SHT196619 SRP196619 TBL196619 TLH196619 TVD196619 UEZ196619 UOV196619 UYR196619 VIN196619 VSJ196619 WCF196619 WMB196619 WVX196619 P262155 JL262155 TH262155 ADD262155 AMZ262155 AWV262155 BGR262155 BQN262155 CAJ262155 CKF262155 CUB262155 DDX262155 DNT262155 DXP262155 EHL262155 ERH262155 FBD262155 FKZ262155 FUV262155 GER262155 GON262155 GYJ262155 HIF262155 HSB262155 IBX262155 ILT262155 IVP262155 JFL262155 JPH262155 JZD262155 KIZ262155 KSV262155 LCR262155 LMN262155 LWJ262155 MGF262155 MQB262155 MZX262155 NJT262155 NTP262155 ODL262155 ONH262155 OXD262155 PGZ262155 PQV262155 QAR262155 QKN262155 QUJ262155 REF262155 ROB262155 RXX262155 SHT262155 SRP262155 TBL262155 TLH262155 TVD262155 UEZ262155 UOV262155 UYR262155 VIN262155 VSJ262155 WCF262155 WMB262155 WVX262155 P327691 JL327691 TH327691 ADD327691 AMZ327691 AWV327691 BGR327691 BQN327691 CAJ327691 CKF327691 CUB327691 DDX327691 DNT327691 DXP327691 EHL327691 ERH327691 FBD327691 FKZ327691 FUV327691 GER327691 GON327691 GYJ327691 HIF327691 HSB327691 IBX327691 ILT327691 IVP327691 JFL327691 JPH327691 JZD327691 KIZ327691 KSV327691 LCR327691 LMN327691 LWJ327691 MGF327691 MQB327691 MZX327691 NJT327691 NTP327691 ODL327691 ONH327691 OXD327691 PGZ327691 PQV327691 QAR327691 QKN327691 QUJ327691 REF327691 ROB327691 RXX327691 SHT327691 SRP327691 TBL327691 TLH327691 TVD327691 UEZ327691 UOV327691 UYR327691 VIN327691 VSJ327691 WCF327691 WMB327691 WVX327691 P393227 JL393227 TH393227 ADD393227 AMZ393227 AWV393227 BGR393227 BQN393227 CAJ393227 CKF393227 CUB393227 DDX393227 DNT393227 DXP393227 EHL393227 ERH393227 FBD393227 FKZ393227 FUV393227 GER393227 GON393227 GYJ393227 HIF393227 HSB393227 IBX393227 ILT393227 IVP393227 JFL393227 JPH393227 JZD393227 KIZ393227 KSV393227 LCR393227 LMN393227 LWJ393227 MGF393227 MQB393227 MZX393227 NJT393227 NTP393227 ODL393227 ONH393227 OXD393227 PGZ393227 PQV393227 QAR393227 QKN393227 QUJ393227 REF393227 ROB393227 RXX393227 SHT393227 SRP393227 TBL393227 TLH393227 TVD393227 UEZ393227 UOV393227 UYR393227 VIN393227 VSJ393227 WCF393227 WMB393227 WVX393227 P458763 JL458763 TH458763 ADD458763 AMZ458763 AWV458763 BGR458763 BQN458763 CAJ458763 CKF458763 CUB458763 DDX458763 DNT458763 DXP458763 EHL458763 ERH458763 FBD458763 FKZ458763 FUV458763 GER458763 GON458763 GYJ458763 HIF458763 HSB458763 IBX458763 ILT458763 IVP458763 JFL458763 JPH458763 JZD458763 KIZ458763 KSV458763 LCR458763 LMN458763 LWJ458763 MGF458763 MQB458763 MZX458763 NJT458763 NTP458763 ODL458763 ONH458763 OXD458763 PGZ458763 PQV458763 QAR458763 QKN458763 QUJ458763 REF458763 ROB458763 RXX458763 SHT458763 SRP458763 TBL458763 TLH458763 TVD458763 UEZ458763 UOV458763 UYR458763 VIN458763 VSJ458763 WCF458763 WMB458763 WVX458763 P524299 JL524299 TH524299 ADD524299 AMZ524299 AWV524299 BGR524299 BQN524299 CAJ524299 CKF524299 CUB524299 DDX524299 DNT524299 DXP524299 EHL524299 ERH524299 FBD524299 FKZ524299 FUV524299 GER524299 GON524299 GYJ524299 HIF524299 HSB524299 IBX524299 ILT524299 IVP524299 JFL524299 JPH524299 JZD524299 KIZ524299 KSV524299 LCR524299 LMN524299 LWJ524299 MGF524299 MQB524299 MZX524299 NJT524299 NTP524299 ODL524299 ONH524299 OXD524299 PGZ524299 PQV524299 QAR524299 QKN524299 QUJ524299 REF524299 ROB524299 RXX524299 SHT524299 SRP524299 TBL524299 TLH524299 TVD524299 UEZ524299 UOV524299 UYR524299 VIN524299 VSJ524299 WCF524299 WMB524299 WVX524299 P589835 JL589835 TH589835 ADD589835 AMZ589835 AWV589835 BGR589835 BQN589835 CAJ589835 CKF589835 CUB589835 DDX589835 DNT589835 DXP589835 EHL589835 ERH589835 FBD589835 FKZ589835 FUV589835 GER589835 GON589835 GYJ589835 HIF589835 HSB589835 IBX589835 ILT589835 IVP589835 JFL589835 JPH589835 JZD589835 KIZ589835 KSV589835 LCR589835 LMN589835 LWJ589835 MGF589835 MQB589835 MZX589835 NJT589835 NTP589835 ODL589835 ONH589835 OXD589835 PGZ589835 PQV589835 QAR589835 QKN589835 QUJ589835 REF589835 ROB589835 RXX589835 SHT589835 SRP589835 TBL589835 TLH589835 TVD589835 UEZ589835 UOV589835 UYR589835 VIN589835 VSJ589835 WCF589835 WMB589835 WVX589835 P655371 JL655371 TH655371 ADD655371 AMZ655371 AWV655371 BGR655371 BQN655371 CAJ655371 CKF655371 CUB655371 DDX655371 DNT655371 DXP655371 EHL655371 ERH655371 FBD655371 FKZ655371 FUV655371 GER655371 GON655371 GYJ655371 HIF655371 HSB655371 IBX655371 ILT655371 IVP655371 JFL655371 JPH655371 JZD655371 KIZ655371 KSV655371 LCR655371 LMN655371 LWJ655371 MGF655371 MQB655371 MZX655371 NJT655371 NTP655371 ODL655371 ONH655371 OXD655371 PGZ655371 PQV655371 QAR655371 QKN655371 QUJ655371 REF655371 ROB655371 RXX655371 SHT655371 SRP655371 TBL655371 TLH655371 TVD655371 UEZ655371 UOV655371 UYR655371 VIN655371 VSJ655371 WCF655371 WMB655371 WVX655371 P720907 JL720907 TH720907 ADD720907 AMZ720907 AWV720907 BGR720907 BQN720907 CAJ720907 CKF720907 CUB720907 DDX720907 DNT720907 DXP720907 EHL720907 ERH720907 FBD720907 FKZ720907 FUV720907 GER720907 GON720907 GYJ720907 HIF720907 HSB720907 IBX720907 ILT720907 IVP720907 JFL720907 JPH720907 JZD720907 KIZ720907 KSV720907 LCR720907 LMN720907 LWJ720907 MGF720907 MQB720907 MZX720907 NJT720907 NTP720907 ODL720907 ONH720907 OXD720907 PGZ720907 PQV720907 QAR720907 QKN720907 QUJ720907 REF720907 ROB720907 RXX720907 SHT720907 SRP720907 TBL720907 TLH720907 TVD720907 UEZ720907 UOV720907 UYR720907 VIN720907 VSJ720907 WCF720907 WMB720907 WVX720907 P786443 JL786443 TH786443 ADD786443 AMZ786443 AWV786443 BGR786443 BQN786443 CAJ786443 CKF786443 CUB786443 DDX786443 DNT786443 DXP786443 EHL786443 ERH786443 FBD786443 FKZ786443 FUV786443 GER786443 GON786443 GYJ786443 HIF786443 HSB786443 IBX786443 ILT786443 IVP786443 JFL786443 JPH786443 JZD786443 KIZ786443 KSV786443 LCR786443 LMN786443 LWJ786443 MGF786443 MQB786443 MZX786443 NJT786443 NTP786443 ODL786443 ONH786443 OXD786443 PGZ786443 PQV786443 QAR786443 QKN786443 QUJ786443 REF786443 ROB786443 RXX786443 SHT786443 SRP786443 TBL786443 TLH786443 TVD786443 UEZ786443 UOV786443 UYR786443 VIN786443 VSJ786443 WCF786443 WMB786443 WVX786443 P851979 JL851979 TH851979 ADD851979 AMZ851979 AWV851979 BGR851979 BQN851979 CAJ851979 CKF851979 CUB851979 DDX851979 DNT851979 DXP851979 EHL851979 ERH851979 FBD851979 FKZ851979 FUV851979 GER851979 GON851979 GYJ851979 HIF851979 HSB851979 IBX851979 ILT851979 IVP851979 JFL851979 JPH851979 JZD851979 KIZ851979 KSV851979 LCR851979 LMN851979 LWJ851979 MGF851979 MQB851979 MZX851979 NJT851979 NTP851979 ODL851979 ONH851979 OXD851979 PGZ851979 PQV851979 QAR851979 QKN851979 QUJ851979 REF851979 ROB851979 RXX851979 SHT851979 SRP851979 TBL851979 TLH851979 TVD851979 UEZ851979 UOV851979 UYR851979 VIN851979 VSJ851979 WCF851979 WMB851979 WVX851979 P917515 JL917515 TH917515 ADD917515 AMZ917515 AWV917515 BGR917515 BQN917515 CAJ917515 CKF917515 CUB917515 DDX917515 DNT917515 DXP917515 EHL917515 ERH917515 FBD917515 FKZ917515 FUV917515 GER917515 GON917515 GYJ917515 HIF917515 HSB917515 IBX917515 ILT917515 IVP917515 JFL917515 JPH917515 JZD917515 KIZ917515 KSV917515 LCR917515 LMN917515 LWJ917515 MGF917515 MQB917515 MZX917515 NJT917515 NTP917515 ODL917515 ONH917515 OXD917515 PGZ917515 PQV917515 QAR917515 QKN917515 QUJ917515 REF917515 ROB917515 RXX917515 SHT917515 SRP917515 TBL917515 TLH917515 TVD917515 UEZ917515 UOV917515 UYR917515 VIN917515 VSJ917515 WCF917515 WMB917515 WVX917515 P983051 JL983051 TH983051 ADD983051 AMZ983051 AWV983051 BGR983051 BQN983051 CAJ983051 CKF983051 CUB983051 DDX983051 DNT983051 DXP983051 EHL983051 ERH983051 FBD983051 FKZ983051 FUV983051 GER983051 GON983051 GYJ983051 HIF983051 HSB983051 IBX983051 ILT983051 IVP983051 JFL983051 JPH983051 JZD983051 KIZ983051 KSV983051 LCR983051 LMN983051 LWJ983051 MGF983051 MQB983051 MZX983051 NJT983051 NTP983051 ODL983051 ONH983051 OXD983051 PGZ983051 PQV983051 QAR983051 QKN983051 QUJ983051 REF983051 ROB983051 RXX983051 SHT983051 SRP983051 TBL983051 TLH983051 TVD983051 UEZ983051 UOV983051 UYR983051 VIN983051 VSJ983051 WCF983051 WMB983051 WVX983051 C49:J49 IY49:JF49 SU49:TB49 ACQ49:ACX49 AMM49:AMT49 AWI49:AWP49 BGE49:BGL49 BQA49:BQH49 BZW49:CAD49 CJS49:CJZ49 CTO49:CTV49 DDK49:DDR49 DNG49:DNN49 DXC49:DXJ49 EGY49:EHF49 EQU49:ERB49 FAQ49:FAX49 FKM49:FKT49 FUI49:FUP49 GEE49:GEL49 GOA49:GOH49 GXW49:GYD49 HHS49:HHZ49 HRO49:HRV49 IBK49:IBR49 ILG49:ILN49 IVC49:IVJ49 JEY49:JFF49 JOU49:JPB49 JYQ49:JYX49 KIM49:KIT49 KSI49:KSP49 LCE49:LCL49 LMA49:LMH49 LVW49:LWD49 MFS49:MFZ49 MPO49:MPV49 MZK49:MZR49 NJG49:NJN49 NTC49:NTJ49 OCY49:ODF49 OMU49:ONB49 OWQ49:OWX49 PGM49:PGT49 PQI49:PQP49 QAE49:QAL49 QKA49:QKH49 QTW49:QUD49 RDS49:RDZ49 RNO49:RNV49 RXK49:RXR49 SHG49:SHN49 SRC49:SRJ49 TAY49:TBF49 TKU49:TLB49 TUQ49:TUX49 UEM49:UET49 UOI49:UOP49 UYE49:UYL49 VIA49:VIH49 VRW49:VSD49 WBS49:WBZ49 WLO49:WLV49 WVK49:WVR49 C65585:J65585 IY65585:JF65585 SU65585:TB65585 ACQ65585:ACX65585 AMM65585:AMT65585 AWI65585:AWP65585 BGE65585:BGL65585 BQA65585:BQH65585 BZW65585:CAD65585 CJS65585:CJZ65585 CTO65585:CTV65585 DDK65585:DDR65585 DNG65585:DNN65585 DXC65585:DXJ65585 EGY65585:EHF65585 EQU65585:ERB65585 FAQ65585:FAX65585 FKM65585:FKT65585 FUI65585:FUP65585 GEE65585:GEL65585 GOA65585:GOH65585 GXW65585:GYD65585 HHS65585:HHZ65585 HRO65585:HRV65585 IBK65585:IBR65585 ILG65585:ILN65585 IVC65585:IVJ65585 JEY65585:JFF65585 JOU65585:JPB65585 JYQ65585:JYX65585 KIM65585:KIT65585 KSI65585:KSP65585 LCE65585:LCL65585 LMA65585:LMH65585 LVW65585:LWD65585 MFS65585:MFZ65585 MPO65585:MPV65585 MZK65585:MZR65585 NJG65585:NJN65585 NTC65585:NTJ65585 OCY65585:ODF65585 OMU65585:ONB65585 OWQ65585:OWX65585 PGM65585:PGT65585 PQI65585:PQP65585 QAE65585:QAL65585 QKA65585:QKH65585 QTW65585:QUD65585 RDS65585:RDZ65585 RNO65585:RNV65585 RXK65585:RXR65585 SHG65585:SHN65585 SRC65585:SRJ65585 TAY65585:TBF65585 TKU65585:TLB65585 TUQ65585:TUX65585 UEM65585:UET65585 UOI65585:UOP65585 UYE65585:UYL65585 VIA65585:VIH65585 VRW65585:VSD65585 WBS65585:WBZ65585 WLO65585:WLV65585 WVK65585:WVR65585 C131121:J131121 IY131121:JF131121 SU131121:TB131121 ACQ131121:ACX131121 AMM131121:AMT131121 AWI131121:AWP131121 BGE131121:BGL131121 BQA131121:BQH131121 BZW131121:CAD131121 CJS131121:CJZ131121 CTO131121:CTV131121 DDK131121:DDR131121 DNG131121:DNN131121 DXC131121:DXJ131121 EGY131121:EHF131121 EQU131121:ERB131121 FAQ131121:FAX131121 FKM131121:FKT131121 FUI131121:FUP131121 GEE131121:GEL131121 GOA131121:GOH131121 GXW131121:GYD131121 HHS131121:HHZ131121 HRO131121:HRV131121 IBK131121:IBR131121 ILG131121:ILN131121 IVC131121:IVJ131121 JEY131121:JFF131121 JOU131121:JPB131121 JYQ131121:JYX131121 KIM131121:KIT131121 KSI131121:KSP131121 LCE131121:LCL131121 LMA131121:LMH131121 LVW131121:LWD131121 MFS131121:MFZ131121 MPO131121:MPV131121 MZK131121:MZR131121 NJG131121:NJN131121 NTC131121:NTJ131121 OCY131121:ODF131121 OMU131121:ONB131121 OWQ131121:OWX131121 PGM131121:PGT131121 PQI131121:PQP131121 QAE131121:QAL131121 QKA131121:QKH131121 QTW131121:QUD131121 RDS131121:RDZ131121 RNO131121:RNV131121 RXK131121:RXR131121 SHG131121:SHN131121 SRC131121:SRJ131121 TAY131121:TBF131121 TKU131121:TLB131121 TUQ131121:TUX131121 UEM131121:UET131121 UOI131121:UOP131121 UYE131121:UYL131121 VIA131121:VIH131121 VRW131121:VSD131121 WBS131121:WBZ131121 WLO131121:WLV131121 WVK131121:WVR131121 C196657:J196657 IY196657:JF196657 SU196657:TB196657 ACQ196657:ACX196657 AMM196657:AMT196657 AWI196657:AWP196657 BGE196657:BGL196657 BQA196657:BQH196657 BZW196657:CAD196657 CJS196657:CJZ196657 CTO196657:CTV196657 DDK196657:DDR196657 DNG196657:DNN196657 DXC196657:DXJ196657 EGY196657:EHF196657 EQU196657:ERB196657 FAQ196657:FAX196657 FKM196657:FKT196657 FUI196657:FUP196657 GEE196657:GEL196657 GOA196657:GOH196657 GXW196657:GYD196657 HHS196657:HHZ196657 HRO196657:HRV196657 IBK196657:IBR196657 ILG196657:ILN196657 IVC196657:IVJ196657 JEY196657:JFF196657 JOU196657:JPB196657 JYQ196657:JYX196657 KIM196657:KIT196657 KSI196657:KSP196657 LCE196657:LCL196657 LMA196657:LMH196657 LVW196657:LWD196657 MFS196657:MFZ196657 MPO196657:MPV196657 MZK196657:MZR196657 NJG196657:NJN196657 NTC196657:NTJ196657 OCY196657:ODF196657 OMU196657:ONB196657 OWQ196657:OWX196657 PGM196657:PGT196657 PQI196657:PQP196657 QAE196657:QAL196657 QKA196657:QKH196657 QTW196657:QUD196657 RDS196657:RDZ196657 RNO196657:RNV196657 RXK196657:RXR196657 SHG196657:SHN196657 SRC196657:SRJ196657 TAY196657:TBF196657 TKU196657:TLB196657 TUQ196657:TUX196657 UEM196657:UET196657 UOI196657:UOP196657 UYE196657:UYL196657 VIA196657:VIH196657 VRW196657:VSD196657 WBS196657:WBZ196657 WLO196657:WLV196657 WVK196657:WVR196657 C262193:J262193 IY262193:JF262193 SU262193:TB262193 ACQ262193:ACX262193 AMM262193:AMT262193 AWI262193:AWP262193 BGE262193:BGL262193 BQA262193:BQH262193 BZW262193:CAD262193 CJS262193:CJZ262193 CTO262193:CTV262193 DDK262193:DDR262193 DNG262193:DNN262193 DXC262193:DXJ262193 EGY262193:EHF262193 EQU262193:ERB262193 FAQ262193:FAX262193 FKM262193:FKT262193 FUI262193:FUP262193 GEE262193:GEL262193 GOA262193:GOH262193 GXW262193:GYD262193 HHS262193:HHZ262193 HRO262193:HRV262193 IBK262193:IBR262193 ILG262193:ILN262193 IVC262193:IVJ262193 JEY262193:JFF262193 JOU262193:JPB262193 JYQ262193:JYX262193 KIM262193:KIT262193 KSI262193:KSP262193 LCE262193:LCL262193 LMA262193:LMH262193 LVW262193:LWD262193 MFS262193:MFZ262193 MPO262193:MPV262193 MZK262193:MZR262193 NJG262193:NJN262193 NTC262193:NTJ262193 OCY262193:ODF262193 OMU262193:ONB262193 OWQ262193:OWX262193 PGM262193:PGT262193 PQI262193:PQP262193 QAE262193:QAL262193 QKA262193:QKH262193 QTW262193:QUD262193 RDS262193:RDZ262193 RNO262193:RNV262193 RXK262193:RXR262193 SHG262193:SHN262193 SRC262193:SRJ262193 TAY262193:TBF262193 TKU262193:TLB262193 TUQ262193:TUX262193 UEM262193:UET262193 UOI262193:UOP262193 UYE262193:UYL262193 VIA262193:VIH262193 VRW262193:VSD262193 WBS262193:WBZ262193 WLO262193:WLV262193 WVK262193:WVR262193 C327729:J327729 IY327729:JF327729 SU327729:TB327729 ACQ327729:ACX327729 AMM327729:AMT327729 AWI327729:AWP327729 BGE327729:BGL327729 BQA327729:BQH327729 BZW327729:CAD327729 CJS327729:CJZ327729 CTO327729:CTV327729 DDK327729:DDR327729 DNG327729:DNN327729 DXC327729:DXJ327729 EGY327729:EHF327729 EQU327729:ERB327729 FAQ327729:FAX327729 FKM327729:FKT327729 FUI327729:FUP327729 GEE327729:GEL327729 GOA327729:GOH327729 GXW327729:GYD327729 HHS327729:HHZ327729 HRO327729:HRV327729 IBK327729:IBR327729 ILG327729:ILN327729 IVC327729:IVJ327729 JEY327729:JFF327729 JOU327729:JPB327729 JYQ327729:JYX327729 KIM327729:KIT327729 KSI327729:KSP327729 LCE327729:LCL327729 LMA327729:LMH327729 LVW327729:LWD327729 MFS327729:MFZ327729 MPO327729:MPV327729 MZK327729:MZR327729 NJG327729:NJN327729 NTC327729:NTJ327729 OCY327729:ODF327729 OMU327729:ONB327729 OWQ327729:OWX327729 PGM327729:PGT327729 PQI327729:PQP327729 QAE327729:QAL327729 QKA327729:QKH327729 QTW327729:QUD327729 RDS327729:RDZ327729 RNO327729:RNV327729 RXK327729:RXR327729 SHG327729:SHN327729 SRC327729:SRJ327729 TAY327729:TBF327729 TKU327729:TLB327729 TUQ327729:TUX327729 UEM327729:UET327729 UOI327729:UOP327729 UYE327729:UYL327729 VIA327729:VIH327729 VRW327729:VSD327729 WBS327729:WBZ327729 WLO327729:WLV327729 WVK327729:WVR327729 C393265:J393265 IY393265:JF393265 SU393265:TB393265 ACQ393265:ACX393265 AMM393265:AMT393265 AWI393265:AWP393265 BGE393265:BGL393265 BQA393265:BQH393265 BZW393265:CAD393265 CJS393265:CJZ393265 CTO393265:CTV393265 DDK393265:DDR393265 DNG393265:DNN393265 DXC393265:DXJ393265 EGY393265:EHF393265 EQU393265:ERB393265 FAQ393265:FAX393265 FKM393265:FKT393265 FUI393265:FUP393265 GEE393265:GEL393265 GOA393265:GOH393265 GXW393265:GYD393265 HHS393265:HHZ393265 HRO393265:HRV393265 IBK393265:IBR393265 ILG393265:ILN393265 IVC393265:IVJ393265 JEY393265:JFF393265 JOU393265:JPB393265 JYQ393265:JYX393265 KIM393265:KIT393265 KSI393265:KSP393265 LCE393265:LCL393265 LMA393265:LMH393265 LVW393265:LWD393265 MFS393265:MFZ393265 MPO393265:MPV393265 MZK393265:MZR393265 NJG393265:NJN393265 NTC393265:NTJ393265 OCY393265:ODF393265 OMU393265:ONB393265 OWQ393265:OWX393265 PGM393265:PGT393265 PQI393265:PQP393265 QAE393265:QAL393265 QKA393265:QKH393265 QTW393265:QUD393265 RDS393265:RDZ393265 RNO393265:RNV393265 RXK393265:RXR393265 SHG393265:SHN393265 SRC393265:SRJ393265 TAY393265:TBF393265 TKU393265:TLB393265 TUQ393265:TUX393265 UEM393265:UET393265 UOI393265:UOP393265 UYE393265:UYL393265 VIA393265:VIH393265 VRW393265:VSD393265 WBS393265:WBZ393265 WLO393265:WLV393265 WVK393265:WVR393265 C458801:J458801 IY458801:JF458801 SU458801:TB458801 ACQ458801:ACX458801 AMM458801:AMT458801 AWI458801:AWP458801 BGE458801:BGL458801 BQA458801:BQH458801 BZW458801:CAD458801 CJS458801:CJZ458801 CTO458801:CTV458801 DDK458801:DDR458801 DNG458801:DNN458801 DXC458801:DXJ458801 EGY458801:EHF458801 EQU458801:ERB458801 FAQ458801:FAX458801 FKM458801:FKT458801 FUI458801:FUP458801 GEE458801:GEL458801 GOA458801:GOH458801 GXW458801:GYD458801 HHS458801:HHZ458801 HRO458801:HRV458801 IBK458801:IBR458801 ILG458801:ILN458801 IVC458801:IVJ458801 JEY458801:JFF458801 JOU458801:JPB458801 JYQ458801:JYX458801 KIM458801:KIT458801 KSI458801:KSP458801 LCE458801:LCL458801 LMA458801:LMH458801 LVW458801:LWD458801 MFS458801:MFZ458801 MPO458801:MPV458801 MZK458801:MZR458801 NJG458801:NJN458801 NTC458801:NTJ458801 OCY458801:ODF458801 OMU458801:ONB458801 OWQ458801:OWX458801 PGM458801:PGT458801 PQI458801:PQP458801 QAE458801:QAL458801 QKA458801:QKH458801 QTW458801:QUD458801 RDS458801:RDZ458801 RNO458801:RNV458801 RXK458801:RXR458801 SHG458801:SHN458801 SRC458801:SRJ458801 TAY458801:TBF458801 TKU458801:TLB458801 TUQ458801:TUX458801 UEM458801:UET458801 UOI458801:UOP458801 UYE458801:UYL458801 VIA458801:VIH458801 VRW458801:VSD458801 WBS458801:WBZ458801 WLO458801:WLV458801 WVK458801:WVR458801 C524337:J524337 IY524337:JF524337 SU524337:TB524337 ACQ524337:ACX524337 AMM524337:AMT524337 AWI524337:AWP524337 BGE524337:BGL524337 BQA524337:BQH524337 BZW524337:CAD524337 CJS524337:CJZ524337 CTO524337:CTV524337 DDK524337:DDR524337 DNG524337:DNN524337 DXC524337:DXJ524337 EGY524337:EHF524337 EQU524337:ERB524337 FAQ524337:FAX524337 FKM524337:FKT524337 FUI524337:FUP524337 GEE524337:GEL524337 GOA524337:GOH524337 GXW524337:GYD524337 HHS524337:HHZ524337 HRO524337:HRV524337 IBK524337:IBR524337 ILG524337:ILN524337 IVC524337:IVJ524337 JEY524337:JFF524337 JOU524337:JPB524337 JYQ524337:JYX524337 KIM524337:KIT524337 KSI524337:KSP524337 LCE524337:LCL524337 LMA524337:LMH524337 LVW524337:LWD524337 MFS524337:MFZ524337 MPO524337:MPV524337 MZK524337:MZR524337 NJG524337:NJN524337 NTC524337:NTJ524337 OCY524337:ODF524337 OMU524337:ONB524337 OWQ524337:OWX524337 PGM524337:PGT524337 PQI524337:PQP524337 QAE524337:QAL524337 QKA524337:QKH524337 QTW524337:QUD524337 RDS524337:RDZ524337 RNO524337:RNV524337 RXK524337:RXR524337 SHG524337:SHN524337 SRC524337:SRJ524337 TAY524337:TBF524337 TKU524337:TLB524337 TUQ524337:TUX524337 UEM524337:UET524337 UOI524337:UOP524337 UYE524337:UYL524337 VIA524337:VIH524337 VRW524337:VSD524337 WBS524337:WBZ524337 WLO524337:WLV524337 WVK524337:WVR524337 C589873:J589873 IY589873:JF589873 SU589873:TB589873 ACQ589873:ACX589873 AMM589873:AMT589873 AWI589873:AWP589873 BGE589873:BGL589873 BQA589873:BQH589873 BZW589873:CAD589873 CJS589873:CJZ589873 CTO589873:CTV589873 DDK589873:DDR589873 DNG589873:DNN589873 DXC589873:DXJ589873 EGY589873:EHF589873 EQU589873:ERB589873 FAQ589873:FAX589873 FKM589873:FKT589873 FUI589873:FUP589873 GEE589873:GEL589873 GOA589873:GOH589873 GXW589873:GYD589873 HHS589873:HHZ589873 HRO589873:HRV589873 IBK589873:IBR589873 ILG589873:ILN589873 IVC589873:IVJ589873 JEY589873:JFF589873 JOU589873:JPB589873 JYQ589873:JYX589873 KIM589873:KIT589873 KSI589873:KSP589873 LCE589873:LCL589873 LMA589873:LMH589873 LVW589873:LWD589873 MFS589873:MFZ589873 MPO589873:MPV589873 MZK589873:MZR589873 NJG589873:NJN589873 NTC589873:NTJ589873 OCY589873:ODF589873 OMU589873:ONB589873 OWQ589873:OWX589873 PGM589873:PGT589873 PQI589873:PQP589873 QAE589873:QAL589873 QKA589873:QKH589873 QTW589873:QUD589873 RDS589873:RDZ589873 RNO589873:RNV589873 RXK589873:RXR589873 SHG589873:SHN589873 SRC589873:SRJ589873 TAY589873:TBF589873 TKU589873:TLB589873 TUQ589873:TUX589873 UEM589873:UET589873 UOI589873:UOP589873 UYE589873:UYL589873 VIA589873:VIH589873 VRW589873:VSD589873 WBS589873:WBZ589873 WLO589873:WLV589873 WVK589873:WVR589873 C655409:J655409 IY655409:JF655409 SU655409:TB655409 ACQ655409:ACX655409 AMM655409:AMT655409 AWI655409:AWP655409 BGE655409:BGL655409 BQA655409:BQH655409 BZW655409:CAD655409 CJS655409:CJZ655409 CTO655409:CTV655409 DDK655409:DDR655409 DNG655409:DNN655409 DXC655409:DXJ655409 EGY655409:EHF655409 EQU655409:ERB655409 FAQ655409:FAX655409 FKM655409:FKT655409 FUI655409:FUP655409 GEE655409:GEL655409 GOA655409:GOH655409 GXW655409:GYD655409 HHS655409:HHZ655409 HRO655409:HRV655409 IBK655409:IBR655409 ILG655409:ILN655409 IVC655409:IVJ655409 JEY655409:JFF655409 JOU655409:JPB655409 JYQ655409:JYX655409 KIM655409:KIT655409 KSI655409:KSP655409 LCE655409:LCL655409 LMA655409:LMH655409 LVW655409:LWD655409 MFS655409:MFZ655409 MPO655409:MPV655409 MZK655409:MZR655409 NJG655409:NJN655409 NTC655409:NTJ655409 OCY655409:ODF655409 OMU655409:ONB655409 OWQ655409:OWX655409 PGM655409:PGT655409 PQI655409:PQP655409 QAE655409:QAL655409 QKA655409:QKH655409 QTW655409:QUD655409 RDS655409:RDZ655409 RNO655409:RNV655409 RXK655409:RXR655409 SHG655409:SHN655409 SRC655409:SRJ655409 TAY655409:TBF655409 TKU655409:TLB655409 TUQ655409:TUX655409 UEM655409:UET655409 UOI655409:UOP655409 UYE655409:UYL655409 VIA655409:VIH655409 VRW655409:VSD655409 WBS655409:WBZ655409 WLO655409:WLV655409 WVK655409:WVR655409 C720945:J720945 IY720945:JF720945 SU720945:TB720945 ACQ720945:ACX720945 AMM720945:AMT720945 AWI720945:AWP720945 BGE720945:BGL720945 BQA720945:BQH720945 BZW720945:CAD720945 CJS720945:CJZ720945 CTO720945:CTV720945 DDK720945:DDR720945 DNG720945:DNN720945 DXC720945:DXJ720945 EGY720945:EHF720945 EQU720945:ERB720945 FAQ720945:FAX720945 FKM720945:FKT720945 FUI720945:FUP720945 GEE720945:GEL720945 GOA720945:GOH720945 GXW720945:GYD720945 HHS720945:HHZ720945 HRO720945:HRV720945 IBK720945:IBR720945 ILG720945:ILN720945 IVC720945:IVJ720945 JEY720945:JFF720945 JOU720945:JPB720945 JYQ720945:JYX720945 KIM720945:KIT720945 KSI720945:KSP720945 LCE720945:LCL720945 LMA720945:LMH720945 LVW720945:LWD720945 MFS720945:MFZ720945 MPO720945:MPV720945 MZK720945:MZR720945 NJG720945:NJN720945 NTC720945:NTJ720945 OCY720945:ODF720945 OMU720945:ONB720945 OWQ720945:OWX720945 PGM720945:PGT720945 PQI720945:PQP720945 QAE720945:QAL720945 QKA720945:QKH720945 QTW720945:QUD720945 RDS720945:RDZ720945 RNO720945:RNV720945 RXK720945:RXR720945 SHG720945:SHN720945 SRC720945:SRJ720945 TAY720945:TBF720945 TKU720945:TLB720945 TUQ720945:TUX720945 UEM720945:UET720945 UOI720945:UOP720945 UYE720945:UYL720945 VIA720945:VIH720945 VRW720945:VSD720945 WBS720945:WBZ720945 WLO720945:WLV720945 WVK720945:WVR720945 C786481:J786481 IY786481:JF786481 SU786481:TB786481 ACQ786481:ACX786481 AMM786481:AMT786481 AWI786481:AWP786481 BGE786481:BGL786481 BQA786481:BQH786481 BZW786481:CAD786481 CJS786481:CJZ786481 CTO786481:CTV786481 DDK786481:DDR786481 DNG786481:DNN786481 DXC786481:DXJ786481 EGY786481:EHF786481 EQU786481:ERB786481 FAQ786481:FAX786481 FKM786481:FKT786481 FUI786481:FUP786481 GEE786481:GEL786481 GOA786481:GOH786481 GXW786481:GYD786481 HHS786481:HHZ786481 HRO786481:HRV786481 IBK786481:IBR786481 ILG786481:ILN786481 IVC786481:IVJ786481 JEY786481:JFF786481 JOU786481:JPB786481 JYQ786481:JYX786481 KIM786481:KIT786481 KSI786481:KSP786481 LCE786481:LCL786481 LMA786481:LMH786481 LVW786481:LWD786481 MFS786481:MFZ786481 MPO786481:MPV786481 MZK786481:MZR786481 NJG786481:NJN786481 NTC786481:NTJ786481 OCY786481:ODF786481 OMU786481:ONB786481 OWQ786481:OWX786481 PGM786481:PGT786481 PQI786481:PQP786481 QAE786481:QAL786481 QKA786481:QKH786481 QTW786481:QUD786481 RDS786481:RDZ786481 RNO786481:RNV786481 RXK786481:RXR786481 SHG786481:SHN786481 SRC786481:SRJ786481 TAY786481:TBF786481 TKU786481:TLB786481 TUQ786481:TUX786481 UEM786481:UET786481 UOI786481:UOP786481 UYE786481:UYL786481 VIA786481:VIH786481 VRW786481:VSD786481 WBS786481:WBZ786481 WLO786481:WLV786481 WVK786481:WVR786481 C852017:J852017 IY852017:JF852017 SU852017:TB852017 ACQ852017:ACX852017 AMM852017:AMT852017 AWI852017:AWP852017 BGE852017:BGL852017 BQA852017:BQH852017 BZW852017:CAD852017 CJS852017:CJZ852017 CTO852017:CTV852017 DDK852017:DDR852017 DNG852017:DNN852017 DXC852017:DXJ852017 EGY852017:EHF852017 EQU852017:ERB852017 FAQ852017:FAX852017 FKM852017:FKT852017 FUI852017:FUP852017 GEE852017:GEL852017 GOA852017:GOH852017 GXW852017:GYD852017 HHS852017:HHZ852017 HRO852017:HRV852017 IBK852017:IBR852017 ILG852017:ILN852017 IVC852017:IVJ852017 JEY852017:JFF852017 JOU852017:JPB852017 JYQ852017:JYX852017 KIM852017:KIT852017 KSI852017:KSP852017 LCE852017:LCL852017 LMA852017:LMH852017 LVW852017:LWD852017 MFS852017:MFZ852017 MPO852017:MPV852017 MZK852017:MZR852017 NJG852017:NJN852017 NTC852017:NTJ852017 OCY852017:ODF852017 OMU852017:ONB852017 OWQ852017:OWX852017 PGM852017:PGT852017 PQI852017:PQP852017 QAE852017:QAL852017 QKA852017:QKH852017 QTW852017:QUD852017 RDS852017:RDZ852017 RNO852017:RNV852017 RXK852017:RXR852017 SHG852017:SHN852017 SRC852017:SRJ852017 TAY852017:TBF852017 TKU852017:TLB852017 TUQ852017:TUX852017 UEM852017:UET852017 UOI852017:UOP852017 UYE852017:UYL852017 VIA852017:VIH852017 VRW852017:VSD852017 WBS852017:WBZ852017 WLO852017:WLV852017 WVK852017:WVR852017 C917553:J917553 IY917553:JF917553 SU917553:TB917553 ACQ917553:ACX917553 AMM917553:AMT917553 AWI917553:AWP917553 BGE917553:BGL917553 BQA917553:BQH917553 BZW917553:CAD917553 CJS917553:CJZ917553 CTO917553:CTV917553 DDK917553:DDR917553 DNG917553:DNN917553 DXC917553:DXJ917553 EGY917553:EHF917553 EQU917553:ERB917553 FAQ917553:FAX917553 FKM917553:FKT917553 FUI917553:FUP917553 GEE917553:GEL917553 GOA917553:GOH917553 GXW917553:GYD917553 HHS917553:HHZ917553 HRO917553:HRV917553 IBK917553:IBR917553 ILG917553:ILN917553 IVC917553:IVJ917553 JEY917553:JFF917553 JOU917553:JPB917553 JYQ917553:JYX917553 KIM917553:KIT917553 KSI917553:KSP917553 LCE917553:LCL917553 LMA917553:LMH917553 LVW917553:LWD917553 MFS917553:MFZ917553 MPO917553:MPV917553 MZK917553:MZR917553 NJG917553:NJN917553 NTC917553:NTJ917553 OCY917553:ODF917553 OMU917553:ONB917553 OWQ917553:OWX917553 PGM917553:PGT917553 PQI917553:PQP917553 QAE917553:QAL917553 QKA917553:QKH917553 QTW917553:QUD917553 RDS917553:RDZ917553 RNO917553:RNV917553 RXK917553:RXR917553 SHG917553:SHN917553 SRC917553:SRJ917553 TAY917553:TBF917553 TKU917553:TLB917553 TUQ917553:TUX917553 UEM917553:UET917553 UOI917553:UOP917553 UYE917553:UYL917553 VIA917553:VIH917553 VRW917553:VSD917553 WBS917553:WBZ917553 WLO917553:WLV917553 WVK917553:WVR917553 C983089:J983089 IY983089:JF983089 SU983089:TB983089 ACQ983089:ACX983089 AMM983089:AMT983089 AWI983089:AWP983089 BGE983089:BGL983089 BQA983089:BQH983089 BZW983089:CAD983089 CJS983089:CJZ983089 CTO983089:CTV983089 DDK983089:DDR983089 DNG983089:DNN983089 DXC983089:DXJ983089 EGY983089:EHF983089 EQU983089:ERB983089 FAQ983089:FAX983089 FKM983089:FKT983089 FUI983089:FUP983089 GEE983089:GEL983089 GOA983089:GOH983089 GXW983089:GYD983089 HHS983089:HHZ983089 HRO983089:HRV983089 IBK983089:IBR983089 ILG983089:ILN983089 IVC983089:IVJ983089 JEY983089:JFF983089 JOU983089:JPB983089 JYQ983089:JYX983089 KIM983089:KIT983089 KSI983089:KSP983089 LCE983089:LCL983089 LMA983089:LMH983089 LVW983089:LWD983089 MFS983089:MFZ983089 MPO983089:MPV983089 MZK983089:MZR983089 NJG983089:NJN983089 NTC983089:NTJ983089 OCY983089:ODF983089 OMU983089:ONB983089 OWQ983089:OWX983089 PGM983089:PGT983089 PQI983089:PQP983089 QAE983089:QAL983089 QKA983089:QKH983089 QTW983089:QUD983089 RDS983089:RDZ983089 RNO983089:RNV983089 RXK983089:RXR983089 SHG983089:SHN983089 SRC983089:SRJ983089 TAY983089:TBF983089 TKU983089:TLB983089 TUQ983089:TUX983089 UEM983089:UET983089 UOI983089:UOP983089 UYE983089:UYL983089 VIA983089:VIH983089 VRW983089:VSD983089 WBS983089:WBZ983089 WLO983089:WLV983089 WVK983089:WVR983089 C51:I51 IY51:JE51 SU51:TA51 ACQ51:ACW51 AMM51:AMS51 AWI51:AWO51 BGE51:BGK51 BQA51:BQG51 BZW51:CAC51 CJS51:CJY51 CTO51:CTU51 DDK51:DDQ51 DNG51:DNM51 DXC51:DXI51 EGY51:EHE51 EQU51:ERA51 FAQ51:FAW51 FKM51:FKS51 FUI51:FUO51 GEE51:GEK51 GOA51:GOG51 GXW51:GYC51 HHS51:HHY51 HRO51:HRU51 IBK51:IBQ51 ILG51:ILM51 IVC51:IVI51 JEY51:JFE51 JOU51:JPA51 JYQ51:JYW51 KIM51:KIS51 KSI51:KSO51 LCE51:LCK51 LMA51:LMG51 LVW51:LWC51 MFS51:MFY51 MPO51:MPU51 MZK51:MZQ51 NJG51:NJM51 NTC51:NTI51 OCY51:ODE51 OMU51:ONA51 OWQ51:OWW51 PGM51:PGS51 PQI51:PQO51 QAE51:QAK51 QKA51:QKG51 QTW51:QUC51 RDS51:RDY51 RNO51:RNU51 RXK51:RXQ51 SHG51:SHM51 SRC51:SRI51 TAY51:TBE51 TKU51:TLA51 TUQ51:TUW51 UEM51:UES51 UOI51:UOO51 UYE51:UYK51 VIA51:VIG51 VRW51:VSC51 WBS51:WBY51 WLO51:WLU51 WVK51:WVQ51 C65587:I65587 IY65587:JE65587 SU65587:TA65587 ACQ65587:ACW65587 AMM65587:AMS65587 AWI65587:AWO65587 BGE65587:BGK65587 BQA65587:BQG65587 BZW65587:CAC65587 CJS65587:CJY65587 CTO65587:CTU65587 DDK65587:DDQ65587 DNG65587:DNM65587 DXC65587:DXI65587 EGY65587:EHE65587 EQU65587:ERA65587 FAQ65587:FAW65587 FKM65587:FKS65587 FUI65587:FUO65587 GEE65587:GEK65587 GOA65587:GOG65587 GXW65587:GYC65587 HHS65587:HHY65587 HRO65587:HRU65587 IBK65587:IBQ65587 ILG65587:ILM65587 IVC65587:IVI65587 JEY65587:JFE65587 JOU65587:JPA65587 JYQ65587:JYW65587 KIM65587:KIS65587 KSI65587:KSO65587 LCE65587:LCK65587 LMA65587:LMG65587 LVW65587:LWC65587 MFS65587:MFY65587 MPO65587:MPU65587 MZK65587:MZQ65587 NJG65587:NJM65587 NTC65587:NTI65587 OCY65587:ODE65587 OMU65587:ONA65587 OWQ65587:OWW65587 PGM65587:PGS65587 PQI65587:PQO65587 QAE65587:QAK65587 QKA65587:QKG65587 QTW65587:QUC65587 RDS65587:RDY65587 RNO65587:RNU65587 RXK65587:RXQ65587 SHG65587:SHM65587 SRC65587:SRI65587 TAY65587:TBE65587 TKU65587:TLA65587 TUQ65587:TUW65587 UEM65587:UES65587 UOI65587:UOO65587 UYE65587:UYK65587 VIA65587:VIG65587 VRW65587:VSC65587 WBS65587:WBY65587 WLO65587:WLU65587 WVK65587:WVQ65587 C131123:I131123 IY131123:JE131123 SU131123:TA131123 ACQ131123:ACW131123 AMM131123:AMS131123 AWI131123:AWO131123 BGE131123:BGK131123 BQA131123:BQG131123 BZW131123:CAC131123 CJS131123:CJY131123 CTO131123:CTU131123 DDK131123:DDQ131123 DNG131123:DNM131123 DXC131123:DXI131123 EGY131123:EHE131123 EQU131123:ERA131123 FAQ131123:FAW131123 FKM131123:FKS131123 FUI131123:FUO131123 GEE131123:GEK131123 GOA131123:GOG131123 GXW131123:GYC131123 HHS131123:HHY131123 HRO131123:HRU131123 IBK131123:IBQ131123 ILG131123:ILM131123 IVC131123:IVI131123 JEY131123:JFE131123 JOU131123:JPA131123 JYQ131123:JYW131123 KIM131123:KIS131123 KSI131123:KSO131123 LCE131123:LCK131123 LMA131123:LMG131123 LVW131123:LWC131123 MFS131123:MFY131123 MPO131123:MPU131123 MZK131123:MZQ131123 NJG131123:NJM131123 NTC131123:NTI131123 OCY131123:ODE131123 OMU131123:ONA131123 OWQ131123:OWW131123 PGM131123:PGS131123 PQI131123:PQO131123 QAE131123:QAK131123 QKA131123:QKG131123 QTW131123:QUC131123 RDS131123:RDY131123 RNO131123:RNU131123 RXK131123:RXQ131123 SHG131123:SHM131123 SRC131123:SRI131123 TAY131123:TBE131123 TKU131123:TLA131123 TUQ131123:TUW131123 UEM131123:UES131123 UOI131123:UOO131123 UYE131123:UYK131123 VIA131123:VIG131123 VRW131123:VSC131123 WBS131123:WBY131123 WLO131123:WLU131123 WVK131123:WVQ131123 C196659:I196659 IY196659:JE196659 SU196659:TA196659 ACQ196659:ACW196659 AMM196659:AMS196659 AWI196659:AWO196659 BGE196659:BGK196659 BQA196659:BQG196659 BZW196659:CAC196659 CJS196659:CJY196659 CTO196659:CTU196659 DDK196659:DDQ196659 DNG196659:DNM196659 DXC196659:DXI196659 EGY196659:EHE196659 EQU196659:ERA196659 FAQ196659:FAW196659 FKM196659:FKS196659 FUI196659:FUO196659 GEE196659:GEK196659 GOA196659:GOG196659 GXW196659:GYC196659 HHS196659:HHY196659 HRO196659:HRU196659 IBK196659:IBQ196659 ILG196659:ILM196659 IVC196659:IVI196659 JEY196659:JFE196659 JOU196659:JPA196659 JYQ196659:JYW196659 KIM196659:KIS196659 KSI196659:KSO196659 LCE196659:LCK196659 LMA196659:LMG196659 LVW196659:LWC196659 MFS196659:MFY196659 MPO196659:MPU196659 MZK196659:MZQ196659 NJG196659:NJM196659 NTC196659:NTI196659 OCY196659:ODE196659 OMU196659:ONA196659 OWQ196659:OWW196659 PGM196659:PGS196659 PQI196659:PQO196659 QAE196659:QAK196659 QKA196659:QKG196659 QTW196659:QUC196659 RDS196659:RDY196659 RNO196659:RNU196659 RXK196659:RXQ196659 SHG196659:SHM196659 SRC196659:SRI196659 TAY196659:TBE196659 TKU196659:TLA196659 TUQ196659:TUW196659 UEM196659:UES196659 UOI196659:UOO196659 UYE196659:UYK196659 VIA196659:VIG196659 VRW196659:VSC196659 WBS196659:WBY196659 WLO196659:WLU196659 WVK196659:WVQ196659 C262195:I262195 IY262195:JE262195 SU262195:TA262195 ACQ262195:ACW262195 AMM262195:AMS262195 AWI262195:AWO262195 BGE262195:BGK262195 BQA262195:BQG262195 BZW262195:CAC262195 CJS262195:CJY262195 CTO262195:CTU262195 DDK262195:DDQ262195 DNG262195:DNM262195 DXC262195:DXI262195 EGY262195:EHE262195 EQU262195:ERA262195 FAQ262195:FAW262195 FKM262195:FKS262195 FUI262195:FUO262195 GEE262195:GEK262195 GOA262195:GOG262195 GXW262195:GYC262195 HHS262195:HHY262195 HRO262195:HRU262195 IBK262195:IBQ262195 ILG262195:ILM262195 IVC262195:IVI262195 JEY262195:JFE262195 JOU262195:JPA262195 JYQ262195:JYW262195 KIM262195:KIS262195 KSI262195:KSO262195 LCE262195:LCK262195 LMA262195:LMG262195 LVW262195:LWC262195 MFS262195:MFY262195 MPO262195:MPU262195 MZK262195:MZQ262195 NJG262195:NJM262195 NTC262195:NTI262195 OCY262195:ODE262195 OMU262195:ONA262195 OWQ262195:OWW262195 PGM262195:PGS262195 PQI262195:PQO262195 QAE262195:QAK262195 QKA262195:QKG262195 QTW262195:QUC262195 RDS262195:RDY262195 RNO262195:RNU262195 RXK262195:RXQ262195 SHG262195:SHM262195 SRC262195:SRI262195 TAY262195:TBE262195 TKU262195:TLA262195 TUQ262195:TUW262195 UEM262195:UES262195 UOI262195:UOO262195 UYE262195:UYK262195 VIA262195:VIG262195 VRW262195:VSC262195 WBS262195:WBY262195 WLO262195:WLU262195 WVK262195:WVQ262195 C327731:I327731 IY327731:JE327731 SU327731:TA327731 ACQ327731:ACW327731 AMM327731:AMS327731 AWI327731:AWO327731 BGE327731:BGK327731 BQA327731:BQG327731 BZW327731:CAC327731 CJS327731:CJY327731 CTO327731:CTU327731 DDK327731:DDQ327731 DNG327731:DNM327731 DXC327731:DXI327731 EGY327731:EHE327731 EQU327731:ERA327731 FAQ327731:FAW327731 FKM327731:FKS327731 FUI327731:FUO327731 GEE327731:GEK327731 GOA327731:GOG327731 GXW327731:GYC327731 HHS327731:HHY327731 HRO327731:HRU327731 IBK327731:IBQ327731 ILG327731:ILM327731 IVC327731:IVI327731 JEY327731:JFE327731 JOU327731:JPA327731 JYQ327731:JYW327731 KIM327731:KIS327731 KSI327731:KSO327731 LCE327731:LCK327731 LMA327731:LMG327731 LVW327731:LWC327731 MFS327731:MFY327731 MPO327731:MPU327731 MZK327731:MZQ327731 NJG327731:NJM327731 NTC327731:NTI327731 OCY327731:ODE327731 OMU327731:ONA327731 OWQ327731:OWW327731 PGM327731:PGS327731 PQI327731:PQO327731 QAE327731:QAK327731 QKA327731:QKG327731 QTW327731:QUC327731 RDS327731:RDY327731 RNO327731:RNU327731 RXK327731:RXQ327731 SHG327731:SHM327731 SRC327731:SRI327731 TAY327731:TBE327731 TKU327731:TLA327731 TUQ327731:TUW327731 UEM327731:UES327731 UOI327731:UOO327731 UYE327731:UYK327731 VIA327731:VIG327731 VRW327731:VSC327731 WBS327731:WBY327731 WLO327731:WLU327731 WVK327731:WVQ327731 C393267:I393267 IY393267:JE393267 SU393267:TA393267 ACQ393267:ACW393267 AMM393267:AMS393267 AWI393267:AWO393267 BGE393267:BGK393267 BQA393267:BQG393267 BZW393267:CAC393267 CJS393267:CJY393267 CTO393267:CTU393267 DDK393267:DDQ393267 DNG393267:DNM393267 DXC393267:DXI393267 EGY393267:EHE393267 EQU393267:ERA393267 FAQ393267:FAW393267 FKM393267:FKS393267 FUI393267:FUO393267 GEE393267:GEK393267 GOA393267:GOG393267 GXW393267:GYC393267 HHS393267:HHY393267 HRO393267:HRU393267 IBK393267:IBQ393267 ILG393267:ILM393267 IVC393267:IVI393267 JEY393267:JFE393267 JOU393267:JPA393267 JYQ393267:JYW393267 KIM393267:KIS393267 KSI393267:KSO393267 LCE393267:LCK393267 LMA393267:LMG393267 LVW393267:LWC393267 MFS393267:MFY393267 MPO393267:MPU393267 MZK393267:MZQ393267 NJG393267:NJM393267 NTC393267:NTI393267 OCY393267:ODE393267 OMU393267:ONA393267 OWQ393267:OWW393267 PGM393267:PGS393267 PQI393267:PQO393267 QAE393267:QAK393267 QKA393267:QKG393267 QTW393267:QUC393267 RDS393267:RDY393267 RNO393267:RNU393267 RXK393267:RXQ393267 SHG393267:SHM393267 SRC393267:SRI393267 TAY393267:TBE393267 TKU393267:TLA393267 TUQ393267:TUW393267 UEM393267:UES393267 UOI393267:UOO393267 UYE393267:UYK393267 VIA393267:VIG393267 VRW393267:VSC393267 WBS393267:WBY393267 WLO393267:WLU393267 WVK393267:WVQ393267 C458803:I458803 IY458803:JE458803 SU458803:TA458803 ACQ458803:ACW458803 AMM458803:AMS458803 AWI458803:AWO458803 BGE458803:BGK458803 BQA458803:BQG458803 BZW458803:CAC458803 CJS458803:CJY458803 CTO458803:CTU458803 DDK458803:DDQ458803 DNG458803:DNM458803 DXC458803:DXI458803 EGY458803:EHE458803 EQU458803:ERA458803 FAQ458803:FAW458803 FKM458803:FKS458803 FUI458803:FUO458803 GEE458803:GEK458803 GOA458803:GOG458803 GXW458803:GYC458803 HHS458803:HHY458803 HRO458803:HRU458803 IBK458803:IBQ458803 ILG458803:ILM458803 IVC458803:IVI458803 JEY458803:JFE458803 JOU458803:JPA458803 JYQ458803:JYW458803 KIM458803:KIS458803 KSI458803:KSO458803 LCE458803:LCK458803 LMA458803:LMG458803 LVW458803:LWC458803 MFS458803:MFY458803 MPO458803:MPU458803 MZK458803:MZQ458803 NJG458803:NJM458803 NTC458803:NTI458803 OCY458803:ODE458803 OMU458803:ONA458803 OWQ458803:OWW458803 PGM458803:PGS458803 PQI458803:PQO458803 QAE458803:QAK458803 QKA458803:QKG458803 QTW458803:QUC458803 RDS458803:RDY458803 RNO458803:RNU458803 RXK458803:RXQ458803 SHG458803:SHM458803 SRC458803:SRI458803 TAY458803:TBE458803 TKU458803:TLA458803 TUQ458803:TUW458803 UEM458803:UES458803 UOI458803:UOO458803 UYE458803:UYK458803 VIA458803:VIG458803 VRW458803:VSC458803 WBS458803:WBY458803 WLO458803:WLU458803 WVK458803:WVQ458803 C524339:I524339 IY524339:JE524339 SU524339:TA524339 ACQ524339:ACW524339 AMM524339:AMS524339 AWI524339:AWO524339 BGE524339:BGK524339 BQA524339:BQG524339 BZW524339:CAC524339 CJS524339:CJY524339 CTO524339:CTU524339 DDK524339:DDQ524339 DNG524339:DNM524339 DXC524339:DXI524339 EGY524339:EHE524339 EQU524339:ERA524339 FAQ524339:FAW524339 FKM524339:FKS524339 FUI524339:FUO524339 GEE524339:GEK524339 GOA524339:GOG524339 GXW524339:GYC524339 HHS524339:HHY524339 HRO524339:HRU524339 IBK524339:IBQ524339 ILG524339:ILM524339 IVC524339:IVI524339 JEY524339:JFE524339 JOU524339:JPA524339 JYQ524339:JYW524339 KIM524339:KIS524339 KSI524339:KSO524339 LCE524339:LCK524339 LMA524339:LMG524339 LVW524339:LWC524339 MFS524339:MFY524339 MPO524339:MPU524339 MZK524339:MZQ524339 NJG524339:NJM524339 NTC524339:NTI524339 OCY524339:ODE524339 OMU524339:ONA524339 OWQ524339:OWW524339 PGM524339:PGS524339 PQI524339:PQO524339 QAE524339:QAK524339 QKA524339:QKG524339 QTW524339:QUC524339 RDS524339:RDY524339 RNO524339:RNU524339 RXK524339:RXQ524339 SHG524339:SHM524339 SRC524339:SRI524339 TAY524339:TBE524339 TKU524339:TLA524339 TUQ524339:TUW524339 UEM524339:UES524339 UOI524339:UOO524339 UYE524339:UYK524339 VIA524339:VIG524339 VRW524339:VSC524339 WBS524339:WBY524339 WLO524339:WLU524339 WVK524339:WVQ524339 C589875:I589875 IY589875:JE589875 SU589875:TA589875 ACQ589875:ACW589875 AMM589875:AMS589875 AWI589875:AWO589875 BGE589875:BGK589875 BQA589875:BQG589875 BZW589875:CAC589875 CJS589875:CJY589875 CTO589875:CTU589875 DDK589875:DDQ589875 DNG589875:DNM589875 DXC589875:DXI589875 EGY589875:EHE589875 EQU589875:ERA589875 FAQ589875:FAW589875 FKM589875:FKS589875 FUI589875:FUO589875 GEE589875:GEK589875 GOA589875:GOG589875 GXW589875:GYC589875 HHS589875:HHY589875 HRO589875:HRU589875 IBK589875:IBQ589875 ILG589875:ILM589875 IVC589875:IVI589875 JEY589875:JFE589875 JOU589875:JPA589875 JYQ589875:JYW589875 KIM589875:KIS589875 KSI589875:KSO589875 LCE589875:LCK589875 LMA589875:LMG589875 LVW589875:LWC589875 MFS589875:MFY589875 MPO589875:MPU589875 MZK589875:MZQ589875 NJG589875:NJM589875 NTC589875:NTI589875 OCY589875:ODE589875 OMU589875:ONA589875 OWQ589875:OWW589875 PGM589875:PGS589875 PQI589875:PQO589875 QAE589875:QAK589875 QKA589875:QKG589875 QTW589875:QUC589875 RDS589875:RDY589875 RNO589875:RNU589875 RXK589875:RXQ589875 SHG589875:SHM589875 SRC589875:SRI589875 TAY589875:TBE589875 TKU589875:TLA589875 TUQ589875:TUW589875 UEM589875:UES589875 UOI589875:UOO589875 UYE589875:UYK589875 VIA589875:VIG589875 VRW589875:VSC589875 WBS589875:WBY589875 WLO589875:WLU589875 WVK589875:WVQ589875 C655411:I655411 IY655411:JE655411 SU655411:TA655411 ACQ655411:ACW655411 AMM655411:AMS655411 AWI655411:AWO655411 BGE655411:BGK655411 BQA655411:BQG655411 BZW655411:CAC655411 CJS655411:CJY655411 CTO655411:CTU655411 DDK655411:DDQ655411 DNG655411:DNM655411 DXC655411:DXI655411 EGY655411:EHE655411 EQU655411:ERA655411 FAQ655411:FAW655411 FKM655411:FKS655411 FUI655411:FUO655411 GEE655411:GEK655411 GOA655411:GOG655411 GXW655411:GYC655411 HHS655411:HHY655411 HRO655411:HRU655411 IBK655411:IBQ655411 ILG655411:ILM655411 IVC655411:IVI655411 JEY655411:JFE655411 JOU655411:JPA655411 JYQ655411:JYW655411 KIM655411:KIS655411 KSI655411:KSO655411 LCE655411:LCK655411 LMA655411:LMG655411 LVW655411:LWC655411 MFS655411:MFY655411 MPO655411:MPU655411 MZK655411:MZQ655411 NJG655411:NJM655411 NTC655411:NTI655411 OCY655411:ODE655411 OMU655411:ONA655411 OWQ655411:OWW655411 PGM655411:PGS655411 PQI655411:PQO655411 QAE655411:QAK655411 QKA655411:QKG655411 QTW655411:QUC655411 RDS655411:RDY655411 RNO655411:RNU655411 RXK655411:RXQ655411 SHG655411:SHM655411 SRC655411:SRI655411 TAY655411:TBE655411 TKU655411:TLA655411 TUQ655411:TUW655411 UEM655411:UES655411 UOI655411:UOO655411 UYE655411:UYK655411 VIA655411:VIG655411 VRW655411:VSC655411 WBS655411:WBY655411 WLO655411:WLU655411 WVK655411:WVQ655411 C720947:I720947 IY720947:JE720947 SU720947:TA720947 ACQ720947:ACW720947 AMM720947:AMS720947 AWI720947:AWO720947 BGE720947:BGK720947 BQA720947:BQG720947 BZW720947:CAC720947 CJS720947:CJY720947 CTO720947:CTU720947 DDK720947:DDQ720947 DNG720947:DNM720947 DXC720947:DXI720947 EGY720947:EHE720947 EQU720947:ERA720947 FAQ720947:FAW720947 FKM720947:FKS720947 FUI720947:FUO720947 GEE720947:GEK720947 GOA720947:GOG720947 GXW720947:GYC720947 HHS720947:HHY720947 HRO720947:HRU720947 IBK720947:IBQ720947 ILG720947:ILM720947 IVC720947:IVI720947 JEY720947:JFE720947 JOU720947:JPA720947 JYQ720947:JYW720947 KIM720947:KIS720947 KSI720947:KSO720947 LCE720947:LCK720947 LMA720947:LMG720947 LVW720947:LWC720947 MFS720947:MFY720947 MPO720947:MPU720947 MZK720947:MZQ720947 NJG720947:NJM720947 NTC720947:NTI720947 OCY720947:ODE720947 OMU720947:ONA720947 OWQ720947:OWW720947 PGM720947:PGS720947 PQI720947:PQO720947 QAE720947:QAK720947 QKA720947:QKG720947 QTW720947:QUC720947 RDS720947:RDY720947 RNO720947:RNU720947 RXK720947:RXQ720947 SHG720947:SHM720947 SRC720947:SRI720947 TAY720947:TBE720947 TKU720947:TLA720947 TUQ720947:TUW720947 UEM720947:UES720947 UOI720947:UOO720947 UYE720947:UYK720947 VIA720947:VIG720947 VRW720947:VSC720947 WBS720947:WBY720947 WLO720947:WLU720947 WVK720947:WVQ720947 C786483:I786483 IY786483:JE786483 SU786483:TA786483 ACQ786483:ACW786483 AMM786483:AMS786483 AWI786483:AWO786483 BGE786483:BGK786483 BQA786483:BQG786483 BZW786483:CAC786483 CJS786483:CJY786483 CTO786483:CTU786483 DDK786483:DDQ786483 DNG786483:DNM786483 DXC786483:DXI786483 EGY786483:EHE786483 EQU786483:ERA786483 FAQ786483:FAW786483 FKM786483:FKS786483 FUI786483:FUO786483 GEE786483:GEK786483 GOA786483:GOG786483 GXW786483:GYC786483 HHS786483:HHY786483 HRO786483:HRU786483 IBK786483:IBQ786483 ILG786483:ILM786483 IVC786483:IVI786483 JEY786483:JFE786483 JOU786483:JPA786483 JYQ786483:JYW786483 KIM786483:KIS786483 KSI786483:KSO786483 LCE786483:LCK786483 LMA786483:LMG786483 LVW786483:LWC786483 MFS786483:MFY786483 MPO786483:MPU786483 MZK786483:MZQ786483 NJG786483:NJM786483 NTC786483:NTI786483 OCY786483:ODE786483 OMU786483:ONA786483 OWQ786483:OWW786483 PGM786483:PGS786483 PQI786483:PQO786483 QAE786483:QAK786483 QKA786483:QKG786483 QTW786483:QUC786483 RDS786483:RDY786483 RNO786483:RNU786483 RXK786483:RXQ786483 SHG786483:SHM786483 SRC786483:SRI786483 TAY786483:TBE786483 TKU786483:TLA786483 TUQ786483:TUW786483 UEM786483:UES786483 UOI786483:UOO786483 UYE786483:UYK786483 VIA786483:VIG786483 VRW786483:VSC786483 WBS786483:WBY786483 WLO786483:WLU786483 WVK786483:WVQ786483 C852019:I852019 IY852019:JE852019 SU852019:TA852019 ACQ852019:ACW852019 AMM852019:AMS852019 AWI852019:AWO852019 BGE852019:BGK852019 BQA852019:BQG852019 BZW852019:CAC852019 CJS852019:CJY852019 CTO852019:CTU852019 DDK852019:DDQ852019 DNG852019:DNM852019 DXC852019:DXI852019 EGY852019:EHE852019 EQU852019:ERA852019 FAQ852019:FAW852019 FKM852019:FKS852019 FUI852019:FUO852019 GEE852019:GEK852019 GOA852019:GOG852019 GXW852019:GYC852019 HHS852019:HHY852019 HRO852019:HRU852019 IBK852019:IBQ852019 ILG852019:ILM852019 IVC852019:IVI852019 JEY852019:JFE852019 JOU852019:JPA852019 JYQ852019:JYW852019 KIM852019:KIS852019 KSI852019:KSO852019 LCE852019:LCK852019 LMA852019:LMG852019 LVW852019:LWC852019 MFS852019:MFY852019 MPO852019:MPU852019 MZK852019:MZQ852019 NJG852019:NJM852019 NTC852019:NTI852019 OCY852019:ODE852019 OMU852019:ONA852019 OWQ852019:OWW852019 PGM852019:PGS852019 PQI852019:PQO852019 QAE852019:QAK852019 QKA852019:QKG852019 QTW852019:QUC852019 RDS852019:RDY852019 RNO852019:RNU852019 RXK852019:RXQ852019 SHG852019:SHM852019 SRC852019:SRI852019 TAY852019:TBE852019 TKU852019:TLA852019 TUQ852019:TUW852019 UEM852019:UES852019 UOI852019:UOO852019 UYE852019:UYK852019 VIA852019:VIG852019 VRW852019:VSC852019 WBS852019:WBY852019 WLO852019:WLU852019 WVK852019:WVQ852019 C917555:I917555 IY917555:JE917555 SU917555:TA917555 ACQ917555:ACW917555 AMM917555:AMS917555 AWI917555:AWO917555 BGE917555:BGK917555 BQA917555:BQG917555 BZW917555:CAC917555 CJS917555:CJY917555 CTO917555:CTU917555 DDK917555:DDQ917555 DNG917555:DNM917555 DXC917555:DXI917555 EGY917555:EHE917555 EQU917555:ERA917555 FAQ917555:FAW917555 FKM917555:FKS917555 FUI917555:FUO917555 GEE917555:GEK917555 GOA917555:GOG917555 GXW917555:GYC917555 HHS917555:HHY917555 HRO917555:HRU917555 IBK917555:IBQ917555 ILG917555:ILM917555 IVC917555:IVI917555 JEY917555:JFE917555 JOU917555:JPA917555 JYQ917555:JYW917555 KIM917555:KIS917555 KSI917555:KSO917555 LCE917555:LCK917555 LMA917555:LMG917555 LVW917555:LWC917555 MFS917555:MFY917555 MPO917555:MPU917555 MZK917555:MZQ917555 NJG917555:NJM917555 NTC917555:NTI917555 OCY917555:ODE917555 OMU917555:ONA917555 OWQ917555:OWW917555 PGM917555:PGS917555 PQI917555:PQO917555 QAE917555:QAK917555 QKA917555:QKG917555 QTW917555:QUC917555 RDS917555:RDY917555 RNO917555:RNU917555 RXK917555:RXQ917555 SHG917555:SHM917555 SRC917555:SRI917555 TAY917555:TBE917555 TKU917555:TLA917555 TUQ917555:TUW917555 UEM917555:UES917555 UOI917555:UOO917555 UYE917555:UYK917555 VIA917555:VIG917555 VRW917555:VSC917555 WBS917555:WBY917555 WLO917555:WLU917555 WVK917555:WVQ917555 C983091:I983091 IY983091:JE983091 SU983091:TA983091 ACQ983091:ACW983091 AMM983091:AMS983091 AWI983091:AWO983091 BGE983091:BGK983091 BQA983091:BQG983091 BZW983091:CAC983091 CJS983091:CJY983091 CTO983091:CTU983091 DDK983091:DDQ983091 DNG983091:DNM983091 DXC983091:DXI983091 EGY983091:EHE983091 EQU983091:ERA983091 FAQ983091:FAW983091 FKM983091:FKS983091 FUI983091:FUO983091 GEE983091:GEK983091 GOA983091:GOG983091 GXW983091:GYC983091 HHS983091:HHY983091 HRO983091:HRU983091 IBK983091:IBQ983091 ILG983091:ILM983091 IVC983091:IVI983091 JEY983091:JFE983091 JOU983091:JPA983091 JYQ983091:JYW983091 KIM983091:KIS983091 KSI983091:KSO983091 LCE983091:LCK983091 LMA983091:LMG983091 LVW983091:LWC983091 MFS983091:MFY983091 MPO983091:MPU983091 MZK983091:MZQ983091 NJG983091:NJM983091 NTC983091:NTI983091 OCY983091:ODE983091 OMU983091:ONA983091 OWQ983091:OWW983091 PGM983091:PGS983091 PQI983091:PQO983091 QAE983091:QAK983091 QKA983091:QKG983091 QTW983091:QUC983091 RDS983091:RDY983091 RNO983091:RNU983091 RXK983091:RXQ983091 SHG983091:SHM983091 SRC983091:SRI983091 TAY983091:TBE983091 TKU983091:TLA983091 TUQ983091:TUW983091 UEM983091:UES983091 UOI983091:UOO983091 UYE983091:UYK983091 VIA983091:VIG983091 VRW983091:VSC983091 WBS983091:WBY983091 WLO983091:WLU983091 WVK983091:WVQ983091 C53:I53 IY53:JE53 SU53:TA53 ACQ53:ACW53 AMM53:AMS53 AWI53:AWO53 BGE53:BGK53 BQA53:BQG53 BZW53:CAC53 CJS53:CJY53 CTO53:CTU53 DDK53:DDQ53 DNG53:DNM53 DXC53:DXI53 EGY53:EHE53 EQU53:ERA53 FAQ53:FAW53 FKM53:FKS53 FUI53:FUO53 GEE53:GEK53 GOA53:GOG53 GXW53:GYC53 HHS53:HHY53 HRO53:HRU53 IBK53:IBQ53 ILG53:ILM53 IVC53:IVI53 JEY53:JFE53 JOU53:JPA53 JYQ53:JYW53 KIM53:KIS53 KSI53:KSO53 LCE53:LCK53 LMA53:LMG53 LVW53:LWC53 MFS53:MFY53 MPO53:MPU53 MZK53:MZQ53 NJG53:NJM53 NTC53:NTI53 OCY53:ODE53 OMU53:ONA53 OWQ53:OWW53 PGM53:PGS53 PQI53:PQO53 QAE53:QAK53 QKA53:QKG53 QTW53:QUC53 RDS53:RDY53 RNO53:RNU53 RXK53:RXQ53 SHG53:SHM53 SRC53:SRI53 TAY53:TBE53 TKU53:TLA53 TUQ53:TUW53 UEM53:UES53 UOI53:UOO53 UYE53:UYK53 VIA53:VIG53 VRW53:VSC53 WBS53:WBY53 WLO53:WLU53 WVK53:WVQ53 C65589:I65589 IY65589:JE65589 SU65589:TA65589 ACQ65589:ACW65589 AMM65589:AMS65589 AWI65589:AWO65589 BGE65589:BGK65589 BQA65589:BQG65589 BZW65589:CAC65589 CJS65589:CJY65589 CTO65589:CTU65589 DDK65589:DDQ65589 DNG65589:DNM65589 DXC65589:DXI65589 EGY65589:EHE65589 EQU65589:ERA65589 FAQ65589:FAW65589 FKM65589:FKS65589 FUI65589:FUO65589 GEE65589:GEK65589 GOA65589:GOG65589 GXW65589:GYC65589 HHS65589:HHY65589 HRO65589:HRU65589 IBK65589:IBQ65589 ILG65589:ILM65589 IVC65589:IVI65589 JEY65589:JFE65589 JOU65589:JPA65589 JYQ65589:JYW65589 KIM65589:KIS65589 KSI65589:KSO65589 LCE65589:LCK65589 LMA65589:LMG65589 LVW65589:LWC65589 MFS65589:MFY65589 MPO65589:MPU65589 MZK65589:MZQ65589 NJG65589:NJM65589 NTC65589:NTI65589 OCY65589:ODE65589 OMU65589:ONA65589 OWQ65589:OWW65589 PGM65589:PGS65589 PQI65589:PQO65589 QAE65589:QAK65589 QKA65589:QKG65589 QTW65589:QUC65589 RDS65589:RDY65589 RNO65589:RNU65589 RXK65589:RXQ65589 SHG65589:SHM65589 SRC65589:SRI65589 TAY65589:TBE65589 TKU65589:TLA65589 TUQ65589:TUW65589 UEM65589:UES65589 UOI65589:UOO65589 UYE65589:UYK65589 VIA65589:VIG65589 VRW65589:VSC65589 WBS65589:WBY65589 WLO65589:WLU65589 WVK65589:WVQ65589 C131125:I131125 IY131125:JE131125 SU131125:TA131125 ACQ131125:ACW131125 AMM131125:AMS131125 AWI131125:AWO131125 BGE131125:BGK131125 BQA131125:BQG131125 BZW131125:CAC131125 CJS131125:CJY131125 CTO131125:CTU131125 DDK131125:DDQ131125 DNG131125:DNM131125 DXC131125:DXI131125 EGY131125:EHE131125 EQU131125:ERA131125 FAQ131125:FAW131125 FKM131125:FKS131125 FUI131125:FUO131125 GEE131125:GEK131125 GOA131125:GOG131125 GXW131125:GYC131125 HHS131125:HHY131125 HRO131125:HRU131125 IBK131125:IBQ131125 ILG131125:ILM131125 IVC131125:IVI131125 JEY131125:JFE131125 JOU131125:JPA131125 JYQ131125:JYW131125 KIM131125:KIS131125 KSI131125:KSO131125 LCE131125:LCK131125 LMA131125:LMG131125 LVW131125:LWC131125 MFS131125:MFY131125 MPO131125:MPU131125 MZK131125:MZQ131125 NJG131125:NJM131125 NTC131125:NTI131125 OCY131125:ODE131125 OMU131125:ONA131125 OWQ131125:OWW131125 PGM131125:PGS131125 PQI131125:PQO131125 QAE131125:QAK131125 QKA131125:QKG131125 QTW131125:QUC131125 RDS131125:RDY131125 RNO131125:RNU131125 RXK131125:RXQ131125 SHG131125:SHM131125 SRC131125:SRI131125 TAY131125:TBE131125 TKU131125:TLA131125 TUQ131125:TUW131125 UEM131125:UES131125 UOI131125:UOO131125 UYE131125:UYK131125 VIA131125:VIG131125 VRW131125:VSC131125 WBS131125:WBY131125 WLO131125:WLU131125 WVK131125:WVQ131125 C196661:I196661 IY196661:JE196661 SU196661:TA196661 ACQ196661:ACW196661 AMM196661:AMS196661 AWI196661:AWO196661 BGE196661:BGK196661 BQA196661:BQG196661 BZW196661:CAC196661 CJS196661:CJY196661 CTO196661:CTU196661 DDK196661:DDQ196661 DNG196661:DNM196661 DXC196661:DXI196661 EGY196661:EHE196661 EQU196661:ERA196661 FAQ196661:FAW196661 FKM196661:FKS196661 FUI196661:FUO196661 GEE196661:GEK196661 GOA196661:GOG196661 GXW196661:GYC196661 HHS196661:HHY196661 HRO196661:HRU196661 IBK196661:IBQ196661 ILG196661:ILM196661 IVC196661:IVI196661 JEY196661:JFE196661 JOU196661:JPA196661 JYQ196661:JYW196661 KIM196661:KIS196661 KSI196661:KSO196661 LCE196661:LCK196661 LMA196661:LMG196661 LVW196661:LWC196661 MFS196661:MFY196661 MPO196661:MPU196661 MZK196661:MZQ196661 NJG196661:NJM196661 NTC196661:NTI196661 OCY196661:ODE196661 OMU196661:ONA196661 OWQ196661:OWW196661 PGM196661:PGS196661 PQI196661:PQO196661 QAE196661:QAK196661 QKA196661:QKG196661 QTW196661:QUC196661 RDS196661:RDY196661 RNO196661:RNU196661 RXK196661:RXQ196661 SHG196661:SHM196661 SRC196661:SRI196661 TAY196661:TBE196661 TKU196661:TLA196661 TUQ196661:TUW196661 UEM196661:UES196661 UOI196661:UOO196661 UYE196661:UYK196661 VIA196661:VIG196661 VRW196661:VSC196661 WBS196661:WBY196661 WLO196661:WLU196661 WVK196661:WVQ196661 C262197:I262197 IY262197:JE262197 SU262197:TA262197 ACQ262197:ACW262197 AMM262197:AMS262197 AWI262197:AWO262197 BGE262197:BGK262197 BQA262197:BQG262197 BZW262197:CAC262197 CJS262197:CJY262197 CTO262197:CTU262197 DDK262197:DDQ262197 DNG262197:DNM262197 DXC262197:DXI262197 EGY262197:EHE262197 EQU262197:ERA262197 FAQ262197:FAW262197 FKM262197:FKS262197 FUI262197:FUO262197 GEE262197:GEK262197 GOA262197:GOG262197 GXW262197:GYC262197 HHS262197:HHY262197 HRO262197:HRU262197 IBK262197:IBQ262197 ILG262197:ILM262197 IVC262197:IVI262197 JEY262197:JFE262197 JOU262197:JPA262197 JYQ262197:JYW262197 KIM262197:KIS262197 KSI262197:KSO262197 LCE262197:LCK262197 LMA262197:LMG262197 LVW262197:LWC262197 MFS262197:MFY262197 MPO262197:MPU262197 MZK262197:MZQ262197 NJG262197:NJM262197 NTC262197:NTI262197 OCY262197:ODE262197 OMU262197:ONA262197 OWQ262197:OWW262197 PGM262197:PGS262197 PQI262197:PQO262197 QAE262197:QAK262197 QKA262197:QKG262197 QTW262197:QUC262197 RDS262197:RDY262197 RNO262197:RNU262197 RXK262197:RXQ262197 SHG262197:SHM262197 SRC262197:SRI262197 TAY262197:TBE262197 TKU262197:TLA262197 TUQ262197:TUW262197 UEM262197:UES262197 UOI262197:UOO262197 UYE262197:UYK262197 VIA262197:VIG262197 VRW262197:VSC262197 WBS262197:WBY262197 WLO262197:WLU262197 WVK262197:WVQ262197 C327733:I327733 IY327733:JE327733 SU327733:TA327733 ACQ327733:ACW327733 AMM327733:AMS327733 AWI327733:AWO327733 BGE327733:BGK327733 BQA327733:BQG327733 BZW327733:CAC327733 CJS327733:CJY327733 CTO327733:CTU327733 DDK327733:DDQ327733 DNG327733:DNM327733 DXC327733:DXI327733 EGY327733:EHE327733 EQU327733:ERA327733 FAQ327733:FAW327733 FKM327733:FKS327733 FUI327733:FUO327733 GEE327733:GEK327733 GOA327733:GOG327733 GXW327733:GYC327733 HHS327733:HHY327733 HRO327733:HRU327733 IBK327733:IBQ327733 ILG327733:ILM327733 IVC327733:IVI327733 JEY327733:JFE327733 JOU327733:JPA327733 JYQ327733:JYW327733 KIM327733:KIS327733 KSI327733:KSO327733 LCE327733:LCK327733 LMA327733:LMG327733 LVW327733:LWC327733 MFS327733:MFY327733 MPO327733:MPU327733 MZK327733:MZQ327733 NJG327733:NJM327733 NTC327733:NTI327733 OCY327733:ODE327733 OMU327733:ONA327733 OWQ327733:OWW327733 PGM327733:PGS327733 PQI327733:PQO327733 QAE327733:QAK327733 QKA327733:QKG327733 QTW327733:QUC327733 RDS327733:RDY327733 RNO327733:RNU327733 RXK327733:RXQ327733 SHG327733:SHM327733 SRC327733:SRI327733 TAY327733:TBE327733 TKU327733:TLA327733 TUQ327733:TUW327733 UEM327733:UES327733 UOI327733:UOO327733 UYE327733:UYK327733 VIA327733:VIG327733 VRW327733:VSC327733 WBS327733:WBY327733 WLO327733:WLU327733 WVK327733:WVQ327733 C393269:I393269 IY393269:JE393269 SU393269:TA393269 ACQ393269:ACW393269 AMM393269:AMS393269 AWI393269:AWO393269 BGE393269:BGK393269 BQA393269:BQG393269 BZW393269:CAC393269 CJS393269:CJY393269 CTO393269:CTU393269 DDK393269:DDQ393269 DNG393269:DNM393269 DXC393269:DXI393269 EGY393269:EHE393269 EQU393269:ERA393269 FAQ393269:FAW393269 FKM393269:FKS393269 FUI393269:FUO393269 GEE393269:GEK393269 GOA393269:GOG393269 GXW393269:GYC393269 HHS393269:HHY393269 HRO393269:HRU393269 IBK393269:IBQ393269 ILG393269:ILM393269 IVC393269:IVI393269 JEY393269:JFE393269 JOU393269:JPA393269 JYQ393269:JYW393269 KIM393269:KIS393269 KSI393269:KSO393269 LCE393269:LCK393269 LMA393269:LMG393269 LVW393269:LWC393269 MFS393269:MFY393269 MPO393269:MPU393269 MZK393269:MZQ393269 NJG393269:NJM393269 NTC393269:NTI393269 OCY393269:ODE393269 OMU393269:ONA393269 OWQ393269:OWW393269 PGM393269:PGS393269 PQI393269:PQO393269 QAE393269:QAK393269 QKA393269:QKG393269 QTW393269:QUC393269 RDS393269:RDY393269 RNO393269:RNU393269 RXK393269:RXQ393269 SHG393269:SHM393269 SRC393269:SRI393269 TAY393269:TBE393269 TKU393269:TLA393269 TUQ393269:TUW393269 UEM393269:UES393269 UOI393269:UOO393269 UYE393269:UYK393269 VIA393269:VIG393269 VRW393269:VSC393269 WBS393269:WBY393269 WLO393269:WLU393269 WVK393269:WVQ393269 C458805:I458805 IY458805:JE458805 SU458805:TA458805 ACQ458805:ACW458805 AMM458805:AMS458805 AWI458805:AWO458805 BGE458805:BGK458805 BQA458805:BQG458805 BZW458805:CAC458805 CJS458805:CJY458805 CTO458805:CTU458805 DDK458805:DDQ458805 DNG458805:DNM458805 DXC458805:DXI458805 EGY458805:EHE458805 EQU458805:ERA458805 FAQ458805:FAW458805 FKM458805:FKS458805 FUI458805:FUO458805 GEE458805:GEK458805 GOA458805:GOG458805 GXW458805:GYC458805 HHS458805:HHY458805 HRO458805:HRU458805 IBK458805:IBQ458805 ILG458805:ILM458805 IVC458805:IVI458805 JEY458805:JFE458805 JOU458805:JPA458805 JYQ458805:JYW458805 KIM458805:KIS458805 KSI458805:KSO458805 LCE458805:LCK458805 LMA458805:LMG458805 LVW458805:LWC458805 MFS458805:MFY458805 MPO458805:MPU458805 MZK458805:MZQ458805 NJG458805:NJM458805 NTC458805:NTI458805 OCY458805:ODE458805 OMU458805:ONA458805 OWQ458805:OWW458805 PGM458805:PGS458805 PQI458805:PQO458805 QAE458805:QAK458805 QKA458805:QKG458805 QTW458805:QUC458805 RDS458805:RDY458805 RNO458805:RNU458805 RXK458805:RXQ458805 SHG458805:SHM458805 SRC458805:SRI458805 TAY458805:TBE458805 TKU458805:TLA458805 TUQ458805:TUW458805 UEM458805:UES458805 UOI458805:UOO458805 UYE458805:UYK458805 VIA458805:VIG458805 VRW458805:VSC458805 WBS458805:WBY458805 WLO458805:WLU458805 WVK458805:WVQ458805 C524341:I524341 IY524341:JE524341 SU524341:TA524341 ACQ524341:ACW524341 AMM524341:AMS524341 AWI524341:AWO524341 BGE524341:BGK524341 BQA524341:BQG524341 BZW524341:CAC524341 CJS524341:CJY524341 CTO524341:CTU524341 DDK524341:DDQ524341 DNG524341:DNM524341 DXC524341:DXI524341 EGY524341:EHE524341 EQU524341:ERA524341 FAQ524341:FAW524341 FKM524341:FKS524341 FUI524341:FUO524341 GEE524341:GEK524341 GOA524341:GOG524341 GXW524341:GYC524341 HHS524341:HHY524341 HRO524341:HRU524341 IBK524341:IBQ524341 ILG524341:ILM524341 IVC524341:IVI524341 JEY524341:JFE524341 JOU524341:JPA524341 JYQ524341:JYW524341 KIM524341:KIS524341 KSI524341:KSO524341 LCE524341:LCK524341 LMA524341:LMG524341 LVW524341:LWC524341 MFS524341:MFY524341 MPO524341:MPU524341 MZK524341:MZQ524341 NJG524341:NJM524341 NTC524341:NTI524341 OCY524341:ODE524341 OMU524341:ONA524341 OWQ524341:OWW524341 PGM524341:PGS524341 PQI524341:PQO524341 QAE524341:QAK524341 QKA524341:QKG524341 QTW524341:QUC524341 RDS524341:RDY524341 RNO524341:RNU524341 RXK524341:RXQ524341 SHG524341:SHM524341 SRC524341:SRI524341 TAY524341:TBE524341 TKU524341:TLA524341 TUQ524341:TUW524341 UEM524341:UES524341 UOI524341:UOO524341 UYE524341:UYK524341 VIA524341:VIG524341 VRW524341:VSC524341 WBS524341:WBY524341 WLO524341:WLU524341 WVK524341:WVQ524341 C589877:I589877 IY589877:JE589877 SU589877:TA589877 ACQ589877:ACW589877 AMM589877:AMS589877 AWI589877:AWO589877 BGE589877:BGK589877 BQA589877:BQG589877 BZW589877:CAC589877 CJS589877:CJY589877 CTO589877:CTU589877 DDK589877:DDQ589877 DNG589877:DNM589877 DXC589877:DXI589877 EGY589877:EHE589877 EQU589877:ERA589877 FAQ589877:FAW589877 FKM589877:FKS589877 FUI589877:FUO589877 GEE589877:GEK589877 GOA589877:GOG589877 GXW589877:GYC589877 HHS589877:HHY589877 HRO589877:HRU589877 IBK589877:IBQ589877 ILG589877:ILM589877 IVC589877:IVI589877 JEY589877:JFE589877 JOU589877:JPA589877 JYQ589877:JYW589877 KIM589877:KIS589877 KSI589877:KSO589877 LCE589877:LCK589877 LMA589877:LMG589877 LVW589877:LWC589877 MFS589877:MFY589877 MPO589877:MPU589877 MZK589877:MZQ589877 NJG589877:NJM589877 NTC589877:NTI589877 OCY589877:ODE589877 OMU589877:ONA589877 OWQ589877:OWW589877 PGM589877:PGS589877 PQI589877:PQO589877 QAE589877:QAK589877 QKA589877:QKG589877 QTW589877:QUC589877 RDS589877:RDY589877 RNO589877:RNU589877 RXK589877:RXQ589877 SHG589877:SHM589877 SRC589877:SRI589877 TAY589877:TBE589877 TKU589877:TLA589877 TUQ589877:TUW589877 UEM589877:UES589877 UOI589877:UOO589877 UYE589877:UYK589877 VIA589877:VIG589877 VRW589877:VSC589877 WBS589877:WBY589877 WLO589877:WLU589877 WVK589877:WVQ589877 C655413:I655413 IY655413:JE655413 SU655413:TA655413 ACQ655413:ACW655413 AMM655413:AMS655413 AWI655413:AWO655413 BGE655413:BGK655413 BQA655413:BQG655413 BZW655413:CAC655413 CJS655413:CJY655413 CTO655413:CTU655413 DDK655413:DDQ655413 DNG655413:DNM655413 DXC655413:DXI655413 EGY655413:EHE655413 EQU655413:ERA655413 FAQ655413:FAW655413 FKM655413:FKS655413 FUI655413:FUO655413 GEE655413:GEK655413 GOA655413:GOG655413 GXW655413:GYC655413 HHS655413:HHY655413 HRO655413:HRU655413 IBK655413:IBQ655413 ILG655413:ILM655413 IVC655413:IVI655413 JEY655413:JFE655413 JOU655413:JPA655413 JYQ655413:JYW655413 KIM655413:KIS655413 KSI655413:KSO655413 LCE655413:LCK655413 LMA655413:LMG655413 LVW655413:LWC655413 MFS655413:MFY655413 MPO655413:MPU655413 MZK655413:MZQ655413 NJG655413:NJM655413 NTC655413:NTI655413 OCY655413:ODE655413 OMU655413:ONA655413 OWQ655413:OWW655413 PGM655413:PGS655413 PQI655413:PQO655413 QAE655413:QAK655413 QKA655413:QKG655413 QTW655413:QUC655413 RDS655413:RDY655413 RNO655413:RNU655413 RXK655413:RXQ655413 SHG655413:SHM655413 SRC655413:SRI655413 TAY655413:TBE655413 TKU655413:TLA655413 TUQ655413:TUW655413 UEM655413:UES655413 UOI655413:UOO655413 UYE655413:UYK655413 VIA655413:VIG655413 VRW655413:VSC655413 WBS655413:WBY655413 WLO655413:WLU655413 WVK655413:WVQ655413 C720949:I720949 IY720949:JE720949 SU720949:TA720949 ACQ720949:ACW720949 AMM720949:AMS720949 AWI720949:AWO720949 BGE720949:BGK720949 BQA720949:BQG720949 BZW720949:CAC720949 CJS720949:CJY720949 CTO720949:CTU720949 DDK720949:DDQ720949 DNG720949:DNM720949 DXC720949:DXI720949 EGY720949:EHE720949 EQU720949:ERA720949 FAQ720949:FAW720949 FKM720949:FKS720949 FUI720949:FUO720949 GEE720949:GEK720949 GOA720949:GOG720949 GXW720949:GYC720949 HHS720949:HHY720949 HRO720949:HRU720949 IBK720949:IBQ720949 ILG720949:ILM720949 IVC720949:IVI720949 JEY720949:JFE720949 JOU720949:JPA720949 JYQ720949:JYW720949 KIM720949:KIS720949 KSI720949:KSO720949 LCE720949:LCK720949 LMA720949:LMG720949 LVW720949:LWC720949 MFS720949:MFY720949 MPO720949:MPU720949 MZK720949:MZQ720949 NJG720949:NJM720949 NTC720949:NTI720949 OCY720949:ODE720949 OMU720949:ONA720949 OWQ720949:OWW720949 PGM720949:PGS720949 PQI720949:PQO720949 QAE720949:QAK720949 QKA720949:QKG720949 QTW720949:QUC720949 RDS720949:RDY720949 RNO720949:RNU720949 RXK720949:RXQ720949 SHG720949:SHM720949 SRC720949:SRI720949 TAY720949:TBE720949 TKU720949:TLA720949 TUQ720949:TUW720949 UEM720949:UES720949 UOI720949:UOO720949 UYE720949:UYK720949 VIA720949:VIG720949 VRW720949:VSC720949 WBS720949:WBY720949 WLO720949:WLU720949 WVK720949:WVQ720949 C786485:I786485 IY786485:JE786485 SU786485:TA786485 ACQ786485:ACW786485 AMM786485:AMS786485 AWI786485:AWO786485 BGE786485:BGK786485 BQA786485:BQG786485 BZW786485:CAC786485 CJS786485:CJY786485 CTO786485:CTU786485 DDK786485:DDQ786485 DNG786485:DNM786485 DXC786485:DXI786485 EGY786485:EHE786485 EQU786485:ERA786485 FAQ786485:FAW786485 FKM786485:FKS786485 FUI786485:FUO786485 GEE786485:GEK786485 GOA786485:GOG786485 GXW786485:GYC786485 HHS786485:HHY786485 HRO786485:HRU786485 IBK786485:IBQ786485 ILG786485:ILM786485 IVC786485:IVI786485 JEY786485:JFE786485 JOU786485:JPA786485 JYQ786485:JYW786485 KIM786485:KIS786485 KSI786485:KSO786485 LCE786485:LCK786485 LMA786485:LMG786485 LVW786485:LWC786485 MFS786485:MFY786485 MPO786485:MPU786485 MZK786485:MZQ786485 NJG786485:NJM786485 NTC786485:NTI786485 OCY786485:ODE786485 OMU786485:ONA786485 OWQ786485:OWW786485 PGM786485:PGS786485 PQI786485:PQO786485 QAE786485:QAK786485 QKA786485:QKG786485 QTW786485:QUC786485 RDS786485:RDY786485 RNO786485:RNU786485 RXK786485:RXQ786485 SHG786485:SHM786485 SRC786485:SRI786485 TAY786485:TBE786485 TKU786485:TLA786485 TUQ786485:TUW786485 UEM786485:UES786485 UOI786485:UOO786485 UYE786485:UYK786485 VIA786485:VIG786485 VRW786485:VSC786485 WBS786485:WBY786485 WLO786485:WLU786485 WVK786485:WVQ786485 C852021:I852021 IY852021:JE852021 SU852021:TA852021 ACQ852021:ACW852021 AMM852021:AMS852021 AWI852021:AWO852021 BGE852021:BGK852021 BQA852021:BQG852021 BZW852021:CAC852021 CJS852021:CJY852021 CTO852021:CTU852021 DDK852021:DDQ852021 DNG852021:DNM852021 DXC852021:DXI852021 EGY852021:EHE852021 EQU852021:ERA852021 FAQ852021:FAW852021 FKM852021:FKS852021 FUI852021:FUO852021 GEE852021:GEK852021 GOA852021:GOG852021 GXW852021:GYC852021 HHS852021:HHY852021 HRO852021:HRU852021 IBK852021:IBQ852021 ILG852021:ILM852021 IVC852021:IVI852021 JEY852021:JFE852021 JOU852021:JPA852021 JYQ852021:JYW852021 KIM852021:KIS852021 KSI852021:KSO852021 LCE852021:LCK852021 LMA852021:LMG852021 LVW852021:LWC852021 MFS852021:MFY852021 MPO852021:MPU852021 MZK852021:MZQ852021 NJG852021:NJM852021 NTC852021:NTI852021 OCY852021:ODE852021 OMU852021:ONA852021 OWQ852021:OWW852021 PGM852021:PGS852021 PQI852021:PQO852021 QAE852021:QAK852021 QKA852021:QKG852021 QTW852021:QUC852021 RDS852021:RDY852021 RNO852021:RNU852021 RXK852021:RXQ852021 SHG852021:SHM852021 SRC852021:SRI852021 TAY852021:TBE852021 TKU852021:TLA852021 TUQ852021:TUW852021 UEM852021:UES852021 UOI852021:UOO852021 UYE852021:UYK852021 VIA852021:VIG852021 VRW852021:VSC852021 WBS852021:WBY852021 WLO852021:WLU852021 WVK852021:WVQ852021 C917557:I917557 IY917557:JE917557 SU917557:TA917557 ACQ917557:ACW917557 AMM917557:AMS917557 AWI917557:AWO917557 BGE917557:BGK917557 BQA917557:BQG917557 BZW917557:CAC917557 CJS917557:CJY917557 CTO917557:CTU917557 DDK917557:DDQ917557 DNG917557:DNM917557 DXC917557:DXI917557 EGY917557:EHE917557 EQU917557:ERA917557 FAQ917557:FAW917557 FKM917557:FKS917557 FUI917557:FUO917557 GEE917557:GEK917557 GOA917557:GOG917557 GXW917557:GYC917557 HHS917557:HHY917557 HRO917557:HRU917557 IBK917557:IBQ917557 ILG917557:ILM917557 IVC917557:IVI917557 JEY917557:JFE917557 JOU917557:JPA917557 JYQ917557:JYW917557 KIM917557:KIS917557 KSI917557:KSO917557 LCE917557:LCK917557 LMA917557:LMG917557 LVW917557:LWC917557 MFS917557:MFY917557 MPO917557:MPU917557 MZK917557:MZQ917557 NJG917557:NJM917557 NTC917557:NTI917557 OCY917557:ODE917557 OMU917557:ONA917557 OWQ917557:OWW917557 PGM917557:PGS917557 PQI917557:PQO917557 QAE917557:QAK917557 QKA917557:QKG917557 QTW917557:QUC917557 RDS917557:RDY917557 RNO917557:RNU917557 RXK917557:RXQ917557 SHG917557:SHM917557 SRC917557:SRI917557 TAY917557:TBE917557 TKU917557:TLA917557 TUQ917557:TUW917557 UEM917557:UES917557 UOI917557:UOO917557 UYE917557:UYK917557 VIA917557:VIG917557 VRW917557:VSC917557 WBS917557:WBY917557 WLO917557:WLU917557 WVK917557:WVQ917557 C983093:I983093 IY983093:JE983093 SU983093:TA983093 ACQ983093:ACW983093 AMM983093:AMS983093 AWI983093:AWO983093 BGE983093:BGK983093 BQA983093:BQG983093 BZW983093:CAC983093 CJS983093:CJY983093 CTO983093:CTU983093 DDK983093:DDQ983093 DNG983093:DNM983093 DXC983093:DXI983093 EGY983093:EHE983093 EQU983093:ERA983093 FAQ983093:FAW983093 FKM983093:FKS983093 FUI983093:FUO983093 GEE983093:GEK983093 GOA983093:GOG983093 GXW983093:GYC983093 HHS983093:HHY983093 HRO983093:HRU983093 IBK983093:IBQ983093 ILG983093:ILM983093 IVC983093:IVI983093 JEY983093:JFE983093 JOU983093:JPA983093 JYQ983093:JYW983093 KIM983093:KIS983093 KSI983093:KSO983093 LCE983093:LCK983093 LMA983093:LMG983093 LVW983093:LWC983093 MFS983093:MFY983093 MPO983093:MPU983093 MZK983093:MZQ983093 NJG983093:NJM983093 NTC983093:NTI983093 OCY983093:ODE983093 OMU983093:ONA983093 OWQ983093:OWW983093 PGM983093:PGS983093 PQI983093:PQO983093 QAE983093:QAK983093 QKA983093:QKG983093 QTW983093:QUC983093 RDS983093:RDY983093 RNO983093:RNU983093 RXK983093:RXQ983093 SHG983093:SHM983093 SRC983093:SRI983093 TAY983093:TBE983093 TKU983093:TLA983093 TUQ983093:TUW983093 UEM983093:UES983093 UOI983093:UOO983093 UYE983093:UYK983093 VIA983093:VIG983093 VRW983093:VSC983093 WBS983093:WBY983093 WLO983093:WLU983093 WVK983093:WVQ983093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sheetPr>
  <dimension ref="A1:BN104"/>
  <sheetViews>
    <sheetView showGridLines="0" view="pageBreakPreview" topLeftCell="A4" zoomScale="50" zoomScaleNormal="50" zoomScaleSheetLayoutView="50" workbookViewId="0"/>
  </sheetViews>
  <sheetFormatPr defaultColWidth="8.77734375" defaultRowHeight="13.2"/>
  <cols>
    <col min="1" max="66" width="3.77734375" style="10" customWidth="1" collapsed="1"/>
    <col min="67" max="16384" width="8.77734375" style="10" collapsed="1"/>
  </cols>
  <sheetData>
    <row r="1" spans="1:66">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c r="AA1" s="110"/>
      <c r="AB1" s="110"/>
      <c r="AC1" s="110"/>
      <c r="AD1" s="110"/>
      <c r="AE1" s="110"/>
      <c r="AF1" s="110"/>
      <c r="AG1" s="110"/>
      <c r="AH1" s="110"/>
      <c r="AI1" s="110"/>
      <c r="AJ1" s="110"/>
      <c r="AK1" s="110"/>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10"/>
    </row>
    <row r="2" spans="1:66" ht="19.2">
      <c r="A2" s="663" t="s">
        <v>253</v>
      </c>
      <c r="B2" s="663"/>
      <c r="C2" s="663"/>
      <c r="D2" s="663"/>
      <c r="E2" s="663"/>
      <c r="F2" s="663"/>
      <c r="G2" s="663"/>
      <c r="H2" s="663"/>
      <c r="I2" s="663"/>
      <c r="J2" s="663"/>
      <c r="K2" s="663"/>
      <c r="L2" s="663"/>
      <c r="M2" s="663"/>
      <c r="N2" s="663"/>
      <c r="O2" s="663"/>
      <c r="P2" s="663"/>
      <c r="Q2" s="663"/>
      <c r="R2" s="663"/>
      <c r="S2" s="663"/>
      <c r="T2" s="663"/>
      <c r="U2" s="663"/>
      <c r="V2" s="663"/>
      <c r="W2" s="663"/>
      <c r="X2" s="663"/>
      <c r="Y2" s="663"/>
      <c r="Z2" s="663"/>
      <c r="AA2" s="110"/>
      <c r="AB2" s="110"/>
      <c r="AC2" s="110"/>
      <c r="AD2" s="110"/>
      <c r="AE2" s="110"/>
      <c r="AF2" s="110"/>
      <c r="AG2" s="110"/>
      <c r="AH2" s="110"/>
      <c r="AI2" s="110"/>
      <c r="AJ2" s="110"/>
      <c r="AK2" s="110"/>
      <c r="AL2" s="110"/>
      <c r="AM2" s="110"/>
      <c r="AN2" s="110"/>
      <c r="AO2" s="110"/>
      <c r="AP2" s="110"/>
      <c r="AQ2" s="110"/>
      <c r="AR2" s="110"/>
      <c r="AS2" s="110"/>
      <c r="AT2" s="110"/>
      <c r="AU2" s="110"/>
      <c r="AV2" s="110"/>
      <c r="AW2" s="110"/>
      <c r="AX2" s="110"/>
      <c r="AY2" s="110"/>
      <c r="AZ2" s="110"/>
      <c r="BA2" s="110"/>
      <c r="BB2" s="110"/>
      <c r="BC2" s="110"/>
      <c r="BD2" s="110"/>
      <c r="BE2" s="110"/>
      <c r="BF2" s="110"/>
      <c r="BG2" s="110"/>
      <c r="BH2" s="110"/>
      <c r="BI2" s="110"/>
      <c r="BJ2" s="110"/>
      <c r="BK2" s="110"/>
      <c r="BL2" s="110"/>
      <c r="BM2" s="110"/>
      <c r="BN2" s="110"/>
    </row>
    <row r="3" spans="1:66" ht="19.2">
      <c r="A3" s="111"/>
      <c r="B3" s="111"/>
      <c r="C3" s="111"/>
      <c r="D3" s="111"/>
      <c r="E3" s="111"/>
      <c r="F3" s="111"/>
      <c r="G3" s="111"/>
      <c r="H3" s="111"/>
      <c r="I3" s="111"/>
      <c r="J3" s="111"/>
      <c r="K3" s="111"/>
      <c r="L3" s="111"/>
      <c r="M3" s="111"/>
      <c r="N3" s="111"/>
      <c r="O3" s="111"/>
      <c r="P3" s="111"/>
      <c r="Q3" s="111"/>
      <c r="R3" s="111"/>
      <c r="S3" s="111"/>
      <c r="T3" s="111"/>
      <c r="U3" s="111"/>
      <c r="V3" s="111"/>
      <c r="W3" s="111"/>
      <c r="X3" s="111"/>
      <c r="Y3" s="111"/>
      <c r="Z3" s="111"/>
      <c r="AA3" s="110"/>
      <c r="AB3" s="110"/>
      <c r="AC3" s="110"/>
      <c r="AD3" s="110"/>
      <c r="AE3" s="110"/>
      <c r="AF3" s="110"/>
      <c r="AG3" s="110"/>
      <c r="AH3" s="110"/>
      <c r="AI3" s="110"/>
      <c r="AJ3" s="110"/>
      <c r="AK3" s="110"/>
      <c r="AL3" s="110"/>
      <c r="AM3" s="110"/>
      <c r="AN3" s="110"/>
      <c r="AO3" s="110"/>
      <c r="AP3" s="110"/>
      <c r="AQ3" s="110"/>
      <c r="AR3" s="110"/>
      <c r="AS3" s="110"/>
      <c r="AT3" s="110"/>
      <c r="AU3" s="110"/>
      <c r="AV3" s="110"/>
      <c r="AW3" s="110"/>
      <c r="AX3" s="110"/>
      <c r="AY3" s="110"/>
      <c r="AZ3" s="110"/>
      <c r="BA3" s="110"/>
      <c r="BB3" s="110"/>
      <c r="BC3" s="110"/>
      <c r="BD3" s="110"/>
      <c r="BE3" s="110"/>
      <c r="BF3" s="110"/>
      <c r="BG3" s="110"/>
      <c r="BH3" s="110"/>
      <c r="BI3" s="110"/>
      <c r="BJ3" s="110"/>
      <c r="BK3" s="110"/>
      <c r="BL3" s="110"/>
      <c r="BM3" s="110"/>
      <c r="BN3" s="110"/>
    </row>
    <row r="4" spans="1:66" ht="19.2">
      <c r="A4" s="111"/>
      <c r="B4" s="111"/>
      <c r="C4" s="111"/>
      <c r="D4" s="111"/>
      <c r="E4" s="111"/>
      <c r="F4" s="111"/>
      <c r="G4" s="111"/>
      <c r="H4" s="111"/>
      <c r="I4" s="111"/>
      <c r="J4" s="111"/>
      <c r="K4" s="111"/>
      <c r="L4" s="111"/>
      <c r="M4" s="111"/>
      <c r="N4" s="111"/>
      <c r="O4" s="111"/>
      <c r="P4" s="111"/>
      <c r="Q4" s="111"/>
      <c r="R4" s="111"/>
      <c r="S4" s="111"/>
      <c r="T4" s="111"/>
      <c r="U4" s="111"/>
      <c r="V4" s="111"/>
      <c r="W4" s="111"/>
      <c r="X4" s="111"/>
      <c r="Y4" s="111"/>
      <c r="Z4" s="111"/>
      <c r="AA4" s="110"/>
      <c r="AB4" s="110"/>
      <c r="AC4" s="110"/>
      <c r="AD4" s="110"/>
      <c r="AE4" s="110"/>
      <c r="AF4" s="110"/>
      <c r="AG4" s="110"/>
      <c r="AH4" s="110"/>
      <c r="AI4" s="110"/>
      <c r="AJ4" s="110"/>
      <c r="AK4" s="110"/>
      <c r="AL4" s="110"/>
      <c r="AM4" s="110"/>
      <c r="AN4" s="110"/>
      <c r="AO4" s="110"/>
      <c r="AP4" s="110"/>
      <c r="AQ4" s="110"/>
      <c r="AR4" s="110"/>
      <c r="AS4" s="110"/>
      <c r="AT4" s="110"/>
      <c r="AU4" s="110"/>
      <c r="AV4" s="110"/>
      <c r="AW4" s="110"/>
      <c r="AX4" s="110"/>
      <c r="AY4" s="110"/>
      <c r="AZ4" s="110"/>
      <c r="BA4" s="110"/>
      <c r="BB4" s="110"/>
      <c r="BC4" s="110"/>
      <c r="BD4" s="110"/>
      <c r="BE4" s="110"/>
      <c r="BF4" s="110"/>
      <c r="BG4" s="110"/>
      <c r="BH4" s="110"/>
      <c r="BI4" s="110"/>
      <c r="BJ4" s="110"/>
      <c r="BK4" s="110"/>
      <c r="BL4" s="110"/>
      <c r="BM4" s="110"/>
      <c r="BN4" s="110"/>
    </row>
    <row r="5" spans="1:66" ht="19.2">
      <c r="A5" s="111"/>
      <c r="B5" s="111"/>
      <c r="C5" s="111"/>
      <c r="D5" s="111"/>
      <c r="E5" s="111"/>
      <c r="F5" s="111"/>
      <c r="G5" s="111"/>
      <c r="H5" s="111"/>
      <c r="I5" s="111"/>
      <c r="J5" s="111"/>
      <c r="K5" s="111"/>
      <c r="L5" s="111"/>
      <c r="M5" s="111"/>
      <c r="N5" s="111"/>
      <c r="O5" s="111"/>
      <c r="P5" s="111"/>
      <c r="Q5" s="111"/>
      <c r="R5" s="111"/>
      <c r="S5" s="111"/>
      <c r="T5" s="111"/>
      <c r="U5" s="111"/>
      <c r="V5" s="111"/>
      <c r="W5" s="111"/>
      <c r="X5" s="111"/>
      <c r="Y5" s="111"/>
      <c r="Z5" s="111"/>
      <c r="AA5" s="110"/>
      <c r="AB5" s="110"/>
      <c r="AC5" s="110"/>
      <c r="AD5" s="110"/>
      <c r="AE5" s="110"/>
      <c r="AF5" s="110"/>
      <c r="AG5" s="110"/>
      <c r="AH5" s="110"/>
      <c r="AI5" s="110"/>
      <c r="AJ5" s="110"/>
      <c r="AK5" s="110"/>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row>
    <row r="6" spans="1:66" ht="19.2">
      <c r="A6" s="111"/>
      <c r="B6" s="111"/>
      <c r="C6" s="111"/>
      <c r="D6" s="111"/>
      <c r="E6" s="111"/>
      <c r="F6" s="111"/>
      <c r="G6" s="111"/>
      <c r="H6" s="111"/>
      <c r="I6" s="111"/>
      <c r="J6" s="111"/>
      <c r="K6" s="111"/>
      <c r="L6" s="111"/>
      <c r="M6" s="111"/>
      <c r="N6" s="111"/>
      <c r="O6" s="111"/>
      <c r="P6" s="111"/>
      <c r="Q6" s="111"/>
      <c r="R6" s="111"/>
      <c r="S6" s="111"/>
      <c r="T6" s="111"/>
      <c r="U6" s="111"/>
      <c r="V6" s="111"/>
      <c r="W6" s="111"/>
      <c r="X6" s="111"/>
      <c r="Y6" s="111"/>
      <c r="Z6" s="111"/>
      <c r="AA6" s="110"/>
      <c r="AB6" s="110"/>
      <c r="AC6" s="110"/>
      <c r="AD6" s="110"/>
      <c r="AE6" s="110"/>
      <c r="AF6" s="110"/>
      <c r="AG6" s="110"/>
      <c r="AH6" s="110"/>
      <c r="AI6" s="110"/>
      <c r="AJ6" s="110"/>
      <c r="AK6" s="110"/>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row>
    <row r="7" spans="1:66">
      <c r="A7" s="110"/>
      <c r="B7" s="110"/>
      <c r="C7" s="110"/>
      <c r="D7" s="110"/>
      <c r="E7" s="110"/>
      <c r="F7" s="110"/>
      <c r="G7" s="110"/>
      <c r="H7" s="110"/>
      <c r="I7" s="110"/>
      <c r="J7" s="110"/>
      <c r="K7" s="110"/>
      <c r="L7" s="110"/>
      <c r="M7" s="110"/>
      <c r="N7" s="110"/>
      <c r="O7" s="110"/>
      <c r="P7" s="110"/>
      <c r="Q7" s="110"/>
      <c r="R7" s="110"/>
      <c r="S7" s="110"/>
      <c r="T7" s="110"/>
      <c r="U7" s="110"/>
      <c r="V7" s="110"/>
      <c r="W7" s="110"/>
      <c r="X7" s="110"/>
      <c r="Y7" s="110"/>
      <c r="Z7" s="110"/>
      <c r="AA7" s="110"/>
      <c r="AB7" s="110"/>
      <c r="AC7" s="110"/>
      <c r="AD7" s="110"/>
      <c r="AE7" s="110"/>
      <c r="AF7" s="110"/>
      <c r="AG7" s="110"/>
      <c r="AH7" s="110"/>
      <c r="AI7" s="110"/>
      <c r="AJ7" s="110"/>
      <c r="AK7" s="11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row>
    <row r="8" spans="1:66">
      <c r="A8" s="110"/>
      <c r="B8" s="110"/>
      <c r="C8" s="110"/>
      <c r="D8" s="110"/>
      <c r="E8" s="110"/>
      <c r="F8" s="110"/>
      <c r="G8" s="110"/>
      <c r="H8" s="110"/>
      <c r="I8" s="110"/>
      <c r="J8" s="110"/>
      <c r="K8" s="110"/>
      <c r="L8" s="110"/>
      <c r="M8" s="110"/>
      <c r="N8" s="110"/>
      <c r="O8" s="110"/>
      <c r="P8" s="110"/>
      <c r="Q8" s="110"/>
      <c r="R8" s="110"/>
      <c r="S8" s="110"/>
      <c r="T8" s="110"/>
      <c r="U8" s="110"/>
      <c r="V8" s="110"/>
      <c r="W8" s="110"/>
      <c r="X8" s="110"/>
      <c r="Y8" s="110"/>
      <c r="Z8" s="110"/>
      <c r="AA8" s="110"/>
      <c r="AB8" s="110"/>
      <c r="AC8" s="110"/>
      <c r="AD8" s="110"/>
      <c r="AE8" s="110"/>
      <c r="AF8" s="110"/>
      <c r="AG8" s="110"/>
      <c r="AH8" s="110"/>
      <c r="AI8" s="110"/>
      <c r="AJ8" s="110"/>
      <c r="AK8" s="110"/>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row>
    <row r="9" spans="1:66">
      <c r="A9" s="110"/>
      <c r="B9" s="110"/>
      <c r="C9" s="110"/>
      <c r="D9" s="110"/>
      <c r="E9" s="110"/>
      <c r="F9" s="110"/>
      <c r="G9" s="110"/>
      <c r="H9" s="110"/>
      <c r="I9" s="110"/>
      <c r="J9" s="110"/>
      <c r="K9" s="110"/>
      <c r="L9" s="110"/>
      <c r="M9" s="110"/>
      <c r="N9" s="110"/>
      <c r="O9" s="110"/>
      <c r="P9" s="110"/>
      <c r="Q9" s="110"/>
      <c r="R9" s="110"/>
      <c r="S9" s="110"/>
      <c r="T9" s="110"/>
      <c r="U9" s="110"/>
      <c r="V9" s="110"/>
      <c r="W9" s="110"/>
      <c r="X9" s="110"/>
      <c r="Y9" s="110"/>
      <c r="Z9" s="110"/>
      <c r="AA9" s="110"/>
      <c r="AB9" s="110"/>
      <c r="AC9" s="110"/>
      <c r="AD9" s="110"/>
      <c r="AE9" s="110"/>
      <c r="AF9" s="110"/>
      <c r="AG9" s="110"/>
      <c r="AH9" s="110"/>
      <c r="AI9" s="110"/>
      <c r="AJ9" s="110"/>
      <c r="AK9" s="110"/>
      <c r="AL9" s="110"/>
      <c r="AM9" s="110"/>
      <c r="AN9" s="110"/>
      <c r="AO9" s="110"/>
      <c r="AP9" s="110"/>
      <c r="AQ9" s="110"/>
      <c r="AR9" s="110"/>
      <c r="AS9" s="110"/>
      <c r="AT9" s="110"/>
      <c r="AU9" s="110"/>
      <c r="AV9" s="110"/>
      <c r="AW9" s="110"/>
      <c r="AX9" s="110"/>
      <c r="AY9" s="110"/>
      <c r="AZ9" s="110"/>
      <c r="BA9" s="110"/>
      <c r="BB9" s="110"/>
      <c r="BC9" s="110"/>
      <c r="BD9" s="110"/>
      <c r="BE9" s="110"/>
      <c r="BF9" s="110"/>
      <c r="BG9" s="110"/>
      <c r="BH9" s="110"/>
      <c r="BI9" s="110"/>
      <c r="BJ9" s="110"/>
      <c r="BK9" s="110"/>
      <c r="BL9" s="110"/>
      <c r="BM9" s="110"/>
      <c r="BN9" s="110"/>
    </row>
    <row r="10" spans="1:66">
      <c r="A10" s="110"/>
      <c r="B10" s="110"/>
      <c r="C10" s="110"/>
      <c r="D10" s="110"/>
      <c r="E10" s="110"/>
      <c r="F10" s="110"/>
      <c r="G10" s="110"/>
      <c r="H10" s="110"/>
      <c r="I10" s="110"/>
      <c r="J10" s="110"/>
      <c r="K10" s="110"/>
      <c r="L10" s="110"/>
      <c r="M10" s="110"/>
      <c r="N10" s="110"/>
      <c r="O10" s="110"/>
      <c r="P10" s="110"/>
      <c r="Q10" s="110"/>
      <c r="R10" s="110"/>
      <c r="S10" s="110"/>
      <c r="T10" s="110"/>
      <c r="U10" s="110"/>
      <c r="V10" s="110"/>
      <c r="W10" s="110"/>
      <c r="X10" s="110"/>
      <c r="Y10" s="110"/>
      <c r="Z10" s="110"/>
      <c r="AA10" s="110"/>
      <c r="AB10" s="110"/>
      <c r="AC10" s="110"/>
      <c r="AD10" s="110"/>
      <c r="AE10" s="110"/>
      <c r="AF10" s="110"/>
      <c r="AG10" s="110"/>
      <c r="AH10" s="110"/>
      <c r="AI10" s="110"/>
      <c r="AJ10" s="110"/>
      <c r="AK10" s="110"/>
      <c r="AL10" s="110"/>
      <c r="AM10" s="110"/>
      <c r="AN10" s="110"/>
      <c r="AO10" s="110"/>
      <c r="AP10" s="110"/>
      <c r="AQ10" s="110"/>
      <c r="AR10" s="110"/>
      <c r="AS10" s="110"/>
      <c r="AT10" s="110"/>
      <c r="AU10" s="110"/>
      <c r="AV10" s="110"/>
      <c r="AW10" s="110"/>
      <c r="AX10" s="110"/>
      <c r="AY10" s="110"/>
      <c r="AZ10" s="110"/>
      <c r="BA10" s="110"/>
      <c r="BB10" s="110"/>
      <c r="BC10" s="110"/>
      <c r="BD10" s="110"/>
      <c r="BE10" s="110"/>
      <c r="BF10" s="110"/>
      <c r="BG10" s="110"/>
      <c r="BH10" s="110"/>
      <c r="BI10" s="110"/>
      <c r="BJ10" s="110"/>
      <c r="BK10" s="110"/>
      <c r="BL10" s="110"/>
      <c r="BM10" s="110"/>
      <c r="BN10" s="110"/>
    </row>
    <row r="11" spans="1:66" ht="33">
      <c r="A11" s="780" t="s">
        <v>254</v>
      </c>
      <c r="B11" s="780"/>
      <c r="C11" s="780"/>
      <c r="D11" s="780"/>
      <c r="E11" s="780"/>
      <c r="F11" s="780"/>
      <c r="G11" s="780"/>
      <c r="H11" s="780"/>
      <c r="I11" s="780"/>
      <c r="J11" s="780"/>
      <c r="K11" s="780"/>
      <c r="L11" s="780"/>
      <c r="M11" s="780"/>
      <c r="N11" s="780"/>
      <c r="O11" s="780"/>
      <c r="P11" s="780"/>
      <c r="Q11" s="780"/>
      <c r="R11" s="780"/>
      <c r="S11" s="780"/>
      <c r="T11" s="780"/>
      <c r="U11" s="780"/>
      <c r="V11" s="780"/>
      <c r="W11" s="780"/>
      <c r="X11" s="780"/>
      <c r="Y11" s="780"/>
      <c r="Z11" s="780"/>
      <c r="AA11" s="780"/>
      <c r="AB11" s="780"/>
      <c r="AC11" s="780"/>
      <c r="AD11" s="780"/>
      <c r="AE11" s="780"/>
      <c r="AF11" s="780"/>
      <c r="AG11" s="780"/>
      <c r="AH11" s="780"/>
      <c r="AI11" s="780"/>
      <c r="AJ11" s="780"/>
      <c r="AK11" s="780"/>
      <c r="AL11" s="780"/>
      <c r="AM11" s="780"/>
      <c r="AN11" s="780"/>
      <c r="AO11" s="780"/>
      <c r="AP11" s="780"/>
      <c r="AQ11" s="780"/>
      <c r="AR11" s="780"/>
      <c r="AS11" s="780"/>
      <c r="AT11" s="780"/>
      <c r="AU11" s="780"/>
      <c r="AV11" s="780"/>
      <c r="AW11" s="780"/>
      <c r="AX11" s="780"/>
      <c r="AY11" s="780"/>
      <c r="AZ11" s="780"/>
      <c r="BA11" s="780"/>
      <c r="BB11" s="780"/>
      <c r="BC11" s="780"/>
      <c r="BD11" s="780"/>
      <c r="BE11" s="780"/>
      <c r="BF11" s="780"/>
      <c r="BG11" s="780"/>
      <c r="BH11" s="780"/>
      <c r="BI11" s="780"/>
      <c r="BJ11" s="780"/>
      <c r="BK11" s="780"/>
      <c r="BL11" s="780"/>
      <c r="BM11" s="110"/>
      <c r="BN11" s="110"/>
    </row>
    <row r="12" spans="1:66" ht="30">
      <c r="A12" s="112"/>
      <c r="B12" s="112"/>
      <c r="C12" s="112"/>
      <c r="D12" s="112"/>
      <c r="E12" s="112"/>
      <c r="F12" s="112"/>
      <c r="G12" s="112"/>
      <c r="H12" s="112"/>
      <c r="I12" s="112"/>
      <c r="J12" s="112"/>
      <c r="K12" s="112"/>
      <c r="L12" s="112"/>
      <c r="M12" s="112"/>
      <c r="N12" s="112"/>
      <c r="O12" s="112"/>
      <c r="P12" s="112"/>
      <c r="Q12" s="112"/>
      <c r="R12" s="112"/>
      <c r="S12" s="112"/>
      <c r="T12" s="112"/>
      <c r="U12" s="112"/>
      <c r="V12" s="112"/>
      <c r="W12" s="112"/>
      <c r="X12" s="112"/>
      <c r="Y12" s="112"/>
      <c r="Z12" s="112"/>
      <c r="AA12" s="112"/>
      <c r="AB12" s="112"/>
      <c r="AC12" s="112"/>
      <c r="AD12" s="112"/>
      <c r="AE12" s="112"/>
      <c r="AF12" s="112"/>
      <c r="AG12" s="112"/>
      <c r="AH12" s="112"/>
      <c r="AI12" s="112"/>
      <c r="AJ12" s="112"/>
      <c r="AK12" s="112"/>
      <c r="AL12" s="112"/>
      <c r="AM12" s="112"/>
      <c r="AN12" s="112"/>
      <c r="AO12" s="112"/>
      <c r="AP12" s="112"/>
      <c r="AQ12" s="112"/>
      <c r="AR12" s="112"/>
      <c r="AS12" s="112"/>
      <c r="AT12" s="112"/>
      <c r="AU12" s="112"/>
      <c r="AV12" s="112"/>
      <c r="AW12" s="112"/>
      <c r="AX12" s="112"/>
      <c r="AY12" s="112"/>
      <c r="AZ12" s="112"/>
      <c r="BA12" s="112"/>
      <c r="BB12" s="112"/>
      <c r="BC12" s="112"/>
      <c r="BD12" s="112"/>
      <c r="BE12" s="112"/>
      <c r="BF12" s="112"/>
      <c r="BG12" s="112"/>
      <c r="BH12" s="112"/>
      <c r="BI12" s="112"/>
      <c r="BJ12" s="112"/>
      <c r="BK12" s="112"/>
      <c r="BL12" s="112"/>
      <c r="BM12" s="110"/>
      <c r="BN12" s="110"/>
    </row>
    <row r="13" spans="1:66" ht="30">
      <c r="A13" s="112"/>
      <c r="B13" s="112"/>
      <c r="C13" s="112"/>
      <c r="D13" s="112"/>
      <c r="E13" s="112"/>
      <c r="F13" s="112"/>
      <c r="G13" s="112"/>
      <c r="H13" s="112"/>
      <c r="I13" s="112"/>
      <c r="J13" s="112"/>
      <c r="K13" s="112"/>
      <c r="L13" s="112"/>
      <c r="M13" s="112"/>
      <c r="N13" s="112"/>
      <c r="O13" s="112"/>
      <c r="P13" s="112"/>
      <c r="Q13" s="112"/>
      <c r="R13" s="112"/>
      <c r="S13" s="112"/>
      <c r="T13" s="112"/>
      <c r="U13" s="112"/>
      <c r="V13" s="112"/>
      <c r="W13" s="112"/>
      <c r="X13" s="112"/>
      <c r="Y13" s="112"/>
      <c r="Z13" s="112"/>
      <c r="AA13" s="112"/>
      <c r="AB13" s="112"/>
      <c r="AC13" s="112"/>
      <c r="AD13" s="112"/>
      <c r="AE13" s="112"/>
      <c r="AF13" s="112"/>
      <c r="AG13" s="112"/>
      <c r="AH13" s="112"/>
      <c r="AI13" s="112"/>
      <c r="AJ13" s="112"/>
      <c r="AK13" s="112"/>
      <c r="AL13" s="112"/>
      <c r="AM13" s="112"/>
      <c r="AN13" s="112"/>
      <c r="AO13" s="112"/>
      <c r="AP13" s="112"/>
      <c r="AQ13" s="112"/>
      <c r="AR13" s="112"/>
      <c r="AS13" s="112"/>
      <c r="AT13" s="112"/>
      <c r="AU13" s="112"/>
      <c r="AV13" s="112"/>
      <c r="AW13" s="112"/>
      <c r="AX13" s="112"/>
      <c r="AY13" s="112"/>
      <c r="AZ13" s="112"/>
      <c r="BA13" s="112"/>
      <c r="BB13" s="112"/>
      <c r="BC13" s="112"/>
      <c r="BD13" s="112"/>
      <c r="BE13" s="112"/>
      <c r="BF13" s="112"/>
      <c r="BG13" s="112"/>
      <c r="BH13" s="112"/>
      <c r="BI13" s="112"/>
      <c r="BJ13" s="112"/>
      <c r="BK13" s="112"/>
      <c r="BL13" s="112"/>
      <c r="BM13" s="110"/>
      <c r="BN13" s="110"/>
    </row>
    <row r="14" spans="1:66">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c r="AA14" s="110"/>
      <c r="AB14" s="110"/>
      <c r="AC14" s="110"/>
      <c r="AD14" s="110"/>
      <c r="AE14" s="110"/>
      <c r="AF14" s="110"/>
      <c r="AG14" s="110"/>
      <c r="AH14" s="110"/>
      <c r="AI14" s="110"/>
      <c r="AJ14" s="110"/>
      <c r="AK14" s="110"/>
      <c r="AL14" s="110"/>
      <c r="AM14" s="110"/>
      <c r="AN14" s="110"/>
      <c r="AO14" s="110"/>
      <c r="AP14" s="110"/>
      <c r="AQ14" s="110"/>
      <c r="AR14" s="110"/>
      <c r="AS14" s="110"/>
      <c r="AT14" s="110"/>
      <c r="AU14" s="110"/>
      <c r="AV14" s="110"/>
      <c r="AW14" s="110"/>
      <c r="AX14" s="110"/>
      <c r="AY14" s="110"/>
      <c r="AZ14" s="110"/>
      <c r="BA14" s="110"/>
      <c r="BB14" s="110"/>
      <c r="BC14" s="110"/>
      <c r="BD14" s="110"/>
      <c r="BE14" s="110"/>
      <c r="BF14" s="110"/>
      <c r="BG14" s="110"/>
      <c r="BH14" s="110"/>
      <c r="BI14" s="110"/>
      <c r="BJ14" s="110"/>
      <c r="BK14" s="110"/>
      <c r="BL14" s="110"/>
      <c r="BM14" s="110"/>
      <c r="BN14" s="110"/>
    </row>
    <row r="15" spans="1:66">
      <c r="A15" s="110"/>
      <c r="B15" s="110"/>
      <c r="C15" s="110"/>
      <c r="D15" s="110"/>
      <c r="E15" s="110"/>
      <c r="F15" s="110"/>
      <c r="G15" s="110"/>
      <c r="H15" s="110"/>
      <c r="I15" s="110"/>
      <c r="J15" s="110"/>
      <c r="K15" s="110"/>
      <c r="L15" s="110"/>
      <c r="M15" s="110"/>
      <c r="N15" s="110"/>
      <c r="O15" s="110"/>
      <c r="P15" s="110"/>
      <c r="Q15" s="110"/>
      <c r="R15" s="110"/>
      <c r="S15" s="110"/>
      <c r="T15" s="110"/>
      <c r="U15" s="110"/>
      <c r="V15" s="110"/>
      <c r="W15" s="110"/>
      <c r="X15" s="110"/>
      <c r="Y15" s="110"/>
      <c r="Z15" s="110"/>
      <c r="AA15" s="110"/>
      <c r="AB15" s="110"/>
      <c r="AC15" s="110"/>
      <c r="AD15" s="110"/>
      <c r="AE15" s="110"/>
      <c r="AF15" s="110"/>
      <c r="AG15" s="110"/>
      <c r="AH15" s="110"/>
      <c r="AI15" s="110"/>
      <c r="AJ15" s="110"/>
      <c r="AK15" s="110"/>
      <c r="AL15" s="110"/>
      <c r="AM15" s="110"/>
      <c r="AN15" s="110"/>
      <c r="AO15" s="110"/>
      <c r="AP15" s="110"/>
      <c r="AQ15" s="110"/>
      <c r="AR15" s="110"/>
      <c r="AS15" s="110"/>
      <c r="AT15" s="110"/>
      <c r="AU15" s="110"/>
      <c r="AV15" s="110"/>
      <c r="AW15" s="110"/>
      <c r="AX15" s="110"/>
      <c r="AY15" s="110"/>
      <c r="AZ15" s="110"/>
      <c r="BA15" s="110"/>
      <c r="BB15" s="110"/>
      <c r="BC15" s="110"/>
      <c r="BD15" s="110"/>
      <c r="BE15" s="110"/>
      <c r="BF15" s="110"/>
      <c r="BG15" s="110"/>
      <c r="BH15" s="110"/>
      <c r="BI15" s="110"/>
      <c r="BJ15" s="110"/>
      <c r="BK15" s="110"/>
      <c r="BL15" s="110"/>
      <c r="BM15" s="110"/>
      <c r="BN15" s="110"/>
    </row>
    <row r="16" spans="1:66" ht="26.4" customHeight="1">
      <c r="A16" s="663" t="s">
        <v>255</v>
      </c>
      <c r="B16" s="663"/>
      <c r="C16" s="663"/>
      <c r="D16" s="663"/>
      <c r="E16" s="663"/>
      <c r="F16" s="663"/>
      <c r="G16" s="663"/>
      <c r="H16" s="663"/>
      <c r="I16" s="663"/>
      <c r="J16" s="663"/>
      <c r="K16" s="663"/>
      <c r="L16" s="663"/>
      <c r="M16" s="663"/>
      <c r="N16" s="663"/>
      <c r="O16" s="663"/>
      <c r="P16" s="663"/>
      <c r="Q16" s="663"/>
      <c r="R16" s="663"/>
      <c r="S16" s="663"/>
      <c r="T16" s="663"/>
      <c r="U16" s="663"/>
      <c r="V16" s="663"/>
      <c r="W16" s="663"/>
      <c r="X16" s="663"/>
      <c r="Y16" s="663"/>
      <c r="Z16" s="663"/>
      <c r="AA16" s="663"/>
      <c r="AB16" s="663"/>
      <c r="AC16" s="663"/>
      <c r="AD16" s="663"/>
      <c r="AE16" s="663"/>
      <c r="AF16" s="663"/>
      <c r="AG16" s="663"/>
      <c r="AH16" s="663"/>
      <c r="AI16" s="663"/>
      <c r="AJ16" s="663"/>
      <c r="AK16" s="663"/>
      <c r="AL16" s="663"/>
      <c r="AM16" s="663"/>
      <c r="AN16" s="663"/>
      <c r="AO16" s="663"/>
      <c r="AP16" s="663"/>
      <c r="AQ16" s="663"/>
      <c r="AR16" s="663"/>
      <c r="AS16" s="663"/>
      <c r="AT16" s="110"/>
      <c r="AU16" s="110"/>
      <c r="AV16" s="110"/>
      <c r="AW16" s="110"/>
      <c r="AX16" s="110"/>
      <c r="AY16" s="110"/>
      <c r="AZ16" s="110"/>
      <c r="BA16" s="110"/>
      <c r="BB16" s="110"/>
      <c r="BC16" s="110"/>
      <c r="BD16" s="110"/>
      <c r="BE16" s="110"/>
      <c r="BF16" s="110"/>
      <c r="BG16" s="110"/>
      <c r="BH16" s="110"/>
      <c r="BI16" s="110"/>
      <c r="BJ16" s="110"/>
      <c r="BK16" s="110"/>
      <c r="BL16" s="110"/>
      <c r="BM16" s="110"/>
      <c r="BN16" s="110"/>
    </row>
    <row r="17" spans="1:66" ht="24" customHeight="1">
      <c r="A17" s="663"/>
      <c r="B17" s="663"/>
      <c r="C17" s="663"/>
      <c r="D17" s="663"/>
      <c r="E17" s="663"/>
      <c r="F17" s="663"/>
      <c r="G17" s="663"/>
      <c r="H17" s="663"/>
      <c r="I17" s="663"/>
      <c r="J17" s="663"/>
      <c r="K17" s="663"/>
      <c r="L17" s="663"/>
      <c r="M17" s="663"/>
      <c r="N17" s="663"/>
      <c r="O17" s="663"/>
      <c r="P17" s="663"/>
      <c r="Q17" s="663"/>
      <c r="R17" s="663"/>
      <c r="S17" s="663"/>
      <c r="T17" s="663"/>
      <c r="U17" s="663"/>
      <c r="V17" s="663"/>
      <c r="W17" s="663"/>
      <c r="X17" s="663"/>
      <c r="Y17" s="663"/>
      <c r="Z17" s="663"/>
      <c r="AA17" s="663"/>
      <c r="AB17" s="663"/>
      <c r="AC17" s="663"/>
      <c r="AD17" s="663"/>
      <c r="AE17" s="663"/>
      <c r="AF17" s="663"/>
      <c r="AG17" s="663"/>
      <c r="AH17" s="663"/>
      <c r="AI17" s="663"/>
      <c r="AJ17" s="663"/>
      <c r="AK17" s="663"/>
      <c r="AL17" s="663"/>
      <c r="AM17" s="663"/>
      <c r="AN17" s="663"/>
      <c r="AO17" s="663"/>
      <c r="AP17" s="663"/>
      <c r="AQ17" s="663"/>
      <c r="AR17" s="663"/>
      <c r="AS17" s="663"/>
      <c r="AT17" s="110"/>
      <c r="AU17" s="110"/>
      <c r="AV17" s="110"/>
      <c r="AW17" s="110"/>
      <c r="AX17" s="110"/>
      <c r="AY17" s="110"/>
      <c r="AZ17" s="110"/>
      <c r="BA17" s="110"/>
      <c r="BB17" s="110"/>
      <c r="BC17" s="110"/>
      <c r="BD17" s="110"/>
      <c r="BE17" s="110"/>
      <c r="BF17" s="110"/>
      <c r="BG17" s="110"/>
      <c r="BH17" s="110"/>
      <c r="BI17" s="110"/>
      <c r="BJ17" s="110"/>
      <c r="BK17" s="110"/>
      <c r="BL17" s="110"/>
      <c r="BM17" s="110"/>
      <c r="BN17" s="110"/>
    </row>
    <row r="18" spans="1:66" ht="24" customHeight="1">
      <c r="A18" s="111"/>
      <c r="B18" s="111"/>
      <c r="C18" s="111"/>
      <c r="D18" s="111"/>
      <c r="E18" s="111"/>
      <c r="F18" s="111"/>
      <c r="G18" s="111"/>
      <c r="H18" s="111"/>
      <c r="I18" s="111"/>
      <c r="J18" s="111"/>
      <c r="K18" s="111"/>
      <c r="L18" s="111"/>
      <c r="M18" s="111"/>
      <c r="N18" s="111"/>
      <c r="O18" s="111"/>
      <c r="P18" s="111"/>
      <c r="Q18" s="111"/>
      <c r="R18" s="111"/>
      <c r="S18" s="111"/>
      <c r="T18" s="111"/>
      <c r="U18" s="111"/>
      <c r="V18" s="111"/>
      <c r="W18" s="111"/>
      <c r="X18" s="111"/>
      <c r="Y18" s="111"/>
      <c r="Z18" s="111"/>
      <c r="AA18" s="111"/>
      <c r="AB18" s="111"/>
      <c r="AC18" s="111"/>
      <c r="AD18" s="111"/>
      <c r="AE18" s="111"/>
      <c r="AF18" s="111"/>
      <c r="AG18" s="111"/>
      <c r="AH18" s="111"/>
      <c r="AI18" s="111"/>
      <c r="AJ18" s="111"/>
      <c r="AK18" s="111"/>
      <c r="AL18" s="111"/>
      <c r="AM18" s="111"/>
      <c r="AN18" s="111"/>
      <c r="AO18" s="111"/>
      <c r="AP18" s="111"/>
      <c r="AQ18" s="111"/>
      <c r="AR18" s="111"/>
      <c r="AS18" s="111"/>
      <c r="AT18" s="110"/>
      <c r="AU18" s="110"/>
      <c r="AV18" s="110"/>
      <c r="AW18" s="110"/>
      <c r="AX18" s="110"/>
      <c r="AY18" s="110"/>
      <c r="AZ18" s="110"/>
      <c r="BA18" s="110"/>
      <c r="BB18" s="110"/>
      <c r="BC18" s="110"/>
      <c r="BD18" s="110"/>
      <c r="BE18" s="110"/>
      <c r="BF18" s="110"/>
      <c r="BG18" s="110"/>
      <c r="BH18" s="110"/>
      <c r="BI18" s="110"/>
      <c r="BJ18" s="110"/>
      <c r="BK18" s="110"/>
      <c r="BL18" s="110"/>
      <c r="BM18" s="110"/>
      <c r="BN18" s="110"/>
    </row>
    <row r="19" spans="1:66">
      <c r="A19" s="110"/>
      <c r="B19" s="110"/>
      <c r="C19" s="110"/>
      <c r="D19" s="110"/>
      <c r="E19" s="110"/>
      <c r="F19" s="110"/>
      <c r="G19" s="110"/>
      <c r="H19" s="110"/>
      <c r="I19" s="110"/>
      <c r="J19" s="110"/>
      <c r="K19" s="110"/>
      <c r="L19" s="110"/>
      <c r="M19" s="110"/>
      <c r="N19" s="110"/>
      <c r="O19" s="110"/>
      <c r="P19" s="110"/>
      <c r="Q19" s="110"/>
      <c r="R19" s="110"/>
      <c r="S19" s="110"/>
      <c r="T19" s="110"/>
      <c r="U19" s="110"/>
      <c r="V19" s="110"/>
      <c r="W19" s="110"/>
      <c r="X19" s="110"/>
      <c r="Y19" s="110"/>
      <c r="Z19" s="110"/>
      <c r="AA19" s="110"/>
      <c r="AB19" s="110"/>
      <c r="AC19" s="110"/>
      <c r="AD19" s="110"/>
      <c r="AE19" s="110"/>
      <c r="AF19" s="110"/>
      <c r="AG19" s="110"/>
      <c r="AH19" s="110"/>
      <c r="AI19" s="110"/>
      <c r="AJ19" s="110"/>
      <c r="AK19" s="110"/>
      <c r="AL19" s="110"/>
      <c r="AM19" s="110"/>
      <c r="AN19" s="110"/>
      <c r="AO19" s="110"/>
      <c r="AP19" s="110"/>
      <c r="AQ19" s="110"/>
      <c r="AR19" s="110"/>
      <c r="AS19" s="110"/>
      <c r="AT19" s="110"/>
      <c r="AU19" s="110"/>
      <c r="AV19" s="110"/>
      <c r="AW19" s="110"/>
      <c r="AX19" s="110"/>
      <c r="AY19" s="110"/>
      <c r="AZ19" s="110"/>
      <c r="BA19" s="110"/>
      <c r="BB19" s="110"/>
      <c r="BC19" s="110"/>
      <c r="BD19" s="110"/>
      <c r="BE19" s="110"/>
      <c r="BF19" s="110"/>
      <c r="BG19" s="110"/>
      <c r="BH19" s="110"/>
      <c r="BI19" s="110"/>
      <c r="BJ19" s="110"/>
      <c r="BK19" s="110"/>
      <c r="BL19" s="110"/>
      <c r="BM19" s="110"/>
      <c r="BN19" s="110"/>
    </row>
    <row r="20" spans="1:66" ht="19.2">
      <c r="A20" s="110"/>
      <c r="B20" s="110"/>
      <c r="C20" s="110"/>
      <c r="D20" s="110"/>
      <c r="E20" s="110"/>
      <c r="F20" s="110"/>
      <c r="G20" s="110"/>
      <c r="H20" s="646" t="s">
        <v>256</v>
      </c>
      <c r="I20" s="646"/>
      <c r="J20" s="707"/>
      <c r="K20" s="707"/>
      <c r="L20" s="111" t="s">
        <v>257</v>
      </c>
      <c r="M20" s="707"/>
      <c r="N20" s="707"/>
      <c r="O20" s="111" t="s">
        <v>258</v>
      </c>
      <c r="P20" s="707"/>
      <c r="Q20" s="707"/>
      <c r="R20" s="111" t="s">
        <v>259</v>
      </c>
      <c r="S20" s="110"/>
      <c r="T20" s="110"/>
      <c r="U20" s="110"/>
      <c r="V20" s="110"/>
      <c r="W20" s="110"/>
      <c r="X20" s="110"/>
      <c r="Y20" s="110"/>
      <c r="Z20" s="110"/>
      <c r="AA20" s="663" t="s">
        <v>260</v>
      </c>
      <c r="AB20" s="663"/>
      <c r="AC20" s="663"/>
      <c r="AD20" s="663"/>
      <c r="AE20" s="646" t="s">
        <v>261</v>
      </c>
      <c r="AF20" s="646"/>
      <c r="AG20" s="110" t="s">
        <v>262</v>
      </c>
      <c r="AH20" s="779">
        <f>dataSheet!E2</f>
        <v>0</v>
      </c>
      <c r="AI20" s="779"/>
      <c r="AJ20" s="110" t="s">
        <v>263</v>
      </c>
      <c r="AK20" s="779">
        <f>dataSheet!F2</f>
        <v>0</v>
      </c>
      <c r="AL20" s="779"/>
      <c r="AM20" s="779"/>
      <c r="AN20" s="779"/>
      <c r="AO20" s="110"/>
      <c r="AP20" s="708">
        <f>dataSheet!G2</f>
        <v>0</v>
      </c>
      <c r="AQ20" s="708"/>
      <c r="AR20" s="708"/>
      <c r="AS20" s="708"/>
      <c r="AT20" s="708"/>
      <c r="AU20" s="708"/>
      <c r="AV20" s="708"/>
      <c r="AW20" s="708"/>
      <c r="AX20" s="708"/>
      <c r="AY20" s="708"/>
      <c r="AZ20" s="708"/>
      <c r="BA20" s="708"/>
      <c r="BB20" s="708"/>
      <c r="BC20" s="708"/>
      <c r="BD20" s="708"/>
      <c r="BE20" s="708"/>
      <c r="BF20" s="708"/>
      <c r="BG20" s="708"/>
      <c r="BH20" s="708"/>
      <c r="BI20" s="708"/>
      <c r="BJ20" s="708"/>
      <c r="BK20" s="708"/>
      <c r="BL20" s="708"/>
      <c r="BM20" s="708"/>
      <c r="BN20" s="110"/>
    </row>
    <row r="21" spans="1:66" ht="19.2">
      <c r="A21" s="110"/>
      <c r="B21" s="110"/>
      <c r="C21" s="110"/>
      <c r="D21" s="110"/>
      <c r="E21" s="110"/>
      <c r="F21" s="110"/>
      <c r="G21" s="110"/>
      <c r="H21" s="110"/>
      <c r="I21" s="110"/>
      <c r="J21" s="110"/>
      <c r="K21" s="110"/>
      <c r="L21" s="110"/>
      <c r="M21" s="110"/>
      <c r="N21" s="110"/>
      <c r="O21" s="110"/>
      <c r="P21" s="110"/>
      <c r="Q21" s="110"/>
      <c r="R21" s="110"/>
      <c r="S21" s="110"/>
      <c r="T21" s="110"/>
      <c r="U21" s="110"/>
      <c r="V21" s="110"/>
      <c r="W21" s="110"/>
      <c r="X21" s="110"/>
      <c r="Y21" s="110"/>
      <c r="Z21" s="110"/>
      <c r="AA21" s="663"/>
      <c r="AB21" s="663"/>
      <c r="AC21" s="663"/>
      <c r="AD21" s="663"/>
      <c r="AE21" s="646" t="s">
        <v>264</v>
      </c>
      <c r="AF21" s="646"/>
      <c r="AG21" s="706">
        <f>dataSheet!H2</f>
        <v>0</v>
      </c>
      <c r="AH21" s="706"/>
      <c r="AI21" s="706"/>
      <c r="AJ21" s="706"/>
      <c r="AK21" s="706"/>
      <c r="AL21" s="706"/>
      <c r="AM21" s="706"/>
      <c r="AN21" s="706"/>
      <c r="AO21" s="706"/>
      <c r="AP21" s="706"/>
      <c r="AQ21" s="706"/>
      <c r="AR21" s="706"/>
      <c r="AS21" s="706"/>
      <c r="AT21" s="706"/>
      <c r="AU21" s="706"/>
      <c r="AV21" s="706"/>
      <c r="AW21" s="706"/>
      <c r="AX21" s="706"/>
      <c r="AY21" s="706"/>
      <c r="AZ21" s="706"/>
      <c r="BA21" s="706"/>
      <c r="BB21" s="706"/>
      <c r="BC21" s="706"/>
      <c r="BD21" s="706"/>
      <c r="BE21" s="706"/>
      <c r="BF21" s="706"/>
      <c r="BG21" s="706"/>
      <c r="BH21" s="706"/>
      <c r="BI21" s="706"/>
      <c r="BJ21" s="706"/>
      <c r="BK21" s="706"/>
      <c r="BL21" s="706"/>
      <c r="BM21" s="706"/>
      <c r="BN21" s="110"/>
    </row>
    <row r="22" spans="1:66" ht="19.2">
      <c r="A22" s="110"/>
      <c r="B22" s="110"/>
      <c r="C22" s="110"/>
      <c r="D22" s="110"/>
      <c r="E22" s="110"/>
      <c r="F22" s="110"/>
      <c r="G22" s="110"/>
      <c r="H22" s="110"/>
      <c r="I22" s="110"/>
      <c r="J22" s="110"/>
      <c r="K22" s="110"/>
      <c r="L22" s="110"/>
      <c r="M22" s="110"/>
      <c r="N22" s="110"/>
      <c r="O22" s="110"/>
      <c r="P22" s="110"/>
      <c r="Q22" s="110"/>
      <c r="R22" s="110"/>
      <c r="S22" s="110"/>
      <c r="T22" s="110"/>
      <c r="U22" s="110"/>
      <c r="V22" s="110"/>
      <c r="W22" s="110"/>
      <c r="X22" s="110"/>
      <c r="Y22" s="110"/>
      <c r="Z22" s="110"/>
      <c r="AA22" s="663"/>
      <c r="AB22" s="663"/>
      <c r="AC22" s="663"/>
      <c r="AD22" s="663"/>
      <c r="AE22" s="646" t="s">
        <v>265</v>
      </c>
      <c r="AF22" s="646"/>
      <c r="AG22" s="706" t="str">
        <f>dataSheet!J2&amp;"　"&amp;dataSheet!K2</f>
        <v>　</v>
      </c>
      <c r="AH22" s="706"/>
      <c r="AI22" s="706"/>
      <c r="AJ22" s="706"/>
      <c r="AK22" s="706"/>
      <c r="AL22" s="706"/>
      <c r="AM22" s="706"/>
      <c r="AN22" s="706"/>
      <c r="AO22" s="706"/>
      <c r="AP22" s="706"/>
      <c r="AQ22" s="706"/>
      <c r="AR22" s="706"/>
      <c r="AS22" s="706"/>
      <c r="AT22" s="706"/>
      <c r="AU22" s="706"/>
      <c r="AV22" s="706"/>
      <c r="AW22" s="706"/>
      <c r="AX22" s="706"/>
      <c r="AY22" s="706"/>
      <c r="AZ22" s="706"/>
      <c r="BA22" s="706"/>
      <c r="BB22" s="706"/>
      <c r="BC22" s="706"/>
      <c r="BD22" s="706"/>
      <c r="BE22" s="706"/>
      <c r="BF22" s="706"/>
      <c r="BG22" s="706"/>
      <c r="BH22" s="706"/>
      <c r="BI22" s="706"/>
      <c r="BJ22" s="706"/>
      <c r="BK22" s="706"/>
      <c r="BL22" s="706"/>
      <c r="BM22" s="113" t="s">
        <v>266</v>
      </c>
      <c r="BN22" s="110"/>
    </row>
    <row r="23" spans="1:66" ht="19.2">
      <c r="A23" s="110"/>
      <c r="B23" s="110"/>
      <c r="C23" s="110"/>
      <c r="D23" s="110"/>
      <c r="E23" s="110"/>
      <c r="F23" s="110"/>
      <c r="G23" s="110"/>
      <c r="H23" s="110"/>
      <c r="I23" s="110"/>
      <c r="J23" s="110"/>
      <c r="K23" s="110"/>
      <c r="L23" s="110"/>
      <c r="M23" s="110"/>
      <c r="N23" s="110"/>
      <c r="O23" s="110"/>
      <c r="P23" s="110"/>
      <c r="Q23" s="110"/>
      <c r="R23" s="110"/>
      <c r="S23" s="110"/>
      <c r="T23" s="110"/>
      <c r="U23" s="110"/>
      <c r="V23" s="110"/>
      <c r="W23" s="110"/>
      <c r="X23" s="110"/>
      <c r="Y23" s="110"/>
      <c r="Z23" s="110"/>
      <c r="AA23" s="111"/>
      <c r="AB23" s="111"/>
      <c r="AC23" s="111"/>
      <c r="AD23" s="111"/>
      <c r="AE23" s="114"/>
      <c r="AF23" s="114"/>
      <c r="AG23" s="110"/>
      <c r="AH23" s="110"/>
      <c r="AI23" s="110"/>
      <c r="AJ23" s="110"/>
      <c r="AK23" s="110"/>
      <c r="AL23" s="110"/>
      <c r="AM23" s="110"/>
      <c r="AN23" s="110"/>
      <c r="AO23" s="110"/>
      <c r="AP23" s="110"/>
      <c r="AQ23" s="110"/>
      <c r="AR23" s="110"/>
      <c r="AS23" s="110"/>
      <c r="AT23" s="110"/>
      <c r="AU23" s="110"/>
      <c r="AV23" s="110"/>
      <c r="AW23" s="110"/>
      <c r="AX23" s="110"/>
      <c r="AY23" s="110"/>
      <c r="AZ23" s="110"/>
      <c r="BA23" s="110"/>
      <c r="BB23" s="110"/>
      <c r="BC23" s="110"/>
      <c r="BD23" s="110"/>
      <c r="BE23" s="110"/>
      <c r="BF23" s="110"/>
      <c r="BG23" s="110"/>
      <c r="BH23" s="110"/>
      <c r="BI23" s="110"/>
      <c r="BJ23" s="110"/>
      <c r="BK23" s="110"/>
      <c r="BL23" s="110"/>
      <c r="BM23" s="113"/>
      <c r="BN23" s="110"/>
    </row>
    <row r="24" spans="1:66">
      <c r="A24" s="110"/>
      <c r="B24" s="110"/>
      <c r="C24" s="110"/>
      <c r="D24" s="110"/>
      <c r="E24" s="110"/>
      <c r="F24" s="110"/>
      <c r="G24" s="110"/>
      <c r="H24" s="110"/>
      <c r="I24" s="110"/>
      <c r="J24" s="110"/>
      <c r="K24" s="110"/>
      <c r="L24" s="110"/>
      <c r="M24" s="110"/>
      <c r="N24" s="110"/>
      <c r="O24" s="110"/>
      <c r="P24" s="110"/>
      <c r="Q24" s="110"/>
      <c r="R24" s="110"/>
      <c r="S24" s="110"/>
      <c r="T24" s="110"/>
      <c r="U24" s="110"/>
      <c r="V24" s="110"/>
      <c r="W24" s="110"/>
      <c r="X24" s="110"/>
      <c r="Y24" s="110"/>
      <c r="Z24" s="110"/>
      <c r="AA24" s="110"/>
      <c r="AB24" s="110"/>
      <c r="AC24" s="110"/>
      <c r="AD24" s="110"/>
      <c r="AE24" s="110"/>
      <c r="AF24" s="110"/>
      <c r="AG24" s="110"/>
      <c r="AH24" s="110"/>
      <c r="AI24" s="110"/>
      <c r="AJ24" s="110"/>
      <c r="AK24" s="110"/>
      <c r="AL24" s="110"/>
      <c r="AM24" s="110"/>
      <c r="AN24" s="110"/>
      <c r="AO24" s="110"/>
      <c r="AP24" s="110"/>
      <c r="AQ24" s="110"/>
      <c r="AR24" s="110"/>
      <c r="AS24" s="110"/>
      <c r="AT24" s="110"/>
      <c r="AU24" s="110"/>
      <c r="AV24" s="110"/>
      <c r="AW24" s="110"/>
      <c r="AX24" s="110"/>
      <c r="AY24" s="110"/>
      <c r="AZ24" s="110"/>
      <c r="BA24" s="110"/>
      <c r="BB24" s="110"/>
      <c r="BC24" s="110"/>
      <c r="BD24" s="110"/>
      <c r="BE24" s="110"/>
      <c r="BF24" s="110"/>
      <c r="BG24" s="110"/>
      <c r="BH24" s="110"/>
      <c r="BI24" s="110"/>
      <c r="BJ24" s="110"/>
      <c r="BK24" s="110"/>
      <c r="BL24" s="110"/>
      <c r="BM24" s="110"/>
      <c r="BN24" s="110"/>
    </row>
    <row r="25" spans="1:66" ht="21.6" customHeight="1">
      <c r="A25" s="110"/>
      <c r="B25" s="110"/>
      <c r="C25" s="110"/>
      <c r="D25" s="110"/>
      <c r="E25" s="110"/>
      <c r="F25" s="110"/>
      <c r="G25" s="110"/>
      <c r="H25" s="110"/>
      <c r="I25" s="110"/>
      <c r="J25" s="110"/>
      <c r="K25" s="110"/>
      <c r="L25" s="110"/>
      <c r="M25" s="110"/>
      <c r="N25" s="110"/>
      <c r="O25" s="110"/>
      <c r="P25" s="110"/>
      <c r="Q25" s="110"/>
      <c r="R25" s="110"/>
      <c r="S25" s="110"/>
      <c r="T25" s="110"/>
      <c r="U25" s="110"/>
      <c r="V25" s="110"/>
      <c r="W25" s="110"/>
      <c r="X25" s="110"/>
      <c r="Y25" s="110"/>
      <c r="Z25" s="110"/>
      <c r="AA25" s="110"/>
      <c r="AB25" s="110"/>
      <c r="AC25" s="110"/>
      <c r="AD25" s="110"/>
      <c r="AE25" s="776" t="s">
        <v>267</v>
      </c>
      <c r="AF25" s="776"/>
      <c r="AG25" s="776"/>
      <c r="AH25" s="776"/>
      <c r="AI25" s="776"/>
      <c r="AJ25" s="776"/>
      <c r="AK25" s="776"/>
      <c r="AL25" s="776"/>
      <c r="AM25" s="776"/>
      <c r="AN25" s="776"/>
      <c r="AO25" s="776"/>
      <c r="AP25" s="776"/>
      <c r="AQ25" s="776"/>
      <c r="AR25" s="776"/>
      <c r="AS25" s="776"/>
      <c r="AT25" s="776"/>
      <c r="AU25" s="776"/>
      <c r="AV25" s="776"/>
      <c r="AW25" s="776"/>
      <c r="AX25" s="776"/>
      <c r="AY25" s="776"/>
      <c r="AZ25" s="776"/>
      <c r="BA25" s="776"/>
      <c r="BB25" s="776"/>
      <c r="BC25" s="776"/>
      <c r="BD25" s="776"/>
      <c r="BE25" s="776"/>
      <c r="BF25" s="776"/>
      <c r="BG25" s="776"/>
      <c r="BH25" s="776"/>
      <c r="BI25" s="776"/>
      <c r="BJ25" s="776"/>
      <c r="BK25" s="776"/>
      <c r="BL25" s="776"/>
      <c r="BM25" s="776"/>
      <c r="BN25" s="110"/>
    </row>
    <row r="26" spans="1:66" ht="46.95" customHeight="1">
      <c r="A26" s="110"/>
      <c r="B26" s="110"/>
      <c r="C26" s="110"/>
      <c r="D26" s="110"/>
      <c r="E26" s="110"/>
      <c r="F26" s="110"/>
      <c r="G26" s="110"/>
      <c r="H26" s="110"/>
      <c r="I26" s="110"/>
      <c r="J26" s="110"/>
      <c r="K26" s="110"/>
      <c r="L26" s="110"/>
      <c r="M26" s="110"/>
      <c r="N26" s="110"/>
      <c r="O26" s="110"/>
      <c r="P26" s="110"/>
      <c r="Q26" s="110"/>
      <c r="R26" s="110"/>
      <c r="S26" s="110"/>
      <c r="T26" s="110"/>
      <c r="U26" s="110"/>
      <c r="V26" s="110"/>
      <c r="W26" s="110"/>
      <c r="X26" s="110"/>
      <c r="Y26" s="110"/>
      <c r="Z26" s="110"/>
      <c r="AA26" s="110"/>
      <c r="AB26" s="110"/>
      <c r="AC26" s="110"/>
      <c r="AD26" s="110"/>
      <c r="AE26" s="776"/>
      <c r="AF26" s="776"/>
      <c r="AG26" s="776"/>
      <c r="AH26" s="776"/>
      <c r="AI26" s="776"/>
      <c r="AJ26" s="776"/>
      <c r="AK26" s="776"/>
      <c r="AL26" s="776"/>
      <c r="AM26" s="776"/>
      <c r="AN26" s="776"/>
      <c r="AO26" s="776"/>
      <c r="AP26" s="776"/>
      <c r="AQ26" s="776"/>
      <c r="AR26" s="776"/>
      <c r="AS26" s="776"/>
      <c r="AT26" s="776"/>
      <c r="AU26" s="776"/>
      <c r="AV26" s="776"/>
      <c r="AW26" s="776"/>
      <c r="AX26" s="776"/>
      <c r="AY26" s="776"/>
      <c r="AZ26" s="776"/>
      <c r="BA26" s="776"/>
      <c r="BB26" s="776"/>
      <c r="BC26" s="776"/>
      <c r="BD26" s="776"/>
      <c r="BE26" s="776"/>
      <c r="BF26" s="776"/>
      <c r="BG26" s="776"/>
      <c r="BH26" s="776"/>
      <c r="BI26" s="776"/>
      <c r="BJ26" s="776"/>
      <c r="BK26" s="776"/>
      <c r="BL26" s="776"/>
      <c r="BM26" s="776"/>
      <c r="BN26" s="110"/>
    </row>
    <row r="27" spans="1:66" ht="13.95" customHeight="1">
      <c r="A27" s="110"/>
      <c r="B27" s="110"/>
      <c r="C27" s="110"/>
      <c r="D27" s="110"/>
      <c r="E27" s="110"/>
      <c r="F27" s="110"/>
      <c r="G27" s="110"/>
      <c r="H27" s="110"/>
      <c r="I27" s="110"/>
      <c r="J27" s="110"/>
      <c r="K27" s="110"/>
      <c r="L27" s="110"/>
      <c r="M27" s="110"/>
      <c r="N27" s="110"/>
      <c r="O27" s="110"/>
      <c r="P27" s="110"/>
      <c r="Q27" s="110"/>
      <c r="R27" s="110"/>
      <c r="S27" s="110"/>
      <c r="T27" s="110"/>
      <c r="U27" s="110"/>
      <c r="V27" s="110"/>
      <c r="W27" s="110"/>
      <c r="X27" s="110"/>
      <c r="Y27" s="110"/>
      <c r="Z27" s="110"/>
      <c r="AA27" s="110"/>
      <c r="AB27" s="110"/>
      <c r="AC27" s="110"/>
      <c r="AD27" s="110"/>
      <c r="AE27" s="115"/>
      <c r="AF27" s="115"/>
      <c r="AG27" s="115"/>
      <c r="AH27" s="115"/>
      <c r="AI27" s="115"/>
      <c r="AJ27" s="115"/>
      <c r="AK27" s="115"/>
      <c r="AL27" s="115"/>
      <c r="AM27" s="115"/>
      <c r="AN27" s="115"/>
      <c r="AO27" s="115"/>
      <c r="AP27" s="115"/>
      <c r="AQ27" s="115"/>
      <c r="AR27" s="115"/>
      <c r="AS27" s="115"/>
      <c r="AT27" s="115"/>
      <c r="AU27" s="115"/>
      <c r="AV27" s="115"/>
      <c r="AW27" s="115"/>
      <c r="AX27" s="115"/>
      <c r="AY27" s="115"/>
      <c r="AZ27" s="115"/>
      <c r="BA27" s="115"/>
      <c r="BB27" s="115"/>
      <c r="BC27" s="115"/>
      <c r="BD27" s="115"/>
      <c r="BE27" s="115"/>
      <c r="BF27" s="115"/>
      <c r="BG27" s="115"/>
      <c r="BH27" s="115"/>
      <c r="BI27" s="115"/>
      <c r="BJ27" s="115"/>
      <c r="BK27" s="115"/>
      <c r="BL27" s="115"/>
      <c r="BM27" s="115"/>
      <c r="BN27" s="110"/>
    </row>
    <row r="28" spans="1:66">
      <c r="A28" s="110"/>
      <c r="B28" s="110"/>
      <c r="C28" s="110"/>
      <c r="D28" s="110"/>
      <c r="E28" s="110"/>
      <c r="F28" s="110"/>
      <c r="G28" s="110"/>
      <c r="H28" s="110"/>
      <c r="I28" s="110"/>
      <c r="J28" s="110"/>
      <c r="K28" s="110"/>
      <c r="L28" s="110"/>
      <c r="M28" s="110"/>
      <c r="N28" s="110"/>
      <c r="O28" s="110"/>
      <c r="P28" s="110"/>
      <c r="Q28" s="110"/>
      <c r="R28" s="110"/>
      <c r="S28" s="110"/>
      <c r="T28" s="110"/>
      <c r="U28" s="110"/>
      <c r="V28" s="110"/>
      <c r="W28" s="110"/>
      <c r="X28" s="110"/>
      <c r="Y28" s="110"/>
      <c r="Z28" s="110"/>
      <c r="AA28" s="110"/>
      <c r="AB28" s="110"/>
      <c r="AC28" s="110"/>
      <c r="AD28" s="110"/>
      <c r="AE28" s="110"/>
      <c r="AF28" s="110"/>
      <c r="AG28" s="110"/>
      <c r="AH28" s="110"/>
      <c r="AI28" s="110"/>
      <c r="AJ28" s="110"/>
      <c r="AK28" s="110"/>
      <c r="AL28" s="110"/>
      <c r="AM28" s="110"/>
      <c r="AN28" s="110"/>
      <c r="AO28" s="110"/>
      <c r="AP28" s="110"/>
      <c r="AQ28" s="110"/>
      <c r="AR28" s="110"/>
      <c r="AS28" s="110"/>
      <c r="AT28" s="110"/>
      <c r="AU28" s="110"/>
      <c r="AV28" s="110"/>
      <c r="AW28" s="110"/>
      <c r="AX28" s="110"/>
      <c r="AY28" s="110"/>
      <c r="AZ28" s="110"/>
      <c r="BA28" s="110"/>
      <c r="BB28" s="110"/>
      <c r="BC28" s="110"/>
      <c r="BD28" s="110"/>
      <c r="BE28" s="110"/>
      <c r="BF28" s="110"/>
      <c r="BG28" s="110"/>
      <c r="BH28" s="110"/>
      <c r="BI28" s="110"/>
      <c r="BJ28" s="110"/>
      <c r="BK28" s="110"/>
      <c r="BL28" s="110"/>
      <c r="BM28" s="110"/>
      <c r="BN28" s="110"/>
    </row>
    <row r="29" spans="1:66" ht="33.6" customHeight="1">
      <c r="A29" s="110"/>
      <c r="B29" s="110"/>
      <c r="C29" s="110"/>
      <c r="D29" s="707"/>
      <c r="E29" s="707"/>
      <c r="F29" s="707"/>
      <c r="G29" s="707"/>
      <c r="H29" s="707"/>
      <c r="I29" s="707"/>
      <c r="J29" s="707"/>
      <c r="K29" s="707"/>
      <c r="L29" s="707"/>
      <c r="M29" s="707"/>
      <c r="N29" s="707"/>
      <c r="O29" s="777" t="s">
        <v>268</v>
      </c>
      <c r="P29" s="777"/>
      <c r="Q29" s="777"/>
      <c r="R29" s="777"/>
      <c r="S29" s="777"/>
      <c r="T29" s="777"/>
      <c r="U29" s="777"/>
      <c r="V29" s="777"/>
      <c r="W29" s="110"/>
      <c r="X29" s="110"/>
      <c r="Y29" s="110"/>
      <c r="Z29" s="110"/>
      <c r="AA29" s="110"/>
      <c r="AB29" s="778" t="s">
        <v>269</v>
      </c>
      <c r="AC29" s="778"/>
      <c r="AD29" s="778"/>
      <c r="AE29" s="778"/>
      <c r="AF29" s="778"/>
      <c r="AG29" s="778"/>
      <c r="AH29" s="778"/>
      <c r="AI29" s="778"/>
      <c r="AJ29" s="778"/>
      <c r="AK29" s="778"/>
      <c r="AL29" s="646" t="s">
        <v>261</v>
      </c>
      <c r="AM29" s="646"/>
      <c r="AN29" s="111" t="s">
        <v>262</v>
      </c>
      <c r="AO29" s="707"/>
      <c r="AP29" s="707"/>
      <c r="AQ29" s="111" t="s">
        <v>263</v>
      </c>
      <c r="AR29" s="707"/>
      <c r="AS29" s="707"/>
      <c r="AT29" s="707"/>
      <c r="AU29" s="707"/>
      <c r="AV29" s="110"/>
      <c r="AW29" s="707"/>
      <c r="AX29" s="707"/>
      <c r="AY29" s="707"/>
      <c r="AZ29" s="707"/>
      <c r="BA29" s="707"/>
      <c r="BB29" s="707"/>
      <c r="BC29" s="707"/>
      <c r="BD29" s="707"/>
      <c r="BE29" s="707"/>
      <c r="BF29" s="707"/>
      <c r="BG29" s="707"/>
      <c r="BH29" s="707"/>
      <c r="BI29" s="707"/>
      <c r="BJ29" s="707"/>
      <c r="BK29" s="707"/>
      <c r="BL29" s="707"/>
      <c r="BM29" s="707"/>
      <c r="BN29" s="110"/>
    </row>
    <row r="30" spans="1:66" ht="19.2">
      <c r="A30" s="110"/>
      <c r="B30" s="110"/>
      <c r="C30" s="110" t="s">
        <v>270</v>
      </c>
      <c r="D30" s="707"/>
      <c r="E30" s="707"/>
      <c r="F30" s="707"/>
      <c r="G30" s="707"/>
      <c r="H30" s="707"/>
      <c r="I30" s="707"/>
      <c r="J30" s="707"/>
      <c r="K30" s="707"/>
      <c r="L30" s="707"/>
      <c r="M30" s="707"/>
      <c r="N30" s="707"/>
      <c r="O30" s="646" t="s">
        <v>271</v>
      </c>
      <c r="P30" s="646"/>
      <c r="Q30" s="646"/>
      <c r="R30" s="646"/>
      <c r="S30" s="646"/>
      <c r="T30" s="646"/>
      <c r="U30" s="646"/>
      <c r="V30" s="646"/>
      <c r="W30" s="646"/>
      <c r="X30" s="110"/>
      <c r="Y30" s="110"/>
      <c r="Z30" s="110"/>
      <c r="AA30" s="110"/>
      <c r="AB30" s="778"/>
      <c r="AC30" s="778"/>
      <c r="AD30" s="778"/>
      <c r="AE30" s="778"/>
      <c r="AF30" s="778"/>
      <c r="AG30" s="778"/>
      <c r="AH30" s="778"/>
      <c r="AI30" s="778"/>
      <c r="AJ30" s="778"/>
      <c r="AK30" s="778"/>
      <c r="AL30" s="646" t="s">
        <v>264</v>
      </c>
      <c r="AM30" s="646"/>
      <c r="AN30" s="707"/>
      <c r="AO30" s="707"/>
      <c r="AP30" s="707"/>
      <c r="AQ30" s="707"/>
      <c r="AR30" s="707"/>
      <c r="AS30" s="707"/>
      <c r="AT30" s="707"/>
      <c r="AU30" s="707"/>
      <c r="AV30" s="707"/>
      <c r="AW30" s="707"/>
      <c r="AX30" s="707"/>
      <c r="AY30" s="707"/>
      <c r="AZ30" s="707"/>
      <c r="BA30" s="707"/>
      <c r="BB30" s="707"/>
      <c r="BC30" s="707"/>
      <c r="BD30" s="707"/>
      <c r="BE30" s="707"/>
      <c r="BF30" s="707"/>
      <c r="BG30" s="707"/>
      <c r="BH30" s="707"/>
      <c r="BI30" s="707"/>
      <c r="BJ30" s="707"/>
      <c r="BK30" s="707"/>
      <c r="BL30" s="707"/>
      <c r="BM30" s="707"/>
      <c r="BN30" s="110"/>
    </row>
    <row r="31" spans="1:66" ht="19.2">
      <c r="A31" s="110"/>
      <c r="B31" s="110"/>
      <c r="C31" s="110"/>
      <c r="D31" s="110"/>
      <c r="E31" s="110"/>
      <c r="F31" s="110"/>
      <c r="G31" s="110"/>
      <c r="H31" s="110"/>
      <c r="I31" s="110"/>
      <c r="J31" s="110"/>
      <c r="K31" s="110"/>
      <c r="L31" s="110"/>
      <c r="M31" s="110"/>
      <c r="N31" s="110"/>
      <c r="O31" s="110"/>
      <c r="P31" s="110"/>
      <c r="Q31" s="110"/>
      <c r="R31" s="110"/>
      <c r="S31" s="110"/>
      <c r="T31" s="110"/>
      <c r="U31" s="110"/>
      <c r="V31" s="110"/>
      <c r="W31" s="110"/>
      <c r="X31" s="110"/>
      <c r="Y31" s="110"/>
      <c r="Z31" s="110"/>
      <c r="AA31" s="110"/>
      <c r="AB31" s="778"/>
      <c r="AC31" s="778"/>
      <c r="AD31" s="778"/>
      <c r="AE31" s="778"/>
      <c r="AF31" s="778"/>
      <c r="AG31" s="778"/>
      <c r="AH31" s="778"/>
      <c r="AI31" s="778"/>
      <c r="AJ31" s="778"/>
      <c r="AK31" s="778"/>
      <c r="AL31" s="646" t="s">
        <v>272</v>
      </c>
      <c r="AM31" s="646"/>
      <c r="AN31" s="707"/>
      <c r="AO31" s="707"/>
      <c r="AP31" s="707"/>
      <c r="AQ31" s="707"/>
      <c r="AR31" s="707"/>
      <c r="AS31" s="707"/>
      <c r="AT31" s="707"/>
      <c r="AU31" s="707"/>
      <c r="AV31" s="707"/>
      <c r="AW31" s="707"/>
      <c r="AX31" s="707"/>
      <c r="AY31" s="707"/>
      <c r="AZ31" s="707"/>
      <c r="BA31" s="707"/>
      <c r="BB31" s="707"/>
      <c r="BC31" s="707"/>
      <c r="BD31" s="707"/>
      <c r="BE31" s="707"/>
      <c r="BF31" s="707"/>
      <c r="BG31" s="707"/>
      <c r="BH31" s="707"/>
      <c r="BI31" s="707"/>
      <c r="BJ31" s="707"/>
      <c r="BK31" s="707"/>
      <c r="BL31" s="707"/>
      <c r="BM31" s="116" t="s">
        <v>266</v>
      </c>
      <c r="BN31" s="110"/>
    </row>
    <row r="32" spans="1:66" ht="19.2">
      <c r="A32" s="110"/>
      <c r="B32" s="110"/>
      <c r="C32" s="110"/>
      <c r="D32" s="110"/>
      <c r="E32" s="110"/>
      <c r="F32" s="110"/>
      <c r="G32" s="110"/>
      <c r="H32" s="110"/>
      <c r="I32" s="110"/>
      <c r="J32" s="110"/>
      <c r="K32" s="110"/>
      <c r="L32" s="110"/>
      <c r="M32" s="110"/>
      <c r="N32" s="110"/>
      <c r="O32" s="110"/>
      <c r="P32" s="110"/>
      <c r="Q32" s="110"/>
      <c r="R32" s="110"/>
      <c r="S32" s="110"/>
      <c r="T32" s="110"/>
      <c r="U32" s="110"/>
      <c r="V32" s="110"/>
      <c r="W32" s="110"/>
      <c r="X32" s="110"/>
      <c r="Y32" s="110"/>
      <c r="Z32" s="110"/>
      <c r="AA32" s="110"/>
      <c r="AB32" s="110"/>
      <c r="AC32" s="110"/>
      <c r="AD32" s="110"/>
      <c r="AE32" s="110"/>
      <c r="AF32" s="110"/>
      <c r="AG32" s="110"/>
      <c r="AH32" s="110"/>
      <c r="AI32" s="110"/>
      <c r="AJ32" s="110"/>
      <c r="AK32" s="11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663"/>
      <c r="BH32" s="663"/>
      <c r="BI32" s="663"/>
      <c r="BJ32" s="663"/>
      <c r="BK32" s="663"/>
      <c r="BL32" s="110"/>
      <c r="BM32" s="110"/>
      <c r="BN32" s="110"/>
    </row>
    <row r="33" spans="1:66">
      <c r="A33" s="110"/>
      <c r="B33" s="110"/>
      <c r="C33" s="110"/>
      <c r="D33" s="110"/>
      <c r="E33" s="110"/>
      <c r="F33" s="110"/>
      <c r="G33" s="110"/>
      <c r="H33" s="110"/>
      <c r="I33" s="110"/>
      <c r="J33" s="110"/>
      <c r="K33" s="110"/>
      <c r="L33" s="110"/>
      <c r="M33" s="110"/>
      <c r="N33" s="110"/>
      <c r="O33" s="110"/>
      <c r="P33" s="110"/>
      <c r="Q33" s="110"/>
      <c r="R33" s="110"/>
      <c r="S33" s="110"/>
      <c r="T33" s="110"/>
      <c r="U33" s="110"/>
      <c r="V33" s="110"/>
      <c r="W33" s="110"/>
      <c r="X33" s="110"/>
      <c r="Y33" s="110"/>
      <c r="Z33" s="110"/>
      <c r="AA33" s="110"/>
      <c r="AB33" s="110"/>
      <c r="AC33" s="110"/>
      <c r="AD33" s="110"/>
      <c r="AE33" s="110"/>
      <c r="AF33" s="110"/>
      <c r="AG33" s="110"/>
      <c r="AH33" s="110"/>
      <c r="AI33" s="110"/>
      <c r="AJ33" s="110"/>
      <c r="AK33" s="110"/>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row>
    <row r="34" spans="1:66" ht="13.8" thickBot="1">
      <c r="A34" s="110"/>
      <c r="B34" s="110"/>
      <c r="C34" s="110"/>
      <c r="D34" s="110"/>
      <c r="E34" s="110"/>
      <c r="F34" s="110"/>
      <c r="G34" s="110"/>
      <c r="H34" s="110"/>
      <c r="I34" s="110"/>
      <c r="J34" s="110"/>
      <c r="K34" s="110"/>
      <c r="L34" s="110"/>
      <c r="M34" s="110"/>
      <c r="N34" s="110"/>
      <c r="O34" s="110"/>
      <c r="P34" s="110"/>
      <c r="Q34" s="110"/>
      <c r="R34" s="110"/>
      <c r="S34" s="110"/>
      <c r="T34" s="110"/>
      <c r="U34" s="110"/>
      <c r="V34" s="110"/>
      <c r="W34" s="110"/>
      <c r="X34" s="110"/>
      <c r="Y34" s="110"/>
      <c r="Z34" s="110"/>
      <c r="AA34" s="110"/>
      <c r="AB34" s="110"/>
      <c r="AC34" s="110"/>
      <c r="AD34" s="110"/>
      <c r="AE34" s="110"/>
      <c r="AF34" s="110"/>
      <c r="AG34" s="110"/>
      <c r="AH34" s="110"/>
      <c r="AI34" s="110"/>
      <c r="AJ34" s="110"/>
      <c r="AK34" s="11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row>
    <row r="35" spans="1:66" ht="21.6" customHeight="1">
      <c r="A35" s="711" t="s">
        <v>273</v>
      </c>
      <c r="B35" s="712"/>
      <c r="C35" s="712"/>
      <c r="D35" s="712"/>
      <c r="E35" s="712"/>
      <c r="F35" s="712"/>
      <c r="G35" s="712"/>
      <c r="H35" s="759" t="s">
        <v>274</v>
      </c>
      <c r="I35" s="760"/>
      <c r="J35" s="760"/>
      <c r="K35" s="760"/>
      <c r="L35" s="760"/>
      <c r="M35" s="760"/>
      <c r="N35" s="117"/>
      <c r="O35" s="117"/>
      <c r="P35" s="117"/>
      <c r="Q35" s="117"/>
      <c r="R35" s="117"/>
      <c r="S35" s="117"/>
      <c r="T35" s="117"/>
      <c r="U35" s="117"/>
      <c r="V35" s="117"/>
      <c r="W35" s="117"/>
      <c r="X35" s="117"/>
      <c r="Y35" s="117"/>
      <c r="Z35" s="117"/>
      <c r="AA35" s="117"/>
      <c r="AB35" s="117"/>
      <c r="AC35" s="117"/>
      <c r="AD35" s="117"/>
      <c r="AE35" s="117"/>
      <c r="AF35" s="118"/>
      <c r="AG35" s="761" t="s">
        <v>275</v>
      </c>
      <c r="AH35" s="702"/>
      <c r="AI35" s="702"/>
      <c r="AJ35" s="702"/>
      <c r="AK35" s="702"/>
      <c r="AL35" s="119" t="s">
        <v>262</v>
      </c>
      <c r="AM35" s="703">
        <f>dataSheet!E2</f>
        <v>0</v>
      </c>
      <c r="AN35" s="703"/>
      <c r="AO35" s="117" t="s">
        <v>263</v>
      </c>
      <c r="AP35" s="703">
        <f>dataSheet!F2</f>
        <v>0</v>
      </c>
      <c r="AQ35" s="703"/>
      <c r="AR35" s="703"/>
      <c r="AS35" s="117"/>
      <c r="AT35" s="117"/>
      <c r="AU35" s="117"/>
      <c r="AV35" s="117"/>
      <c r="AW35" s="117"/>
      <c r="AX35" s="117"/>
      <c r="AY35" s="117"/>
      <c r="AZ35" s="117"/>
      <c r="BA35" s="117"/>
      <c r="BB35" s="117"/>
      <c r="BC35" s="117"/>
      <c r="BD35" s="117"/>
      <c r="BE35" s="117"/>
      <c r="BF35" s="117"/>
      <c r="BG35" s="117"/>
      <c r="BH35" s="117"/>
      <c r="BI35" s="760" t="s">
        <v>276</v>
      </c>
      <c r="BJ35" s="760"/>
      <c r="BK35" s="760"/>
      <c r="BL35" s="760"/>
      <c r="BM35" s="760"/>
      <c r="BN35" s="766"/>
    </row>
    <row r="36" spans="1:66" ht="16.2" customHeight="1">
      <c r="A36" s="638"/>
      <c r="B36" s="639"/>
      <c r="C36" s="639"/>
      <c r="D36" s="639"/>
      <c r="E36" s="639"/>
      <c r="F36" s="639"/>
      <c r="G36" s="639"/>
      <c r="H36" s="769"/>
      <c r="I36" s="707"/>
      <c r="J36" s="707"/>
      <c r="K36" s="707"/>
      <c r="L36" s="707"/>
      <c r="M36" s="707"/>
      <c r="N36" s="707"/>
      <c r="O36" s="707"/>
      <c r="P36" s="707"/>
      <c r="Q36" s="707"/>
      <c r="R36" s="707"/>
      <c r="S36" s="707"/>
      <c r="T36" s="707"/>
      <c r="U36" s="707"/>
      <c r="V36" s="707"/>
      <c r="W36" s="707"/>
      <c r="X36" s="707"/>
      <c r="Y36" s="707"/>
      <c r="Z36" s="707"/>
      <c r="AA36" s="707"/>
      <c r="AB36" s="707"/>
      <c r="AC36" s="707"/>
      <c r="AD36" s="707"/>
      <c r="AE36" s="707"/>
      <c r="AF36" s="770"/>
      <c r="AG36" s="771">
        <f>dataSheet!G2</f>
        <v>0</v>
      </c>
      <c r="AH36" s="708"/>
      <c r="AI36" s="708"/>
      <c r="AJ36" s="708"/>
      <c r="AK36" s="708"/>
      <c r="AL36" s="708"/>
      <c r="AM36" s="708"/>
      <c r="AN36" s="708"/>
      <c r="AO36" s="708"/>
      <c r="AP36" s="708"/>
      <c r="AQ36" s="708"/>
      <c r="AR36" s="708"/>
      <c r="AS36" s="708"/>
      <c r="AT36" s="708"/>
      <c r="AU36" s="708"/>
      <c r="AV36" s="708"/>
      <c r="AW36" s="708"/>
      <c r="AX36" s="708"/>
      <c r="AY36" s="708"/>
      <c r="AZ36" s="708"/>
      <c r="BA36" s="708"/>
      <c r="BB36" s="708"/>
      <c r="BC36" s="708"/>
      <c r="BD36" s="708"/>
      <c r="BE36" s="708"/>
      <c r="BF36" s="708"/>
      <c r="BG36" s="708"/>
      <c r="BH36" s="708"/>
      <c r="BI36" s="767"/>
      <c r="BJ36" s="767"/>
      <c r="BK36" s="767"/>
      <c r="BL36" s="767"/>
      <c r="BM36" s="767"/>
      <c r="BN36" s="768"/>
    </row>
    <row r="37" spans="1:66" ht="34.200000000000003" customHeight="1">
      <c r="A37" s="638"/>
      <c r="B37" s="639"/>
      <c r="C37" s="639"/>
      <c r="D37" s="639"/>
      <c r="E37" s="639"/>
      <c r="F37" s="639"/>
      <c r="G37" s="639"/>
      <c r="H37" s="755">
        <f>dataSheet!H2</f>
        <v>0</v>
      </c>
      <c r="I37" s="706"/>
      <c r="J37" s="706"/>
      <c r="K37" s="706"/>
      <c r="L37" s="706"/>
      <c r="M37" s="706"/>
      <c r="N37" s="706"/>
      <c r="O37" s="706"/>
      <c r="P37" s="706"/>
      <c r="Q37" s="706"/>
      <c r="R37" s="706"/>
      <c r="S37" s="706"/>
      <c r="T37" s="706"/>
      <c r="U37" s="706"/>
      <c r="V37" s="706"/>
      <c r="W37" s="706"/>
      <c r="X37" s="706"/>
      <c r="Y37" s="706"/>
      <c r="Z37" s="706"/>
      <c r="AA37" s="706"/>
      <c r="AB37" s="706"/>
      <c r="AC37" s="706"/>
      <c r="AD37" s="706"/>
      <c r="AE37" s="706"/>
      <c r="AF37" s="756"/>
      <c r="AG37" s="772"/>
      <c r="AH37" s="707"/>
      <c r="AI37" s="707"/>
      <c r="AJ37" s="707"/>
      <c r="AK37" s="707"/>
      <c r="AL37" s="707"/>
      <c r="AM37" s="707"/>
      <c r="AN37" s="707"/>
      <c r="AO37" s="707"/>
      <c r="AP37" s="707"/>
      <c r="AQ37" s="707"/>
      <c r="AR37" s="707"/>
      <c r="AS37" s="707"/>
      <c r="AT37" s="707"/>
      <c r="AU37" s="707"/>
      <c r="AV37" s="707"/>
      <c r="AW37" s="707"/>
      <c r="AX37" s="707"/>
      <c r="AY37" s="707"/>
      <c r="AZ37" s="707"/>
      <c r="BA37" s="707"/>
      <c r="BB37" s="707"/>
      <c r="BC37" s="707"/>
      <c r="BD37" s="707"/>
      <c r="BE37" s="707"/>
      <c r="BF37" s="707"/>
      <c r="BG37" s="707"/>
      <c r="BH37" s="120"/>
      <c r="BI37" s="120"/>
      <c r="BJ37" s="120"/>
      <c r="BK37" s="120"/>
      <c r="BL37" s="120"/>
      <c r="BM37" s="120"/>
      <c r="BN37" s="121"/>
    </row>
    <row r="38" spans="1:66" ht="22.2" customHeight="1">
      <c r="A38" s="638"/>
      <c r="B38" s="639"/>
      <c r="C38" s="639"/>
      <c r="D38" s="639"/>
      <c r="E38" s="639"/>
      <c r="F38" s="639"/>
      <c r="G38" s="639"/>
      <c r="H38" s="122"/>
      <c r="I38" s="120"/>
      <c r="J38" s="706" t="s">
        <v>277</v>
      </c>
      <c r="K38" s="706"/>
      <c r="L38" s="706"/>
      <c r="M38" s="706"/>
      <c r="N38" s="706"/>
      <c r="O38" s="707"/>
      <c r="P38" s="707"/>
      <c r="Q38" s="707"/>
      <c r="R38" s="707"/>
      <c r="S38" s="707"/>
      <c r="T38" s="707"/>
      <c r="U38" s="707"/>
      <c r="V38" s="707"/>
      <c r="W38" s="707"/>
      <c r="X38" s="707"/>
      <c r="Y38" s="707"/>
      <c r="Z38" s="707"/>
      <c r="AA38" s="707"/>
      <c r="AB38" s="707"/>
      <c r="AC38" s="707"/>
      <c r="AD38" s="707"/>
      <c r="AE38" s="707"/>
      <c r="AF38" s="770"/>
      <c r="AG38" s="123"/>
      <c r="AH38" s="120"/>
      <c r="AI38" s="120"/>
      <c r="AJ38" s="120"/>
      <c r="AK38" s="120"/>
      <c r="AL38" s="120"/>
      <c r="AM38" s="120"/>
      <c r="AN38" s="120"/>
      <c r="AO38" s="120"/>
      <c r="AP38" s="120"/>
      <c r="AQ38" s="120"/>
      <c r="AR38" s="120"/>
      <c r="AS38" s="120"/>
      <c r="AT38" s="120"/>
      <c r="AU38" s="120"/>
      <c r="AV38" s="120"/>
      <c r="AW38" s="120"/>
      <c r="AX38" s="120"/>
      <c r="AY38" s="120"/>
      <c r="AZ38" s="120"/>
      <c r="BA38" s="120"/>
      <c r="BB38" s="120"/>
      <c r="BC38" s="120"/>
      <c r="BD38" s="120"/>
      <c r="BE38" s="120"/>
      <c r="BF38" s="120"/>
      <c r="BG38" s="120"/>
      <c r="BH38" s="120"/>
      <c r="BI38" s="120"/>
      <c r="BJ38" s="120"/>
      <c r="BK38" s="120"/>
      <c r="BL38" s="120"/>
      <c r="BM38" s="120"/>
      <c r="BN38" s="121"/>
    </row>
    <row r="39" spans="1:66" ht="22.2" customHeight="1">
      <c r="A39" s="638"/>
      <c r="B39" s="639"/>
      <c r="C39" s="639"/>
      <c r="D39" s="639"/>
      <c r="E39" s="639"/>
      <c r="F39" s="639"/>
      <c r="G39" s="639"/>
      <c r="H39" s="124"/>
      <c r="I39" s="125"/>
      <c r="J39" s="762" t="s">
        <v>278</v>
      </c>
      <c r="K39" s="762"/>
      <c r="L39" s="762"/>
      <c r="M39" s="762"/>
      <c r="N39" s="762"/>
      <c r="O39" s="763"/>
      <c r="P39" s="763"/>
      <c r="Q39" s="763"/>
      <c r="R39" s="763"/>
      <c r="S39" s="763"/>
      <c r="T39" s="763"/>
      <c r="U39" s="763"/>
      <c r="V39" s="763"/>
      <c r="W39" s="763"/>
      <c r="X39" s="763"/>
      <c r="Y39" s="763"/>
      <c r="Z39" s="763"/>
      <c r="AA39" s="763"/>
      <c r="AB39" s="763"/>
      <c r="AC39" s="763"/>
      <c r="AD39" s="763"/>
      <c r="AE39" s="763"/>
      <c r="AF39" s="764"/>
      <c r="AG39" s="126"/>
      <c r="AH39" s="765" t="s">
        <v>279</v>
      </c>
      <c r="AI39" s="765"/>
      <c r="AJ39" s="765"/>
      <c r="AK39" s="765"/>
      <c r="AL39" s="125"/>
      <c r="AM39" s="763">
        <f>dataSheet!L2</f>
        <v>0</v>
      </c>
      <c r="AN39" s="763"/>
      <c r="AO39" s="763"/>
      <c r="AP39" s="125" t="s">
        <v>263</v>
      </c>
      <c r="AQ39" s="763">
        <f>dataSheet!M2</f>
        <v>0</v>
      </c>
      <c r="AR39" s="763"/>
      <c r="AS39" s="763"/>
      <c r="AT39" s="763"/>
      <c r="AU39" s="125" t="s">
        <v>263</v>
      </c>
      <c r="AV39" s="763">
        <f>dataSheet!N2</f>
        <v>0</v>
      </c>
      <c r="AW39" s="763"/>
      <c r="AX39" s="763"/>
      <c r="AY39" s="763"/>
      <c r="AZ39" s="125"/>
      <c r="BA39" s="125"/>
      <c r="BB39" s="125"/>
      <c r="BC39" s="125"/>
      <c r="BD39" s="125"/>
      <c r="BE39" s="125"/>
      <c r="BF39" s="125"/>
      <c r="BG39" s="125"/>
      <c r="BH39" s="125"/>
      <c r="BI39" s="125"/>
      <c r="BJ39" s="125"/>
      <c r="BK39" s="125"/>
      <c r="BL39" s="125"/>
      <c r="BM39" s="125"/>
      <c r="BN39" s="127"/>
    </row>
    <row r="40" spans="1:66" ht="22.2" customHeight="1">
      <c r="A40" s="638"/>
      <c r="B40" s="639"/>
      <c r="C40" s="639"/>
      <c r="D40" s="639"/>
      <c r="E40" s="639"/>
      <c r="F40" s="639"/>
      <c r="G40" s="639"/>
      <c r="H40" s="750" t="s">
        <v>280</v>
      </c>
      <c r="I40" s="751"/>
      <c r="J40" s="751"/>
      <c r="K40" s="751"/>
      <c r="L40" s="751"/>
      <c r="M40" s="751"/>
      <c r="N40" s="751"/>
      <c r="O40" s="751"/>
      <c r="P40" s="751"/>
      <c r="Q40" s="752"/>
      <c r="R40" s="752"/>
      <c r="S40" s="752"/>
      <c r="T40" s="752"/>
      <c r="U40" s="752"/>
      <c r="V40" s="752"/>
      <c r="W40" s="752"/>
      <c r="X40" s="752"/>
      <c r="Y40" s="752"/>
      <c r="Z40" s="752"/>
      <c r="AA40" s="752"/>
      <c r="AB40" s="752"/>
      <c r="AC40" s="752"/>
      <c r="AD40" s="752"/>
      <c r="AE40" s="752"/>
      <c r="AF40" s="752"/>
      <c r="AG40" s="752"/>
      <c r="AH40" s="752"/>
      <c r="AI40" s="752"/>
      <c r="AJ40" s="752"/>
      <c r="AK40" s="752"/>
      <c r="AL40" s="752"/>
      <c r="AM40" s="752"/>
      <c r="AN40" s="753"/>
      <c r="AO40" s="706" t="s">
        <v>281</v>
      </c>
      <c r="AP40" s="706"/>
      <c r="AQ40" s="706"/>
      <c r="AR40" s="706"/>
      <c r="AS40" s="706"/>
      <c r="AT40" s="706"/>
      <c r="AU40" s="706"/>
      <c r="AV40" s="706"/>
      <c r="AW40" s="706"/>
      <c r="AX40" s="706"/>
      <c r="AY40" s="706"/>
      <c r="AZ40" s="706"/>
      <c r="BA40" s="706"/>
      <c r="BB40" s="706"/>
      <c r="BC40" s="706"/>
      <c r="BD40" s="706"/>
      <c r="BE40" s="706"/>
      <c r="BF40" s="706"/>
      <c r="BG40" s="706"/>
      <c r="BH40" s="706"/>
      <c r="BI40" s="706"/>
      <c r="BJ40" s="706"/>
      <c r="BK40" s="706"/>
      <c r="BL40" s="706"/>
      <c r="BM40" s="706"/>
      <c r="BN40" s="754"/>
    </row>
    <row r="41" spans="1:66" ht="19.2">
      <c r="A41" s="638"/>
      <c r="B41" s="639"/>
      <c r="C41" s="639"/>
      <c r="D41" s="639"/>
      <c r="E41" s="639"/>
      <c r="F41" s="639"/>
      <c r="G41" s="639"/>
      <c r="H41" s="755" t="s">
        <v>282</v>
      </c>
      <c r="I41" s="706"/>
      <c r="J41" s="706"/>
      <c r="K41" s="706"/>
      <c r="L41" s="706"/>
      <c r="M41" s="706"/>
      <c r="N41" s="706"/>
      <c r="O41" s="706"/>
      <c r="P41" s="706"/>
      <c r="Q41" s="706"/>
      <c r="R41" s="706"/>
      <c r="S41" s="706"/>
      <c r="T41" s="706"/>
      <c r="U41" s="706"/>
      <c r="V41" s="706"/>
      <c r="W41" s="706"/>
      <c r="X41" s="706" t="s">
        <v>283</v>
      </c>
      <c r="Y41" s="706"/>
      <c r="Z41" s="706"/>
      <c r="AA41" s="706"/>
      <c r="AB41" s="706"/>
      <c r="AC41" s="706"/>
      <c r="AD41" s="706"/>
      <c r="AE41" s="706"/>
      <c r="AF41" s="706"/>
      <c r="AG41" s="706"/>
      <c r="AH41" s="706"/>
      <c r="AI41" s="706"/>
      <c r="AJ41" s="706"/>
      <c r="AK41" s="706"/>
      <c r="AL41" s="706"/>
      <c r="AM41" s="706"/>
      <c r="AN41" s="756"/>
      <c r="AO41" s="707"/>
      <c r="AP41" s="707"/>
      <c r="AQ41" s="707"/>
      <c r="AR41" s="707"/>
      <c r="AS41" s="707"/>
      <c r="AT41" s="707"/>
      <c r="AU41" s="707"/>
      <c r="AV41" s="707"/>
      <c r="AW41" s="707"/>
      <c r="AX41" s="707"/>
      <c r="AY41" s="707"/>
      <c r="AZ41" s="707"/>
      <c r="BA41" s="707"/>
      <c r="BB41" s="707"/>
      <c r="BC41" s="707"/>
      <c r="BD41" s="707"/>
      <c r="BE41" s="707"/>
      <c r="BF41" s="707"/>
      <c r="BG41" s="707"/>
      <c r="BH41" s="707"/>
      <c r="BI41" s="707"/>
      <c r="BJ41" s="707"/>
      <c r="BK41" s="707"/>
      <c r="BL41" s="707"/>
      <c r="BM41" s="707"/>
      <c r="BN41" s="757"/>
    </row>
    <row r="42" spans="1:66" ht="43.95" customHeight="1" thickBot="1">
      <c r="A42" s="640"/>
      <c r="B42" s="641"/>
      <c r="C42" s="641"/>
      <c r="D42" s="641"/>
      <c r="E42" s="641"/>
      <c r="F42" s="641"/>
      <c r="G42" s="641"/>
      <c r="H42" s="128"/>
      <c r="I42" s="773" t="s">
        <v>284</v>
      </c>
      <c r="J42" s="773"/>
      <c r="K42" s="773"/>
      <c r="L42" s="774"/>
      <c r="M42" s="774"/>
      <c r="N42" s="129" t="s">
        <v>285</v>
      </c>
      <c r="O42" s="130"/>
      <c r="P42" s="130"/>
      <c r="Q42" s="130"/>
      <c r="R42" s="130"/>
      <c r="S42" s="130"/>
      <c r="T42" s="774"/>
      <c r="U42" s="774"/>
      <c r="V42" s="774"/>
      <c r="W42" s="130" t="s">
        <v>286</v>
      </c>
      <c r="X42" s="694"/>
      <c r="Y42" s="694"/>
      <c r="Z42" s="694"/>
      <c r="AA42" s="694"/>
      <c r="AB42" s="694"/>
      <c r="AC42" s="694"/>
      <c r="AD42" s="694"/>
      <c r="AE42" s="694"/>
      <c r="AF42" s="694"/>
      <c r="AG42" s="694"/>
      <c r="AH42" s="694"/>
      <c r="AI42" s="694"/>
      <c r="AJ42" s="694"/>
      <c r="AK42" s="694"/>
      <c r="AL42" s="694"/>
      <c r="AM42" s="130" t="s">
        <v>287</v>
      </c>
      <c r="AN42" s="131"/>
      <c r="AO42" s="132"/>
      <c r="AP42" s="133"/>
      <c r="AQ42" s="775" t="s">
        <v>288</v>
      </c>
      <c r="AR42" s="775"/>
      <c r="AS42" s="775"/>
      <c r="AT42" s="775"/>
      <c r="AU42" s="775"/>
      <c r="AV42" s="775"/>
      <c r="AW42" s="775"/>
      <c r="AX42" s="775"/>
      <c r="AY42" s="775"/>
      <c r="AZ42" s="775"/>
      <c r="BA42" s="694"/>
      <c r="BB42" s="694"/>
      <c r="BC42" s="694"/>
      <c r="BD42" s="694"/>
      <c r="BE42" s="694"/>
      <c r="BF42" s="694"/>
      <c r="BG42" s="694"/>
      <c r="BH42" s="694"/>
      <c r="BI42" s="694"/>
      <c r="BJ42" s="694"/>
      <c r="BK42" s="694"/>
      <c r="BL42" s="694"/>
      <c r="BM42" s="694"/>
      <c r="BN42" s="749"/>
    </row>
    <row r="43" spans="1:66" ht="46.95" customHeight="1">
      <c r="A43" s="711" t="s">
        <v>289</v>
      </c>
      <c r="B43" s="712"/>
      <c r="C43" s="712"/>
      <c r="D43" s="712"/>
      <c r="E43" s="712"/>
      <c r="F43" s="712"/>
      <c r="G43" s="713"/>
      <c r="H43" s="740" t="s">
        <v>290</v>
      </c>
      <c r="I43" s="741"/>
      <c r="J43" s="741"/>
      <c r="K43" s="741"/>
      <c r="L43" s="741"/>
      <c r="M43" s="741"/>
      <c r="N43" s="741"/>
      <c r="O43" s="741"/>
      <c r="P43" s="741"/>
      <c r="Q43" s="741"/>
      <c r="R43" s="741"/>
      <c r="S43" s="741"/>
      <c r="T43" s="741"/>
      <c r="U43" s="741"/>
      <c r="V43" s="741"/>
      <c r="W43" s="742"/>
      <c r="X43" s="663" t="s">
        <v>291</v>
      </c>
      <c r="Y43" s="663"/>
      <c r="Z43" s="663"/>
      <c r="AA43" s="663"/>
      <c r="AB43" s="663"/>
      <c r="AC43" s="663"/>
      <c r="AD43" s="663"/>
      <c r="AE43" s="663"/>
      <c r="AF43" s="663"/>
      <c r="AG43" s="663"/>
      <c r="AH43" s="663"/>
      <c r="AI43" s="663"/>
      <c r="AJ43" s="663"/>
      <c r="AK43" s="663"/>
      <c r="AL43" s="663"/>
      <c r="AM43" s="663"/>
      <c r="AN43" s="663"/>
      <c r="AO43" s="740" t="s">
        <v>292</v>
      </c>
      <c r="AP43" s="741"/>
      <c r="AQ43" s="741"/>
      <c r="AR43" s="741"/>
      <c r="AS43" s="741"/>
      <c r="AT43" s="741"/>
      <c r="AU43" s="741"/>
      <c r="AV43" s="741"/>
      <c r="AW43" s="741"/>
      <c r="AX43" s="741"/>
      <c r="AY43" s="741"/>
      <c r="AZ43" s="741"/>
      <c r="BA43" s="741"/>
      <c r="BB43" s="741"/>
      <c r="BC43" s="741"/>
      <c r="BD43" s="741"/>
      <c r="BE43" s="741"/>
      <c r="BF43" s="741"/>
      <c r="BG43" s="741"/>
      <c r="BH43" s="741"/>
      <c r="BI43" s="741"/>
      <c r="BJ43" s="741"/>
      <c r="BK43" s="741"/>
      <c r="BL43" s="741"/>
      <c r="BM43" s="741"/>
      <c r="BN43" s="742"/>
    </row>
    <row r="44" spans="1:66" ht="25.95" customHeight="1">
      <c r="A44" s="638"/>
      <c r="B44" s="639"/>
      <c r="C44" s="639"/>
      <c r="D44" s="639"/>
      <c r="E44" s="639"/>
      <c r="F44" s="639"/>
      <c r="G44" s="714"/>
      <c r="H44" s="743" t="e">
        <f>雇用調整助成金助成額算定書!O22+雇用調整助成金助成額算定書!U22</f>
        <v>#VALUE!</v>
      </c>
      <c r="I44" s="744"/>
      <c r="J44" s="744"/>
      <c r="K44" s="744"/>
      <c r="L44" s="744"/>
      <c r="M44" s="744"/>
      <c r="N44" s="744"/>
      <c r="O44" s="744"/>
      <c r="P44" s="744"/>
      <c r="Q44" s="744"/>
      <c r="R44" s="744"/>
      <c r="S44" s="744"/>
      <c r="T44" s="745"/>
      <c r="U44" s="634" t="s">
        <v>293</v>
      </c>
      <c r="V44" s="634"/>
      <c r="W44" s="635"/>
      <c r="X44" s="744">
        <f>雇用調整助成金助成額算定書!AA22</f>
        <v>0</v>
      </c>
      <c r="Y44" s="744"/>
      <c r="Z44" s="744"/>
      <c r="AA44" s="744"/>
      <c r="AB44" s="744"/>
      <c r="AC44" s="744"/>
      <c r="AD44" s="744"/>
      <c r="AE44" s="744"/>
      <c r="AF44" s="744"/>
      <c r="AG44" s="744"/>
      <c r="AH44" s="744"/>
      <c r="AI44" s="744"/>
      <c r="AJ44" s="744"/>
      <c r="AK44" s="745"/>
      <c r="AL44" s="633" t="s">
        <v>293</v>
      </c>
      <c r="AM44" s="634"/>
      <c r="AN44" s="635"/>
      <c r="AO44" s="746" t="e">
        <f>H44+X44</f>
        <v>#VALUE!</v>
      </c>
      <c r="AP44" s="747"/>
      <c r="AQ44" s="747"/>
      <c r="AR44" s="747"/>
      <c r="AS44" s="747"/>
      <c r="AT44" s="747"/>
      <c r="AU44" s="747"/>
      <c r="AV44" s="747"/>
      <c r="AW44" s="747"/>
      <c r="AX44" s="747"/>
      <c r="AY44" s="747"/>
      <c r="AZ44" s="747"/>
      <c r="BA44" s="747"/>
      <c r="BB44" s="747"/>
      <c r="BC44" s="747"/>
      <c r="BD44" s="747"/>
      <c r="BE44" s="747"/>
      <c r="BF44" s="747"/>
      <c r="BG44" s="747"/>
      <c r="BH44" s="747"/>
      <c r="BI44" s="747"/>
      <c r="BJ44" s="747"/>
      <c r="BK44" s="748"/>
      <c r="BL44" s="633" t="s">
        <v>293</v>
      </c>
      <c r="BM44" s="634"/>
      <c r="BN44" s="635"/>
    </row>
    <row r="45" spans="1:66" ht="46.2" customHeight="1" thickBot="1">
      <c r="A45" s="638"/>
      <c r="B45" s="639"/>
      <c r="C45" s="639"/>
      <c r="D45" s="639"/>
      <c r="E45" s="639"/>
      <c r="F45" s="639"/>
      <c r="G45" s="714"/>
      <c r="H45" s="662" t="s">
        <v>294</v>
      </c>
      <c r="I45" s="663"/>
      <c r="J45" s="663"/>
      <c r="K45" s="663"/>
      <c r="L45" s="663"/>
      <c r="M45" s="663"/>
      <c r="N45" s="663"/>
      <c r="O45" s="663"/>
      <c r="P45" s="663"/>
      <c r="Q45" s="663"/>
      <c r="R45" s="663"/>
      <c r="S45" s="663"/>
      <c r="T45" s="663"/>
      <c r="U45" s="663"/>
      <c r="V45" s="663"/>
      <c r="W45" s="758"/>
      <c r="X45" s="646" t="s">
        <v>295</v>
      </c>
      <c r="Y45" s="646"/>
      <c r="Z45" s="646"/>
      <c r="AA45" s="646"/>
      <c r="AB45" s="646"/>
      <c r="AC45" s="646"/>
      <c r="AD45" s="646"/>
      <c r="AE45" s="646"/>
      <c r="AF45" s="646"/>
      <c r="AG45" s="646"/>
      <c r="AH45" s="646"/>
      <c r="AI45" s="646"/>
      <c r="AJ45" s="646"/>
      <c r="AK45" s="646"/>
      <c r="AL45" s="646"/>
      <c r="AM45" s="646"/>
      <c r="AN45" s="646"/>
      <c r="AO45" s="664" t="s">
        <v>296</v>
      </c>
      <c r="AP45" s="650"/>
      <c r="AQ45" s="650"/>
      <c r="AR45" s="650"/>
      <c r="AS45" s="650"/>
      <c r="AT45" s="650"/>
      <c r="AU45" s="650"/>
      <c r="AV45" s="650"/>
      <c r="AW45" s="650"/>
      <c r="AX45" s="650"/>
      <c r="AY45" s="650"/>
      <c r="AZ45" s="650"/>
      <c r="BA45" s="650"/>
      <c r="BB45" s="650"/>
      <c r="BC45" s="650"/>
      <c r="BD45" s="650"/>
      <c r="BE45" s="650"/>
      <c r="BF45" s="650"/>
      <c r="BG45" s="650"/>
      <c r="BH45" s="650"/>
      <c r="BI45" s="650"/>
      <c r="BJ45" s="650"/>
      <c r="BK45" s="650"/>
      <c r="BL45" s="650"/>
      <c r="BM45" s="650"/>
      <c r="BN45" s="651"/>
    </row>
    <row r="46" spans="1:66" ht="25.95" customHeight="1" thickBot="1">
      <c r="A46" s="640"/>
      <c r="B46" s="641"/>
      <c r="C46" s="641"/>
      <c r="D46" s="641"/>
      <c r="E46" s="641"/>
      <c r="F46" s="641"/>
      <c r="G46" s="641"/>
      <c r="H46" s="730"/>
      <c r="I46" s="731"/>
      <c r="J46" s="731"/>
      <c r="K46" s="731"/>
      <c r="L46" s="731"/>
      <c r="M46" s="731"/>
      <c r="N46" s="731"/>
      <c r="O46" s="731"/>
      <c r="P46" s="731"/>
      <c r="Q46" s="731"/>
      <c r="R46" s="731"/>
      <c r="S46" s="731"/>
      <c r="T46" s="732"/>
      <c r="U46" s="733" t="s">
        <v>293</v>
      </c>
      <c r="V46" s="734"/>
      <c r="W46" s="735"/>
      <c r="X46" s="736" t="str">
        <f>IF(OR(X42="",X42=0),"",ROUNDDOWN(H46/X42,1))</f>
        <v/>
      </c>
      <c r="Y46" s="736"/>
      <c r="Z46" s="736"/>
      <c r="AA46" s="736"/>
      <c r="AB46" s="736"/>
      <c r="AC46" s="736"/>
      <c r="AD46" s="736"/>
      <c r="AE46" s="736"/>
      <c r="AF46" s="736"/>
      <c r="AG46" s="736"/>
      <c r="AH46" s="736"/>
      <c r="AI46" s="736"/>
      <c r="AJ46" s="736"/>
      <c r="AK46" s="736"/>
      <c r="AL46" s="736"/>
      <c r="AM46" s="736"/>
      <c r="AN46" s="134" t="s">
        <v>259</v>
      </c>
      <c r="AO46" s="737" t="str">
        <f>IF(OR(H46="",H46=0),"",ROUNDDOWN(AO44/H46*100,1))</f>
        <v/>
      </c>
      <c r="AP46" s="738"/>
      <c r="AQ46" s="738"/>
      <c r="AR46" s="738"/>
      <c r="AS46" s="738"/>
      <c r="AT46" s="738"/>
      <c r="AU46" s="738"/>
      <c r="AV46" s="738"/>
      <c r="AW46" s="738"/>
      <c r="AX46" s="738"/>
      <c r="AY46" s="738"/>
      <c r="AZ46" s="738"/>
      <c r="BA46" s="738"/>
      <c r="BB46" s="738"/>
      <c r="BC46" s="738"/>
      <c r="BD46" s="738"/>
      <c r="BE46" s="738"/>
      <c r="BF46" s="738"/>
      <c r="BG46" s="738"/>
      <c r="BH46" s="738"/>
      <c r="BI46" s="738"/>
      <c r="BJ46" s="738"/>
      <c r="BK46" s="738"/>
      <c r="BL46" s="738"/>
      <c r="BM46" s="738"/>
      <c r="BN46" s="739"/>
    </row>
    <row r="47" spans="1:66" ht="45.6" customHeight="1">
      <c r="A47" s="711" t="s">
        <v>297</v>
      </c>
      <c r="B47" s="712"/>
      <c r="C47" s="712"/>
      <c r="D47" s="712"/>
      <c r="E47" s="712"/>
      <c r="F47" s="712"/>
      <c r="G47" s="713"/>
      <c r="H47" s="645" t="s">
        <v>298</v>
      </c>
      <c r="I47" s="646"/>
      <c r="J47" s="646"/>
      <c r="K47" s="646"/>
      <c r="L47" s="646"/>
      <c r="M47" s="646"/>
      <c r="N47" s="646"/>
      <c r="O47" s="646"/>
      <c r="P47" s="646"/>
      <c r="Q47" s="646"/>
      <c r="R47" s="646"/>
      <c r="S47" s="646"/>
      <c r="T47" s="646"/>
      <c r="U47" s="646"/>
      <c r="V47" s="646"/>
      <c r="W47" s="647"/>
      <c r="X47" s="646" t="s">
        <v>299</v>
      </c>
      <c r="Y47" s="646"/>
      <c r="Z47" s="646"/>
      <c r="AA47" s="646"/>
      <c r="AB47" s="646"/>
      <c r="AC47" s="646"/>
      <c r="AD47" s="646"/>
      <c r="AE47" s="646"/>
      <c r="AF47" s="646"/>
      <c r="AG47" s="646"/>
      <c r="AH47" s="646"/>
      <c r="AI47" s="646"/>
      <c r="AJ47" s="646"/>
      <c r="AK47" s="646"/>
      <c r="AL47" s="646"/>
      <c r="AM47" s="646"/>
      <c r="AN47" s="646"/>
      <c r="AO47" s="642" t="s">
        <v>300</v>
      </c>
      <c r="AP47" s="643"/>
      <c r="AQ47" s="643"/>
      <c r="AR47" s="643"/>
      <c r="AS47" s="643"/>
      <c r="AT47" s="643"/>
      <c r="AU47" s="643"/>
      <c r="AV47" s="643"/>
      <c r="AW47" s="643"/>
      <c r="AX47" s="643"/>
      <c r="AY47" s="643"/>
      <c r="AZ47" s="643"/>
      <c r="BA47" s="643"/>
      <c r="BB47" s="643"/>
      <c r="BC47" s="643"/>
      <c r="BD47" s="643"/>
      <c r="BE47" s="643"/>
      <c r="BF47" s="643"/>
      <c r="BG47" s="643"/>
      <c r="BH47" s="643"/>
      <c r="BI47" s="643"/>
      <c r="BJ47" s="643"/>
      <c r="BK47" s="643"/>
      <c r="BL47" s="643"/>
      <c r="BM47" s="643"/>
      <c r="BN47" s="644"/>
    </row>
    <row r="48" spans="1:66" ht="25.95" customHeight="1">
      <c r="A48" s="638"/>
      <c r="B48" s="639"/>
      <c r="C48" s="639"/>
      <c r="D48" s="639"/>
      <c r="E48" s="639"/>
      <c r="F48" s="639"/>
      <c r="G48" s="714"/>
      <c r="H48" s="716" t="e">
        <f>雇用調整助成金助成額算定書!O22+雇用調整助成金助成額算定書!U22</f>
        <v>#VALUE!</v>
      </c>
      <c r="I48" s="717"/>
      <c r="J48" s="717"/>
      <c r="K48" s="717"/>
      <c r="L48" s="717"/>
      <c r="M48" s="717"/>
      <c r="N48" s="717"/>
      <c r="O48" s="717"/>
      <c r="P48" s="717"/>
      <c r="Q48" s="717"/>
      <c r="R48" s="717"/>
      <c r="S48" s="717"/>
      <c r="T48" s="718"/>
      <c r="U48" s="642" t="s">
        <v>293</v>
      </c>
      <c r="V48" s="643"/>
      <c r="W48" s="644"/>
      <c r="X48" s="716">
        <f>雇用調整助成金助成額算定書!AA22</f>
        <v>0</v>
      </c>
      <c r="Y48" s="717"/>
      <c r="Z48" s="717"/>
      <c r="AA48" s="717"/>
      <c r="AB48" s="717"/>
      <c r="AC48" s="717"/>
      <c r="AD48" s="717"/>
      <c r="AE48" s="717"/>
      <c r="AF48" s="717"/>
      <c r="AG48" s="717"/>
      <c r="AH48" s="717"/>
      <c r="AI48" s="717"/>
      <c r="AJ48" s="717"/>
      <c r="AK48" s="718"/>
      <c r="AL48" s="643" t="s">
        <v>293</v>
      </c>
      <c r="AM48" s="643"/>
      <c r="AN48" s="644"/>
      <c r="AO48" s="719" t="e">
        <f>H48+X48</f>
        <v>#VALUE!</v>
      </c>
      <c r="AP48" s="719"/>
      <c r="AQ48" s="719"/>
      <c r="AR48" s="719"/>
      <c r="AS48" s="719"/>
      <c r="AT48" s="719"/>
      <c r="AU48" s="719"/>
      <c r="AV48" s="719"/>
      <c r="AW48" s="719"/>
      <c r="AX48" s="719"/>
      <c r="AY48" s="719"/>
      <c r="AZ48" s="719"/>
      <c r="BA48" s="719"/>
      <c r="BB48" s="719"/>
      <c r="BC48" s="719"/>
      <c r="BD48" s="719"/>
      <c r="BE48" s="719"/>
      <c r="BF48" s="719"/>
      <c r="BG48" s="719"/>
      <c r="BH48" s="719"/>
      <c r="BI48" s="719"/>
      <c r="BJ48" s="719"/>
      <c r="BK48" s="719"/>
      <c r="BL48" s="642" t="s">
        <v>293</v>
      </c>
      <c r="BM48" s="643"/>
      <c r="BN48" s="644"/>
    </row>
    <row r="49" spans="1:66" ht="45.6" customHeight="1">
      <c r="A49" s="638"/>
      <c r="B49" s="639"/>
      <c r="C49" s="639"/>
      <c r="D49" s="639"/>
      <c r="E49" s="639"/>
      <c r="F49" s="639"/>
      <c r="G49" s="714"/>
      <c r="H49" s="720" t="s">
        <v>301</v>
      </c>
      <c r="I49" s="721"/>
      <c r="J49" s="721"/>
      <c r="K49" s="721"/>
      <c r="L49" s="721"/>
      <c r="M49" s="721"/>
      <c r="N49" s="721"/>
      <c r="O49" s="721"/>
      <c r="P49" s="721"/>
      <c r="Q49" s="721"/>
      <c r="R49" s="721"/>
      <c r="S49" s="721"/>
      <c r="T49" s="721"/>
      <c r="U49" s="721"/>
      <c r="V49" s="721"/>
      <c r="W49" s="722"/>
      <c r="X49" s="723" t="s">
        <v>302</v>
      </c>
      <c r="Y49" s="723"/>
      <c r="Z49" s="723"/>
      <c r="AA49" s="723"/>
      <c r="AB49" s="723"/>
      <c r="AC49" s="723"/>
      <c r="AD49" s="723"/>
      <c r="AE49" s="723"/>
      <c r="AF49" s="723"/>
      <c r="AG49" s="723"/>
      <c r="AH49" s="723"/>
      <c r="AI49" s="723"/>
      <c r="AJ49" s="723"/>
      <c r="AK49" s="723"/>
      <c r="AL49" s="723"/>
      <c r="AM49" s="723"/>
      <c r="AN49" s="723"/>
      <c r="AO49" s="642" t="s">
        <v>303</v>
      </c>
      <c r="AP49" s="643"/>
      <c r="AQ49" s="643"/>
      <c r="AR49" s="643"/>
      <c r="AS49" s="643"/>
      <c r="AT49" s="643"/>
      <c r="AU49" s="643"/>
      <c r="AV49" s="643"/>
      <c r="AW49" s="643"/>
      <c r="AX49" s="643"/>
      <c r="AY49" s="643"/>
      <c r="AZ49" s="643"/>
      <c r="BA49" s="643"/>
      <c r="BB49" s="643"/>
      <c r="BC49" s="643"/>
      <c r="BD49" s="643"/>
      <c r="BE49" s="643"/>
      <c r="BF49" s="643"/>
      <c r="BG49" s="643"/>
      <c r="BH49" s="643"/>
      <c r="BI49" s="643"/>
      <c r="BJ49" s="643"/>
      <c r="BK49" s="643"/>
      <c r="BL49" s="643"/>
      <c r="BM49" s="643"/>
      <c r="BN49" s="644"/>
    </row>
    <row r="50" spans="1:66" ht="25.2" customHeight="1" thickBot="1">
      <c r="A50" s="640"/>
      <c r="B50" s="641"/>
      <c r="C50" s="641"/>
      <c r="D50" s="641"/>
      <c r="E50" s="641"/>
      <c r="F50" s="641"/>
      <c r="G50" s="715"/>
      <c r="H50" s="724">
        <f>IF(雇用調整助成金助成額算定書!P28="",0,雇用調整助成金助成額算定書!P28)</f>
        <v>0</v>
      </c>
      <c r="I50" s="724"/>
      <c r="J50" s="724"/>
      <c r="K50" s="724"/>
      <c r="L50" s="724"/>
      <c r="M50" s="724"/>
      <c r="N50" s="724"/>
      <c r="O50" s="724"/>
      <c r="P50" s="724"/>
      <c r="Q50" s="724"/>
      <c r="R50" s="724"/>
      <c r="S50" s="724"/>
      <c r="T50" s="724"/>
      <c r="U50" s="725" t="s">
        <v>304</v>
      </c>
      <c r="V50" s="726"/>
      <c r="W50" s="727"/>
      <c r="X50" s="728">
        <f>IF(雇用調整助成金助成額算定書!AB28="",0,雇用調整助成金助成額算定書!AB28)</f>
        <v>0</v>
      </c>
      <c r="Y50" s="729"/>
      <c r="Z50" s="729"/>
      <c r="AA50" s="729"/>
      <c r="AB50" s="729"/>
      <c r="AC50" s="729"/>
      <c r="AD50" s="729"/>
      <c r="AE50" s="729"/>
      <c r="AF50" s="729"/>
      <c r="AG50" s="729"/>
      <c r="AH50" s="729"/>
      <c r="AI50" s="729"/>
      <c r="AJ50" s="729"/>
      <c r="AK50" s="729"/>
      <c r="AL50" s="725" t="s">
        <v>304</v>
      </c>
      <c r="AM50" s="726"/>
      <c r="AN50" s="727"/>
      <c r="AO50" s="719">
        <f>H50+X50</f>
        <v>0</v>
      </c>
      <c r="AP50" s="719"/>
      <c r="AQ50" s="719"/>
      <c r="AR50" s="719"/>
      <c r="AS50" s="719"/>
      <c r="AT50" s="719"/>
      <c r="AU50" s="719"/>
      <c r="AV50" s="719"/>
      <c r="AW50" s="719"/>
      <c r="AX50" s="719"/>
      <c r="AY50" s="719"/>
      <c r="AZ50" s="719"/>
      <c r="BA50" s="719"/>
      <c r="BB50" s="719"/>
      <c r="BC50" s="719"/>
      <c r="BD50" s="719"/>
      <c r="BE50" s="719"/>
      <c r="BF50" s="719"/>
      <c r="BG50" s="719"/>
      <c r="BH50" s="719"/>
      <c r="BI50" s="719"/>
      <c r="BJ50" s="719"/>
      <c r="BK50" s="719"/>
      <c r="BL50" s="725" t="s">
        <v>304</v>
      </c>
      <c r="BM50" s="726"/>
      <c r="BN50" s="727"/>
    </row>
    <row r="51" spans="1:66" ht="36.6" customHeight="1">
      <c r="A51" s="638" t="s">
        <v>305</v>
      </c>
      <c r="B51" s="639"/>
      <c r="C51" s="639"/>
      <c r="D51" s="639"/>
      <c r="E51" s="639"/>
      <c r="F51" s="639"/>
      <c r="G51" s="639"/>
      <c r="H51" s="701" t="s">
        <v>306</v>
      </c>
      <c r="I51" s="702"/>
      <c r="J51" s="702"/>
      <c r="K51" s="702"/>
      <c r="L51" s="702"/>
      <c r="M51" s="702"/>
      <c r="N51" s="702"/>
      <c r="O51" s="702"/>
      <c r="P51" s="702"/>
      <c r="Q51" s="702"/>
      <c r="R51" s="702"/>
      <c r="S51" s="702"/>
      <c r="T51" s="702"/>
      <c r="U51" s="703"/>
      <c r="V51" s="703"/>
      <c r="W51" s="703"/>
      <c r="X51" s="703"/>
      <c r="Y51" s="703"/>
      <c r="Z51" s="703"/>
      <c r="AA51" s="703"/>
      <c r="AB51" s="703"/>
      <c r="AC51" s="703"/>
      <c r="AD51" s="703"/>
      <c r="AE51" s="703"/>
      <c r="AF51" s="703"/>
      <c r="AG51" s="703"/>
      <c r="AH51" s="703"/>
      <c r="AI51" s="703"/>
      <c r="AJ51" s="703"/>
      <c r="AK51" s="703"/>
      <c r="AL51" s="119" t="s">
        <v>307</v>
      </c>
      <c r="AM51" s="702" t="s">
        <v>308</v>
      </c>
      <c r="AN51" s="702"/>
      <c r="AO51" s="702"/>
      <c r="AP51" s="702"/>
      <c r="AQ51" s="704"/>
      <c r="AR51" s="704"/>
      <c r="AS51" s="704"/>
      <c r="AT51" s="704"/>
      <c r="AU51" s="704"/>
      <c r="AV51" s="704"/>
      <c r="AW51" s="704"/>
      <c r="AX51" s="704"/>
      <c r="AY51" s="704"/>
      <c r="AZ51" s="704"/>
      <c r="BA51" s="704"/>
      <c r="BB51" s="704"/>
      <c r="BC51" s="704"/>
      <c r="BD51" s="704"/>
      <c r="BE51" s="704"/>
      <c r="BF51" s="704"/>
      <c r="BG51" s="704"/>
      <c r="BH51" s="704"/>
      <c r="BI51" s="704"/>
      <c r="BJ51" s="704"/>
      <c r="BK51" s="704"/>
      <c r="BL51" s="704"/>
      <c r="BM51" s="704"/>
      <c r="BN51" s="705"/>
    </row>
    <row r="52" spans="1:66" ht="21.6" customHeight="1">
      <c r="A52" s="638"/>
      <c r="B52" s="639"/>
      <c r="C52" s="639"/>
      <c r="D52" s="639"/>
      <c r="E52" s="639"/>
      <c r="F52" s="639"/>
      <c r="G52" s="639"/>
      <c r="H52" s="122"/>
      <c r="I52" s="706" t="s">
        <v>309</v>
      </c>
      <c r="J52" s="706"/>
      <c r="K52" s="706"/>
      <c r="L52" s="706"/>
      <c r="M52" s="706"/>
      <c r="N52" s="706"/>
      <c r="O52" s="706"/>
      <c r="P52" s="706"/>
      <c r="Q52" s="706"/>
      <c r="R52" s="120"/>
      <c r="S52" s="120"/>
      <c r="T52" s="120"/>
      <c r="U52" s="707"/>
      <c r="V52" s="707"/>
      <c r="W52" s="707"/>
      <c r="X52" s="707"/>
      <c r="Y52" s="707"/>
      <c r="Z52" s="707"/>
      <c r="AA52" s="707"/>
      <c r="AB52" s="707"/>
      <c r="AC52" s="707"/>
      <c r="AD52" s="707"/>
      <c r="AE52" s="707"/>
      <c r="AF52" s="707"/>
      <c r="AG52" s="707"/>
      <c r="AH52" s="707"/>
      <c r="AI52" s="707"/>
      <c r="AJ52" s="707"/>
      <c r="AK52" s="707"/>
      <c r="AL52" s="706" t="s">
        <v>310</v>
      </c>
      <c r="AM52" s="706"/>
      <c r="AN52" s="706"/>
      <c r="AO52" s="706"/>
      <c r="AP52" s="706"/>
      <c r="AQ52" s="706"/>
      <c r="AR52" s="706"/>
      <c r="AS52" s="708"/>
      <c r="AT52" s="708"/>
      <c r="AU52" s="708"/>
      <c r="AV52" s="708"/>
      <c r="AW52" s="708"/>
      <c r="AX52" s="708"/>
      <c r="AY52" s="708"/>
      <c r="AZ52" s="708"/>
      <c r="BA52" s="708"/>
      <c r="BB52" s="708"/>
      <c r="BC52" s="708"/>
      <c r="BD52" s="708"/>
      <c r="BE52" s="708"/>
      <c r="BF52" s="708"/>
      <c r="BG52" s="708"/>
      <c r="BH52" s="708"/>
      <c r="BI52" s="708"/>
      <c r="BJ52" s="708"/>
      <c r="BK52" s="708"/>
      <c r="BL52" s="708"/>
      <c r="BM52" s="708"/>
      <c r="BN52" s="709"/>
    </row>
    <row r="53" spans="1:66" ht="27.6" customHeight="1" thickBot="1">
      <c r="A53" s="699"/>
      <c r="B53" s="700"/>
      <c r="C53" s="700"/>
      <c r="D53" s="700"/>
      <c r="E53" s="700"/>
      <c r="F53" s="700"/>
      <c r="G53" s="700"/>
      <c r="H53" s="128"/>
      <c r="I53" s="710" t="s">
        <v>311</v>
      </c>
      <c r="J53" s="710"/>
      <c r="K53" s="710"/>
      <c r="L53" s="710"/>
      <c r="M53" s="710"/>
      <c r="N53" s="710"/>
      <c r="O53" s="710"/>
      <c r="P53" s="710"/>
      <c r="Q53" s="710"/>
      <c r="R53" s="132"/>
      <c r="S53" s="132"/>
      <c r="T53" s="132"/>
      <c r="U53" s="694"/>
      <c r="V53" s="694"/>
      <c r="W53" s="694"/>
      <c r="X53" s="694"/>
      <c r="Y53" s="694"/>
      <c r="Z53" s="694"/>
      <c r="AA53" s="694"/>
      <c r="AB53" s="694"/>
      <c r="AC53" s="694"/>
      <c r="AD53" s="694"/>
      <c r="AE53" s="694"/>
      <c r="AF53" s="694"/>
      <c r="AG53" s="694"/>
      <c r="AH53" s="694"/>
      <c r="AI53" s="694"/>
      <c r="AJ53" s="694"/>
      <c r="AK53" s="694"/>
      <c r="AL53" s="695" t="s">
        <v>312</v>
      </c>
      <c r="AM53" s="695"/>
      <c r="AN53" s="695"/>
      <c r="AO53" s="695"/>
      <c r="AP53" s="695"/>
      <c r="AQ53" s="694"/>
      <c r="AR53" s="694"/>
      <c r="AS53" s="694"/>
      <c r="AT53" s="694"/>
      <c r="AU53" s="694"/>
      <c r="AV53" s="695" t="s">
        <v>313</v>
      </c>
      <c r="AW53" s="695"/>
      <c r="AX53" s="695"/>
      <c r="AY53" s="695"/>
      <c r="AZ53" s="694"/>
      <c r="BA53" s="694"/>
      <c r="BB53" s="694"/>
      <c r="BC53" s="694"/>
      <c r="BD53" s="694"/>
      <c r="BE53" s="694"/>
      <c r="BF53" s="694"/>
      <c r="BG53" s="694"/>
      <c r="BH53" s="694"/>
      <c r="BI53" s="694"/>
      <c r="BJ53" s="133"/>
      <c r="BK53" s="133"/>
      <c r="BL53" s="133"/>
      <c r="BM53" s="133"/>
      <c r="BN53" s="135"/>
    </row>
    <row r="54" spans="1:66" ht="25.2" customHeight="1" thickBot="1">
      <c r="A54" s="696" t="s">
        <v>314</v>
      </c>
      <c r="B54" s="697"/>
      <c r="C54" s="697"/>
      <c r="D54" s="697"/>
      <c r="E54" s="697"/>
      <c r="F54" s="697"/>
      <c r="G54" s="697"/>
      <c r="H54" s="697"/>
      <c r="I54" s="697" t="s">
        <v>256</v>
      </c>
      <c r="J54" s="697"/>
      <c r="K54" s="136"/>
      <c r="L54" s="136" t="s">
        <v>257</v>
      </c>
      <c r="M54" s="698"/>
      <c r="N54" s="698"/>
      <c r="O54" s="136" t="s">
        <v>258</v>
      </c>
      <c r="P54" s="698"/>
      <c r="Q54" s="698"/>
      <c r="R54" s="136" t="s">
        <v>259</v>
      </c>
      <c r="S54" s="136" t="s">
        <v>315</v>
      </c>
      <c r="T54" s="698" t="s">
        <v>256</v>
      </c>
      <c r="U54" s="698"/>
      <c r="V54" s="136"/>
      <c r="W54" s="136" t="s">
        <v>257</v>
      </c>
      <c r="X54" s="698"/>
      <c r="Y54" s="698"/>
      <c r="Z54" s="136" t="s">
        <v>258</v>
      </c>
      <c r="AA54" s="698"/>
      <c r="AB54" s="698"/>
      <c r="AC54" s="136" t="s">
        <v>259</v>
      </c>
      <c r="AD54" s="136"/>
      <c r="AE54" s="137"/>
      <c r="AF54" s="138"/>
      <c r="AG54" s="138"/>
      <c r="AH54" s="138"/>
      <c r="AI54" s="138"/>
      <c r="AJ54" s="138"/>
      <c r="AK54" s="138"/>
      <c r="AL54" s="139"/>
      <c r="AM54" s="139"/>
      <c r="AN54" s="139"/>
      <c r="AO54" s="139"/>
      <c r="AP54" s="139"/>
      <c r="AQ54" s="139"/>
      <c r="AR54" s="139"/>
      <c r="AS54" s="139"/>
      <c r="AT54" s="139"/>
      <c r="AU54" s="139"/>
      <c r="AV54" s="139"/>
      <c r="AW54" s="139"/>
      <c r="AX54" s="139"/>
      <c r="AY54" s="139"/>
      <c r="AZ54" s="138"/>
      <c r="BA54" s="138"/>
      <c r="BB54" s="138"/>
      <c r="BC54" s="138"/>
      <c r="BD54" s="138"/>
      <c r="BE54" s="138"/>
      <c r="BF54" s="138"/>
      <c r="BG54" s="138"/>
      <c r="BH54" s="138"/>
      <c r="BI54" s="138"/>
      <c r="BJ54" s="138"/>
      <c r="BK54" s="138"/>
      <c r="BL54" s="138"/>
      <c r="BM54" s="138"/>
      <c r="BN54" s="140"/>
    </row>
    <row r="55" spans="1:66" ht="25.2" customHeight="1">
      <c r="A55" s="685" t="s">
        <v>316</v>
      </c>
      <c r="B55" s="686"/>
      <c r="C55" s="686"/>
      <c r="D55" s="686"/>
      <c r="E55" s="686"/>
      <c r="F55" s="686"/>
      <c r="G55" s="686"/>
      <c r="H55" s="662" t="s">
        <v>317</v>
      </c>
      <c r="I55" s="663"/>
      <c r="J55" s="663"/>
      <c r="K55" s="663"/>
      <c r="L55" s="663"/>
      <c r="M55" s="663"/>
      <c r="N55" s="663"/>
      <c r="O55" s="663"/>
      <c r="P55" s="663"/>
      <c r="Q55" s="663"/>
      <c r="R55" s="663"/>
      <c r="S55" s="683"/>
      <c r="T55" s="683"/>
      <c r="U55" s="683"/>
      <c r="V55" s="683"/>
      <c r="W55" s="683"/>
      <c r="X55" s="683"/>
      <c r="Y55" s="683"/>
      <c r="Z55" s="683"/>
      <c r="AA55" s="683"/>
      <c r="AB55" s="683"/>
      <c r="AC55" s="683"/>
      <c r="AD55" s="683"/>
      <c r="AE55" s="683"/>
      <c r="AF55" s="649"/>
      <c r="AG55" s="687"/>
      <c r="AH55" s="682" t="s">
        <v>318</v>
      </c>
      <c r="AI55" s="682"/>
      <c r="AJ55" s="682"/>
      <c r="AK55" s="682"/>
      <c r="AL55" s="682"/>
      <c r="AM55" s="682"/>
      <c r="AN55" s="682"/>
      <c r="AO55" s="682"/>
      <c r="AP55" s="682"/>
      <c r="AQ55" s="682"/>
      <c r="AR55" s="682"/>
      <c r="AS55" s="682"/>
      <c r="AT55" s="682"/>
      <c r="AU55" s="682"/>
      <c r="AV55" s="682"/>
      <c r="AW55" s="682" t="s">
        <v>319</v>
      </c>
      <c r="AX55" s="682"/>
      <c r="AY55" s="682"/>
      <c r="AZ55" s="682"/>
      <c r="BA55" s="682"/>
      <c r="BB55" s="682"/>
      <c r="BC55" s="682"/>
      <c r="BD55" s="682"/>
      <c r="BE55" s="682"/>
      <c r="BF55" s="682"/>
      <c r="BG55" s="682"/>
      <c r="BH55" s="682"/>
      <c r="BI55" s="682"/>
      <c r="BJ55" s="682"/>
      <c r="BK55" s="682"/>
      <c r="BL55" s="682"/>
      <c r="BM55" s="682"/>
      <c r="BN55" s="682"/>
    </row>
    <row r="56" spans="1:66" ht="18.600000000000001" customHeight="1">
      <c r="A56" s="638"/>
      <c r="B56" s="639"/>
      <c r="C56" s="639"/>
      <c r="D56" s="639"/>
      <c r="E56" s="639"/>
      <c r="F56" s="639"/>
      <c r="G56" s="639"/>
      <c r="H56" s="645" t="s">
        <v>320</v>
      </c>
      <c r="I56" s="646"/>
      <c r="J56" s="646"/>
      <c r="K56" s="646"/>
      <c r="L56" s="646"/>
      <c r="M56" s="646"/>
      <c r="N56" s="646"/>
      <c r="O56" s="646"/>
      <c r="P56" s="646"/>
      <c r="Q56" s="646"/>
      <c r="R56" s="646"/>
      <c r="S56" s="683"/>
      <c r="T56" s="683"/>
      <c r="U56" s="683"/>
      <c r="V56" s="683"/>
      <c r="W56" s="683"/>
      <c r="X56" s="683"/>
      <c r="Y56" s="683"/>
      <c r="Z56" s="683"/>
      <c r="AA56" s="683"/>
      <c r="AB56" s="683"/>
      <c r="AC56" s="683"/>
      <c r="AD56" s="683"/>
      <c r="AE56" s="683"/>
      <c r="AF56" s="683"/>
      <c r="AG56" s="684"/>
      <c r="AH56" s="682"/>
      <c r="AI56" s="682"/>
      <c r="AJ56" s="682"/>
      <c r="AK56" s="682"/>
      <c r="AL56" s="682"/>
      <c r="AM56" s="682"/>
      <c r="AN56" s="682"/>
      <c r="AO56" s="682"/>
      <c r="AP56" s="682"/>
      <c r="AQ56" s="682"/>
      <c r="AR56" s="682"/>
      <c r="AS56" s="682"/>
      <c r="AT56" s="682"/>
      <c r="AU56" s="682"/>
      <c r="AV56" s="682"/>
      <c r="AW56" s="682"/>
      <c r="AX56" s="682"/>
      <c r="AY56" s="682"/>
      <c r="AZ56" s="682"/>
      <c r="BA56" s="682"/>
      <c r="BB56" s="682"/>
      <c r="BC56" s="682"/>
      <c r="BD56" s="682"/>
      <c r="BE56" s="682"/>
      <c r="BF56" s="682"/>
      <c r="BG56" s="682"/>
      <c r="BH56" s="682"/>
      <c r="BI56" s="682"/>
      <c r="BJ56" s="682"/>
      <c r="BK56" s="682"/>
      <c r="BL56" s="682"/>
      <c r="BM56" s="682"/>
      <c r="BN56" s="682"/>
    </row>
    <row r="57" spans="1:66" ht="24.6" customHeight="1">
      <c r="A57" s="638"/>
      <c r="B57" s="639"/>
      <c r="C57" s="639"/>
      <c r="D57" s="639"/>
      <c r="E57" s="639"/>
      <c r="F57" s="639"/>
      <c r="G57" s="639"/>
      <c r="H57" s="633"/>
      <c r="I57" s="634"/>
      <c r="J57" s="634"/>
      <c r="K57" s="634"/>
      <c r="L57" s="634"/>
      <c r="M57" s="634"/>
      <c r="N57" s="634"/>
      <c r="O57" s="634"/>
      <c r="P57" s="634"/>
      <c r="Q57" s="634"/>
      <c r="R57" s="634"/>
      <c r="S57" s="634"/>
      <c r="T57" s="634"/>
      <c r="U57" s="634"/>
      <c r="V57" s="634"/>
      <c r="W57" s="634"/>
      <c r="X57" s="634"/>
      <c r="Y57" s="634"/>
      <c r="Z57" s="634"/>
      <c r="AA57" s="634"/>
      <c r="AB57" s="634"/>
      <c r="AC57" s="634"/>
      <c r="AD57" s="634"/>
      <c r="AE57" s="634"/>
      <c r="AF57" s="634"/>
      <c r="AG57" s="635"/>
      <c r="AH57" s="682"/>
      <c r="AI57" s="682"/>
      <c r="AJ57" s="682"/>
      <c r="AK57" s="682"/>
      <c r="AL57" s="682"/>
      <c r="AM57" s="682"/>
      <c r="AN57" s="682"/>
      <c r="AO57" s="682"/>
      <c r="AP57" s="682"/>
      <c r="AQ57" s="682"/>
      <c r="AR57" s="682"/>
      <c r="AS57" s="682"/>
      <c r="AT57" s="682"/>
      <c r="AU57" s="682"/>
      <c r="AV57" s="682"/>
      <c r="AW57" s="682"/>
      <c r="AX57" s="682"/>
      <c r="AY57" s="682"/>
      <c r="AZ57" s="682"/>
      <c r="BA57" s="682"/>
      <c r="BB57" s="682"/>
      <c r="BC57" s="682"/>
      <c r="BD57" s="682"/>
      <c r="BE57" s="682"/>
      <c r="BF57" s="682"/>
      <c r="BG57" s="682"/>
      <c r="BH57" s="682"/>
      <c r="BI57" s="682"/>
      <c r="BJ57" s="682"/>
      <c r="BK57" s="682"/>
      <c r="BL57" s="682"/>
      <c r="BM57" s="682"/>
      <c r="BN57" s="682"/>
    </row>
    <row r="58" spans="1:66" ht="25.2" customHeight="1">
      <c r="A58" s="638"/>
      <c r="B58" s="639"/>
      <c r="C58" s="639"/>
      <c r="D58" s="639"/>
      <c r="E58" s="639"/>
      <c r="F58" s="639"/>
      <c r="G58" s="639"/>
      <c r="H58" s="633" t="s">
        <v>321</v>
      </c>
      <c r="I58" s="634"/>
      <c r="J58" s="634"/>
      <c r="K58" s="634"/>
      <c r="L58" s="634"/>
      <c r="M58" s="634"/>
      <c r="N58" s="634"/>
      <c r="O58" s="634"/>
      <c r="P58" s="634"/>
      <c r="Q58" s="141"/>
      <c r="R58" s="142"/>
      <c r="S58" s="142"/>
      <c r="T58" s="142"/>
      <c r="U58" s="142"/>
      <c r="V58" s="142"/>
      <c r="W58" s="142"/>
      <c r="X58" s="142"/>
      <c r="Y58" s="142"/>
      <c r="Z58" s="142"/>
      <c r="AA58" s="142"/>
      <c r="AB58" s="142"/>
      <c r="AC58" s="142"/>
      <c r="AD58" s="142"/>
      <c r="AE58" s="634" t="s">
        <v>322</v>
      </c>
      <c r="AF58" s="634"/>
      <c r="AG58" s="634"/>
      <c r="AH58" s="634"/>
      <c r="AI58" s="634"/>
      <c r="AJ58" s="634"/>
      <c r="AK58" s="634"/>
      <c r="AL58" s="634"/>
      <c r="AM58" s="634"/>
      <c r="AN58" s="634"/>
      <c r="AO58" s="688"/>
      <c r="AP58" s="689"/>
      <c r="AQ58" s="143" t="s">
        <v>257</v>
      </c>
      <c r="AR58" s="689"/>
      <c r="AS58" s="689"/>
      <c r="AT58" s="143" t="s">
        <v>258</v>
      </c>
      <c r="AU58" s="689"/>
      <c r="AV58" s="689"/>
      <c r="AW58" s="144" t="s">
        <v>259</v>
      </c>
      <c r="AX58" s="637"/>
      <c r="AY58" s="637"/>
      <c r="AZ58" s="637"/>
      <c r="BA58" s="637"/>
      <c r="BB58" s="637"/>
      <c r="BC58" s="637"/>
      <c r="BD58" s="637"/>
      <c r="BE58" s="637"/>
      <c r="BF58" s="637"/>
      <c r="BG58" s="637"/>
      <c r="BH58" s="637"/>
      <c r="BI58" s="637"/>
      <c r="BJ58" s="637"/>
      <c r="BK58" s="637"/>
      <c r="BL58" s="637"/>
      <c r="BM58" s="637"/>
      <c r="BN58" s="667"/>
    </row>
    <row r="59" spans="1:66" ht="25.2" customHeight="1">
      <c r="A59" s="638"/>
      <c r="B59" s="639"/>
      <c r="C59" s="639"/>
      <c r="D59" s="639"/>
      <c r="E59" s="639"/>
      <c r="F59" s="639"/>
      <c r="G59" s="639"/>
      <c r="H59" s="664" t="s">
        <v>323</v>
      </c>
      <c r="I59" s="650"/>
      <c r="J59" s="650"/>
      <c r="K59" s="650"/>
      <c r="L59" s="650"/>
      <c r="M59" s="650"/>
      <c r="N59" s="651"/>
      <c r="O59" s="671" t="s">
        <v>324</v>
      </c>
      <c r="P59" s="671"/>
      <c r="Q59" s="671"/>
      <c r="R59" s="671"/>
      <c r="S59" s="671"/>
      <c r="T59" s="671"/>
      <c r="U59" s="671"/>
      <c r="V59" s="671"/>
      <c r="W59" s="671"/>
      <c r="X59" s="671"/>
      <c r="Y59" s="671"/>
      <c r="Z59" s="671"/>
      <c r="AA59" s="671"/>
      <c r="AB59" s="671"/>
      <c r="AC59" s="671"/>
      <c r="AD59" s="671"/>
      <c r="AE59" s="671"/>
      <c r="AF59" s="671"/>
      <c r="AG59" s="671"/>
      <c r="AH59" s="671"/>
      <c r="AI59" s="671"/>
      <c r="AJ59" s="671"/>
      <c r="AK59" s="671"/>
      <c r="AL59" s="671"/>
      <c r="AM59" s="671"/>
      <c r="AN59" s="671"/>
      <c r="AO59" s="671"/>
      <c r="AP59" s="671"/>
      <c r="AQ59" s="671"/>
      <c r="AR59" s="671"/>
      <c r="AS59" s="671"/>
      <c r="AT59" s="671"/>
      <c r="AU59" s="671"/>
      <c r="AV59" s="671"/>
      <c r="AW59" s="671"/>
      <c r="AX59" s="671"/>
      <c r="AY59" s="671"/>
      <c r="AZ59" s="671"/>
      <c r="BA59" s="671"/>
      <c r="BB59" s="671"/>
      <c r="BC59" s="671"/>
      <c r="BD59" s="671"/>
      <c r="BE59" s="671"/>
      <c r="BF59" s="671"/>
      <c r="BG59" s="671"/>
      <c r="BH59" s="671"/>
      <c r="BI59" s="671"/>
      <c r="BJ59" s="671"/>
      <c r="BK59" s="671"/>
      <c r="BL59" s="671"/>
      <c r="BM59" s="671"/>
      <c r="BN59" s="672"/>
    </row>
    <row r="60" spans="1:66" ht="18.600000000000001" customHeight="1">
      <c r="A60" s="638"/>
      <c r="B60" s="639"/>
      <c r="C60" s="639"/>
      <c r="D60" s="639"/>
      <c r="E60" s="639"/>
      <c r="F60" s="639"/>
      <c r="G60" s="639"/>
      <c r="H60" s="645"/>
      <c r="I60" s="646"/>
      <c r="J60" s="646"/>
      <c r="K60" s="646"/>
      <c r="L60" s="646"/>
      <c r="M60" s="646"/>
      <c r="N60" s="647"/>
      <c r="O60" s="673"/>
      <c r="P60" s="674"/>
      <c r="Q60" s="674"/>
      <c r="R60" s="674"/>
      <c r="S60" s="674"/>
      <c r="T60" s="674"/>
      <c r="U60" s="674"/>
      <c r="V60" s="674"/>
      <c r="W60" s="674"/>
      <c r="X60" s="674"/>
      <c r="Y60" s="674"/>
      <c r="Z60" s="674"/>
      <c r="AA60" s="674"/>
      <c r="AB60" s="674"/>
      <c r="AC60" s="674"/>
      <c r="AD60" s="674"/>
      <c r="AE60" s="674"/>
      <c r="AF60" s="674"/>
      <c r="AG60" s="674"/>
      <c r="AH60" s="674"/>
      <c r="AI60" s="674"/>
      <c r="AJ60" s="674"/>
      <c r="AK60" s="674"/>
      <c r="AL60" s="674"/>
      <c r="AM60" s="674"/>
      <c r="AN60" s="674"/>
      <c r="AO60" s="674"/>
      <c r="AP60" s="674"/>
      <c r="AQ60" s="674"/>
      <c r="AR60" s="674"/>
      <c r="AS60" s="674"/>
      <c r="AT60" s="674"/>
      <c r="AU60" s="674"/>
      <c r="AV60" s="674"/>
      <c r="AW60" s="674"/>
      <c r="AX60" s="674"/>
      <c r="AY60" s="674"/>
      <c r="AZ60" s="674"/>
      <c r="BA60" s="674"/>
      <c r="BB60" s="674"/>
      <c r="BC60" s="674"/>
      <c r="BD60" s="674"/>
      <c r="BE60" s="674"/>
      <c r="BF60" s="674"/>
      <c r="BG60" s="674"/>
      <c r="BH60" s="674"/>
      <c r="BI60" s="674"/>
      <c r="BJ60" s="674"/>
      <c r="BK60" s="674"/>
      <c r="BL60" s="674"/>
      <c r="BM60" s="674"/>
      <c r="BN60" s="675"/>
    </row>
    <row r="61" spans="1:66" ht="19.2" customHeight="1" thickBot="1">
      <c r="A61" s="638"/>
      <c r="B61" s="639"/>
      <c r="C61" s="639"/>
      <c r="D61" s="639"/>
      <c r="E61" s="639"/>
      <c r="F61" s="639"/>
      <c r="G61" s="639"/>
      <c r="H61" s="668"/>
      <c r="I61" s="669"/>
      <c r="J61" s="669"/>
      <c r="K61" s="669"/>
      <c r="L61" s="669"/>
      <c r="M61" s="669"/>
      <c r="N61" s="670"/>
      <c r="O61" s="676"/>
      <c r="P61" s="677"/>
      <c r="Q61" s="677"/>
      <c r="R61" s="677"/>
      <c r="S61" s="677"/>
      <c r="T61" s="677"/>
      <c r="U61" s="677"/>
      <c r="V61" s="677"/>
      <c r="W61" s="677"/>
      <c r="X61" s="677"/>
      <c r="Y61" s="671"/>
      <c r="Z61" s="671"/>
      <c r="AA61" s="671"/>
      <c r="AB61" s="671"/>
      <c r="AC61" s="671"/>
      <c r="AD61" s="671"/>
      <c r="AE61" s="671"/>
      <c r="AF61" s="671"/>
      <c r="AG61" s="671"/>
      <c r="AH61" s="671"/>
      <c r="AI61" s="671"/>
      <c r="AJ61" s="671"/>
      <c r="AK61" s="671"/>
      <c r="AL61" s="671"/>
      <c r="AM61" s="671"/>
      <c r="AN61" s="671"/>
      <c r="AO61" s="671"/>
      <c r="AP61" s="671"/>
      <c r="AQ61" s="671"/>
      <c r="AR61" s="671"/>
      <c r="AS61" s="671"/>
      <c r="AT61" s="671"/>
      <c r="AU61" s="671"/>
      <c r="AV61" s="671"/>
      <c r="AW61" s="671"/>
      <c r="AX61" s="671"/>
      <c r="AY61" s="671"/>
      <c r="AZ61" s="671"/>
      <c r="BA61" s="671"/>
      <c r="BB61" s="671"/>
      <c r="BC61" s="671"/>
      <c r="BD61" s="671"/>
      <c r="BE61" s="671"/>
      <c r="BF61" s="671"/>
      <c r="BG61" s="671"/>
      <c r="BH61" s="671"/>
      <c r="BI61" s="671"/>
      <c r="BJ61" s="671"/>
      <c r="BK61" s="671"/>
      <c r="BL61" s="671"/>
      <c r="BM61" s="671"/>
      <c r="BN61" s="672"/>
    </row>
    <row r="62" spans="1:66" ht="29.4" customHeight="1">
      <c r="A62" s="638"/>
      <c r="B62" s="639"/>
      <c r="C62" s="639"/>
      <c r="D62" s="639"/>
      <c r="E62" s="639"/>
      <c r="F62" s="639"/>
      <c r="G62" s="639"/>
      <c r="H62" s="678" t="s">
        <v>325</v>
      </c>
      <c r="I62" s="679"/>
      <c r="J62" s="679"/>
      <c r="K62" s="679"/>
      <c r="L62" s="679"/>
      <c r="M62" s="679"/>
      <c r="N62" s="679"/>
      <c r="O62" s="680"/>
      <c r="P62" s="680"/>
      <c r="Q62" s="680"/>
      <c r="R62" s="680"/>
      <c r="S62" s="680"/>
      <c r="T62" s="680"/>
      <c r="U62" s="680"/>
      <c r="V62" s="679" t="s">
        <v>304</v>
      </c>
      <c r="W62" s="679"/>
      <c r="X62" s="681"/>
      <c r="Y62" s="145"/>
      <c r="Z62" s="146"/>
      <c r="AA62" s="146"/>
      <c r="AB62" s="146"/>
      <c r="AC62" s="146"/>
      <c r="AD62" s="146"/>
      <c r="AE62" s="146"/>
      <c r="AF62" s="146"/>
      <c r="AG62" s="146"/>
      <c r="AH62" s="146"/>
      <c r="AI62" s="146"/>
      <c r="AJ62" s="146"/>
      <c r="AK62" s="146"/>
      <c r="AL62" s="146"/>
      <c r="AM62" s="146"/>
      <c r="AN62" s="146"/>
      <c r="AO62" s="146"/>
      <c r="AP62" s="146"/>
      <c r="AQ62" s="146"/>
      <c r="AR62" s="146"/>
      <c r="AS62" s="146"/>
      <c r="AT62" s="146"/>
      <c r="AU62" s="146"/>
      <c r="AV62" s="146"/>
      <c r="AW62" s="146"/>
      <c r="AX62" s="146"/>
      <c r="AY62" s="146"/>
      <c r="AZ62" s="146"/>
      <c r="BA62" s="146"/>
      <c r="BB62" s="146"/>
      <c r="BC62" s="146"/>
      <c r="BD62" s="146"/>
      <c r="BE62" s="146"/>
      <c r="BF62" s="146"/>
      <c r="BG62" s="146"/>
      <c r="BH62" s="146"/>
      <c r="BI62" s="146"/>
      <c r="BJ62" s="146"/>
      <c r="BK62" s="146"/>
      <c r="BL62" s="146"/>
      <c r="BM62" s="146"/>
      <c r="BN62" s="147"/>
    </row>
    <row r="63" spans="1:66" ht="29.4" customHeight="1" thickBot="1">
      <c r="A63" s="638"/>
      <c r="B63" s="639"/>
      <c r="C63" s="639"/>
      <c r="D63" s="639"/>
      <c r="E63" s="639"/>
      <c r="F63" s="639"/>
      <c r="G63" s="639"/>
      <c r="H63" s="690" t="s">
        <v>326</v>
      </c>
      <c r="I63" s="691"/>
      <c r="J63" s="691"/>
      <c r="K63" s="691"/>
      <c r="L63" s="691"/>
      <c r="M63" s="691"/>
      <c r="N63" s="691"/>
      <c r="O63" s="692"/>
      <c r="P63" s="692"/>
      <c r="Q63" s="692"/>
      <c r="R63" s="692"/>
      <c r="S63" s="692"/>
      <c r="T63" s="692"/>
      <c r="U63" s="692"/>
      <c r="V63" s="691" t="s">
        <v>304</v>
      </c>
      <c r="W63" s="691"/>
      <c r="X63" s="693"/>
      <c r="Y63" s="148"/>
      <c r="Z63" s="149"/>
      <c r="AA63" s="149"/>
      <c r="AB63" s="149"/>
      <c r="AC63" s="149"/>
      <c r="AD63" s="149"/>
      <c r="AE63" s="149"/>
      <c r="AF63" s="149"/>
      <c r="AG63" s="149"/>
      <c r="AH63" s="149"/>
      <c r="AI63" s="149"/>
      <c r="AJ63" s="149"/>
      <c r="AK63" s="149"/>
      <c r="AL63" s="149"/>
      <c r="AM63" s="149"/>
      <c r="AN63" s="149"/>
      <c r="AO63" s="149"/>
      <c r="AP63" s="149"/>
      <c r="AQ63" s="149"/>
      <c r="AR63" s="149"/>
      <c r="AS63" s="149"/>
      <c r="AT63" s="149"/>
      <c r="AU63" s="149"/>
      <c r="AV63" s="149"/>
      <c r="AW63" s="149"/>
      <c r="AX63" s="149"/>
      <c r="AY63" s="149"/>
      <c r="AZ63" s="149"/>
      <c r="BA63" s="149"/>
      <c r="BB63" s="149"/>
      <c r="BC63" s="149"/>
      <c r="BD63" s="149"/>
      <c r="BE63" s="149"/>
      <c r="BF63" s="149"/>
      <c r="BG63" s="149"/>
      <c r="BH63" s="149"/>
      <c r="BI63" s="149"/>
      <c r="BJ63" s="149"/>
      <c r="BK63" s="149"/>
      <c r="BL63" s="149"/>
      <c r="BM63" s="149"/>
      <c r="BN63" s="150"/>
    </row>
    <row r="64" spans="1:66" ht="44.4" customHeight="1" thickTop="1">
      <c r="A64" s="638" t="s">
        <v>327</v>
      </c>
      <c r="B64" s="639"/>
      <c r="C64" s="639"/>
      <c r="D64" s="639"/>
      <c r="E64" s="639"/>
      <c r="F64" s="639"/>
      <c r="G64" s="639"/>
      <c r="H64" s="659" t="s">
        <v>328</v>
      </c>
      <c r="I64" s="660"/>
      <c r="J64" s="660"/>
      <c r="K64" s="660"/>
      <c r="L64" s="660"/>
      <c r="M64" s="660"/>
      <c r="N64" s="661"/>
      <c r="O64" s="660" t="s">
        <v>329</v>
      </c>
      <c r="P64" s="660"/>
      <c r="Q64" s="660"/>
      <c r="R64" s="660"/>
      <c r="S64" s="660"/>
      <c r="T64" s="660"/>
      <c r="U64" s="660"/>
      <c r="V64" s="660"/>
      <c r="W64" s="660"/>
      <c r="X64" s="660"/>
      <c r="Y64" s="642" t="s">
        <v>330</v>
      </c>
      <c r="Z64" s="643"/>
      <c r="AA64" s="643"/>
      <c r="AB64" s="643"/>
      <c r="AC64" s="643"/>
      <c r="AD64" s="643"/>
      <c r="AE64" s="643"/>
      <c r="AF64" s="643"/>
      <c r="AG64" s="643"/>
      <c r="AH64" s="643"/>
      <c r="AI64" s="644"/>
      <c r="AJ64" s="643" t="s">
        <v>331</v>
      </c>
      <c r="AK64" s="643"/>
      <c r="AL64" s="643"/>
      <c r="AM64" s="643"/>
      <c r="AN64" s="643"/>
      <c r="AO64" s="643"/>
      <c r="AP64" s="643"/>
      <c r="AQ64" s="643"/>
      <c r="AR64" s="643"/>
      <c r="AS64" s="643"/>
      <c r="AT64" s="643"/>
      <c r="AU64" s="642" t="s">
        <v>332</v>
      </c>
      <c r="AV64" s="643"/>
      <c r="AW64" s="643"/>
      <c r="AX64" s="643"/>
      <c r="AY64" s="643"/>
      <c r="AZ64" s="643"/>
      <c r="BA64" s="644"/>
      <c r="BB64" s="643" t="s">
        <v>333</v>
      </c>
      <c r="BC64" s="643"/>
      <c r="BD64" s="643"/>
      <c r="BE64" s="643"/>
      <c r="BF64" s="643"/>
      <c r="BG64" s="643"/>
      <c r="BH64" s="643"/>
      <c r="BI64" s="643"/>
      <c r="BJ64" s="643"/>
      <c r="BK64" s="643"/>
      <c r="BL64" s="643"/>
      <c r="BM64" s="643"/>
      <c r="BN64" s="644"/>
    </row>
    <row r="65" spans="1:66" ht="19.95" customHeight="1">
      <c r="A65" s="638"/>
      <c r="B65" s="639"/>
      <c r="C65" s="639"/>
      <c r="D65" s="639"/>
      <c r="E65" s="639"/>
      <c r="F65" s="639"/>
      <c r="G65" s="639"/>
      <c r="H65" s="645" t="s">
        <v>334</v>
      </c>
      <c r="I65" s="646"/>
      <c r="J65" s="646"/>
      <c r="K65" s="646"/>
      <c r="L65" s="646"/>
      <c r="M65" s="646"/>
      <c r="N65" s="647"/>
      <c r="O65" s="648"/>
      <c r="P65" s="649"/>
      <c r="Q65" s="649"/>
      <c r="R65" s="649"/>
      <c r="S65" s="649"/>
      <c r="T65" s="649"/>
      <c r="U65" s="649"/>
      <c r="V65" s="650" t="s">
        <v>293</v>
      </c>
      <c r="W65" s="650"/>
      <c r="X65" s="651"/>
      <c r="Y65" s="652"/>
      <c r="Z65" s="653"/>
      <c r="AA65" s="653"/>
      <c r="AB65" s="653"/>
      <c r="AC65" s="653"/>
      <c r="AD65" s="653"/>
      <c r="AE65" s="653"/>
      <c r="AF65" s="653"/>
      <c r="AG65" s="653"/>
      <c r="AH65" s="653"/>
      <c r="AI65" s="654"/>
      <c r="AJ65" s="655"/>
      <c r="AK65" s="631"/>
      <c r="AL65" s="631"/>
      <c r="AM65" s="631"/>
      <c r="AN65" s="631"/>
      <c r="AO65" s="631"/>
      <c r="AP65" s="631"/>
      <c r="AQ65" s="631"/>
      <c r="AR65" s="631"/>
      <c r="AS65" s="631"/>
      <c r="AT65" s="631"/>
      <c r="AU65" s="655"/>
      <c r="AV65" s="631"/>
      <c r="AW65" s="631"/>
      <c r="AX65" s="631"/>
      <c r="AY65" s="631"/>
      <c r="AZ65" s="631"/>
      <c r="BA65" s="632"/>
      <c r="BB65" s="631"/>
      <c r="BC65" s="631"/>
      <c r="BD65" s="631"/>
      <c r="BE65" s="631"/>
      <c r="BF65" s="631"/>
      <c r="BG65" s="631"/>
      <c r="BH65" s="631"/>
      <c r="BI65" s="631"/>
      <c r="BJ65" s="631"/>
      <c r="BK65" s="631"/>
      <c r="BL65" s="631"/>
      <c r="BM65" s="631"/>
      <c r="BN65" s="632"/>
    </row>
    <row r="66" spans="1:66" ht="19.2" customHeight="1">
      <c r="A66" s="638"/>
      <c r="B66" s="639"/>
      <c r="C66" s="639"/>
      <c r="D66" s="639"/>
      <c r="E66" s="639"/>
      <c r="F66" s="639"/>
      <c r="G66" s="639"/>
      <c r="H66" s="633" t="s">
        <v>335</v>
      </c>
      <c r="I66" s="634"/>
      <c r="J66" s="634"/>
      <c r="K66" s="634"/>
      <c r="L66" s="634"/>
      <c r="M66" s="634"/>
      <c r="N66" s="635"/>
      <c r="O66" s="636"/>
      <c r="P66" s="637"/>
      <c r="Q66" s="637"/>
      <c r="R66" s="637"/>
      <c r="S66" s="637"/>
      <c r="T66" s="637"/>
      <c r="U66" s="637"/>
      <c r="V66" s="634" t="s">
        <v>293</v>
      </c>
      <c r="W66" s="634"/>
      <c r="X66" s="635"/>
      <c r="Y66" s="636"/>
      <c r="Z66" s="637"/>
      <c r="AA66" s="637"/>
      <c r="AB66" s="637"/>
      <c r="AC66" s="637"/>
      <c r="AD66" s="637"/>
      <c r="AE66" s="637"/>
      <c r="AF66" s="637"/>
      <c r="AG66" s="637"/>
      <c r="AH66" s="637"/>
      <c r="AI66" s="151" t="s">
        <v>287</v>
      </c>
      <c r="AJ66" s="636"/>
      <c r="AK66" s="637"/>
      <c r="AL66" s="637"/>
      <c r="AM66" s="637"/>
      <c r="AN66" s="637"/>
      <c r="AO66" s="637"/>
      <c r="AP66" s="637"/>
      <c r="AQ66" s="637"/>
      <c r="AR66" s="637"/>
      <c r="AS66" s="637"/>
      <c r="AT66" s="152" t="s">
        <v>259</v>
      </c>
      <c r="AU66" s="636"/>
      <c r="AV66" s="637"/>
      <c r="AW66" s="637"/>
      <c r="AX66" s="637"/>
      <c r="AY66" s="637"/>
      <c r="AZ66" s="637"/>
      <c r="BA66" s="151" t="s">
        <v>259</v>
      </c>
      <c r="BB66" s="637"/>
      <c r="BC66" s="637"/>
      <c r="BD66" s="637"/>
      <c r="BE66" s="637"/>
      <c r="BF66" s="637"/>
      <c r="BG66" s="637"/>
      <c r="BH66" s="637"/>
      <c r="BI66" s="637"/>
      <c r="BJ66" s="637"/>
      <c r="BK66" s="637"/>
      <c r="BL66" s="637"/>
      <c r="BM66" s="637"/>
      <c r="BN66" s="151" t="s">
        <v>259</v>
      </c>
    </row>
    <row r="67" spans="1:66" ht="24" customHeight="1">
      <c r="A67" s="638"/>
      <c r="B67" s="639"/>
      <c r="C67" s="639"/>
      <c r="D67" s="639"/>
      <c r="E67" s="639"/>
      <c r="F67" s="639"/>
      <c r="G67" s="639"/>
      <c r="H67" s="662" t="s">
        <v>336</v>
      </c>
      <c r="I67" s="663"/>
      <c r="J67" s="663"/>
      <c r="K67" s="663"/>
      <c r="L67" s="663"/>
      <c r="M67" s="663"/>
      <c r="N67" s="663"/>
      <c r="O67" s="663"/>
      <c r="P67" s="110"/>
      <c r="Q67" s="110"/>
      <c r="R67" s="110"/>
      <c r="S67" s="110"/>
      <c r="T67" s="110"/>
      <c r="U67" s="110"/>
      <c r="V67" s="110"/>
      <c r="W67" s="663" t="s">
        <v>337</v>
      </c>
      <c r="X67" s="663"/>
      <c r="Y67" s="663"/>
      <c r="Z67" s="663"/>
      <c r="AA67" s="663"/>
      <c r="AB67" s="111"/>
      <c r="AC67" s="111"/>
      <c r="AD67" s="111"/>
      <c r="AE67" s="111"/>
      <c r="AF67" s="111"/>
      <c r="AG67" s="111"/>
      <c r="AH67" s="111"/>
      <c r="AI67" s="111"/>
      <c r="AJ67" s="111"/>
      <c r="AK67" s="111"/>
      <c r="AL67" s="111"/>
      <c r="AM67" s="111"/>
      <c r="AN67" s="111"/>
      <c r="AO67" s="111"/>
      <c r="AP67" s="111"/>
      <c r="AQ67" s="111"/>
      <c r="AR67" s="111"/>
      <c r="AS67" s="111"/>
      <c r="AT67" s="111"/>
      <c r="AU67" s="111"/>
      <c r="AV67" s="111"/>
      <c r="AW67" s="111"/>
      <c r="AX67" s="111"/>
      <c r="AY67" s="111"/>
      <c r="AZ67" s="111" t="s">
        <v>304</v>
      </c>
      <c r="BA67" s="111"/>
      <c r="BB67" s="110"/>
      <c r="BC67" s="110"/>
      <c r="BD67" s="110"/>
      <c r="BE67" s="110"/>
      <c r="BF67" s="110"/>
      <c r="BG67" s="110"/>
      <c r="BH67" s="110"/>
      <c r="BI67" s="110"/>
      <c r="BJ67" s="110"/>
      <c r="BK67" s="110"/>
      <c r="BL67" s="110"/>
      <c r="BM67" s="110"/>
      <c r="BN67" s="153"/>
    </row>
    <row r="68" spans="1:66" ht="24.6" customHeight="1">
      <c r="A68" s="638"/>
      <c r="B68" s="639"/>
      <c r="C68" s="639"/>
      <c r="D68" s="639"/>
      <c r="E68" s="639"/>
      <c r="F68" s="639"/>
      <c r="G68" s="639"/>
      <c r="H68" s="154"/>
      <c r="I68" s="110"/>
      <c r="J68" s="110"/>
      <c r="K68" s="110"/>
      <c r="L68" s="110"/>
      <c r="M68" s="110"/>
      <c r="N68" s="110"/>
      <c r="O68" s="110"/>
      <c r="P68" s="110"/>
      <c r="Q68" s="110"/>
      <c r="R68" s="110"/>
      <c r="S68" s="110"/>
      <c r="T68" s="110"/>
      <c r="U68" s="110"/>
      <c r="V68" s="110"/>
      <c r="W68" s="663" t="s">
        <v>338</v>
      </c>
      <c r="X68" s="663"/>
      <c r="Y68" s="663"/>
      <c r="Z68" s="663"/>
      <c r="AA68" s="663"/>
      <c r="AB68" s="111"/>
      <c r="AC68" s="111"/>
      <c r="AD68" s="111"/>
      <c r="AE68" s="111"/>
      <c r="AF68" s="111"/>
      <c r="AG68" s="111"/>
      <c r="AH68" s="111"/>
      <c r="AI68" s="111"/>
      <c r="AJ68" s="111"/>
      <c r="AK68" s="111"/>
      <c r="AL68" s="111"/>
      <c r="AM68" s="111"/>
      <c r="AN68" s="111"/>
      <c r="AO68" s="111"/>
      <c r="AP68" s="111"/>
      <c r="AQ68" s="111"/>
      <c r="AR68" s="111"/>
      <c r="AS68" s="111"/>
      <c r="AT68" s="111"/>
      <c r="AU68" s="111"/>
      <c r="AV68" s="111"/>
      <c r="AW68" s="111"/>
      <c r="AX68" s="111"/>
      <c r="AY68" s="111"/>
      <c r="AZ68" s="111" t="s">
        <v>304</v>
      </c>
      <c r="BA68" s="111"/>
      <c r="BB68" s="110"/>
      <c r="BC68" s="110"/>
      <c r="BD68" s="110"/>
      <c r="BE68" s="110"/>
      <c r="BF68" s="110"/>
      <c r="BG68" s="110"/>
      <c r="BH68" s="110"/>
      <c r="BI68" s="110"/>
      <c r="BJ68" s="110"/>
      <c r="BK68" s="110"/>
      <c r="BL68" s="110"/>
      <c r="BM68" s="110"/>
      <c r="BN68" s="153"/>
    </row>
    <row r="69" spans="1:66" ht="30" customHeight="1">
      <c r="A69" s="638"/>
      <c r="B69" s="639"/>
      <c r="C69" s="639"/>
      <c r="D69" s="639"/>
      <c r="E69" s="639"/>
      <c r="F69" s="639"/>
      <c r="G69" s="639"/>
      <c r="H69" s="664" t="s">
        <v>339</v>
      </c>
      <c r="I69" s="650"/>
      <c r="J69" s="650"/>
      <c r="K69" s="650"/>
      <c r="L69" s="650"/>
      <c r="M69" s="650"/>
      <c r="N69" s="651"/>
      <c r="O69" s="656" t="s">
        <v>340</v>
      </c>
      <c r="P69" s="657"/>
      <c r="Q69" s="657"/>
      <c r="R69" s="657"/>
      <c r="S69" s="657"/>
      <c r="T69" s="657"/>
      <c r="U69" s="657"/>
      <c r="V69" s="657"/>
      <c r="W69" s="657"/>
      <c r="X69" s="657"/>
      <c r="Y69" s="657"/>
      <c r="Z69" s="657"/>
      <c r="AA69" s="657"/>
      <c r="AB69" s="657"/>
      <c r="AC69" s="657"/>
      <c r="AD69" s="657"/>
      <c r="AE69" s="657"/>
      <c r="AF69" s="657"/>
      <c r="AG69" s="657"/>
      <c r="AH69" s="657"/>
      <c r="AI69" s="657"/>
      <c r="AJ69" s="657"/>
      <c r="AK69" s="657"/>
      <c r="AL69" s="657"/>
      <c r="AM69" s="657"/>
      <c r="AN69" s="657"/>
      <c r="AO69" s="657"/>
      <c r="AP69" s="657"/>
      <c r="AQ69" s="657"/>
      <c r="AR69" s="657"/>
      <c r="AS69" s="657"/>
      <c r="AT69" s="657"/>
      <c r="AU69" s="657"/>
      <c r="AV69" s="657"/>
      <c r="AW69" s="657"/>
      <c r="AX69" s="657"/>
      <c r="AY69" s="657"/>
      <c r="AZ69" s="657"/>
      <c r="BA69" s="657"/>
      <c r="BB69" s="657"/>
      <c r="BC69" s="657"/>
      <c r="BD69" s="657"/>
      <c r="BE69" s="657"/>
      <c r="BF69" s="657"/>
      <c r="BG69" s="657"/>
      <c r="BH69" s="657"/>
      <c r="BI69" s="657"/>
      <c r="BJ69" s="657"/>
      <c r="BK69" s="657"/>
      <c r="BL69" s="657"/>
      <c r="BM69" s="657"/>
      <c r="BN69" s="658"/>
    </row>
    <row r="70" spans="1:66" ht="30.6" customHeight="1">
      <c r="A70" s="640"/>
      <c r="B70" s="641"/>
      <c r="C70" s="641"/>
      <c r="D70" s="641"/>
      <c r="E70" s="641"/>
      <c r="F70" s="641"/>
      <c r="G70" s="641"/>
      <c r="H70" s="633"/>
      <c r="I70" s="634"/>
      <c r="J70" s="634"/>
      <c r="K70" s="634"/>
      <c r="L70" s="634"/>
      <c r="M70" s="634"/>
      <c r="N70" s="635"/>
      <c r="O70" s="665"/>
      <c r="P70" s="665"/>
      <c r="Q70" s="665"/>
      <c r="R70" s="665"/>
      <c r="S70" s="665"/>
      <c r="T70" s="665"/>
      <c r="U70" s="665"/>
      <c r="V70" s="665"/>
      <c r="W70" s="665"/>
      <c r="X70" s="665"/>
      <c r="Y70" s="665"/>
      <c r="Z70" s="665"/>
      <c r="AA70" s="665"/>
      <c r="AB70" s="665"/>
      <c r="AC70" s="665"/>
      <c r="AD70" s="665"/>
      <c r="AE70" s="665"/>
      <c r="AF70" s="665"/>
      <c r="AG70" s="665"/>
      <c r="AH70" s="665"/>
      <c r="AI70" s="665"/>
      <c r="AJ70" s="665"/>
      <c r="AK70" s="665"/>
      <c r="AL70" s="665"/>
      <c r="AM70" s="665"/>
      <c r="AN70" s="665"/>
      <c r="AO70" s="665"/>
      <c r="AP70" s="665"/>
      <c r="AQ70" s="665"/>
      <c r="AR70" s="665"/>
      <c r="AS70" s="665"/>
      <c r="AT70" s="665"/>
      <c r="AU70" s="665"/>
      <c r="AV70" s="665"/>
      <c r="AW70" s="665"/>
      <c r="AX70" s="665"/>
      <c r="AY70" s="665"/>
      <c r="AZ70" s="665"/>
      <c r="BA70" s="665"/>
      <c r="BB70" s="665"/>
      <c r="BC70" s="665"/>
      <c r="BD70" s="665"/>
      <c r="BE70" s="665"/>
      <c r="BF70" s="665"/>
      <c r="BG70" s="665"/>
      <c r="BH70" s="665"/>
      <c r="BI70" s="665"/>
      <c r="BJ70" s="665"/>
      <c r="BK70" s="665"/>
      <c r="BL70" s="665"/>
      <c r="BM70" s="665"/>
      <c r="BN70" s="666"/>
    </row>
    <row r="71" spans="1:66" ht="19.8">
      <c r="A71" s="630" t="s">
        <v>341</v>
      </c>
      <c r="B71" s="630"/>
      <c r="C71" s="630"/>
      <c r="D71" s="630"/>
      <c r="E71" s="630"/>
      <c r="F71" s="155"/>
      <c r="G71" s="155"/>
      <c r="H71" s="155"/>
      <c r="I71" s="155"/>
      <c r="J71" s="155"/>
      <c r="K71" s="155"/>
      <c r="L71" s="155"/>
      <c r="M71" s="155"/>
      <c r="N71" s="155"/>
      <c r="O71" s="155"/>
      <c r="P71" s="155"/>
      <c r="Q71" s="155"/>
      <c r="R71" s="155"/>
      <c r="S71" s="155"/>
      <c r="T71" s="155"/>
      <c r="U71" s="155"/>
      <c r="V71" s="155"/>
      <c r="W71" s="155"/>
      <c r="X71" s="155"/>
      <c r="Y71" s="155"/>
      <c r="Z71" s="155"/>
      <c r="AA71" s="155"/>
      <c r="AB71" s="113"/>
      <c r="AC71" s="155"/>
      <c r="AD71" s="155"/>
      <c r="AE71" s="155"/>
      <c r="AF71" s="155"/>
      <c r="AG71" s="155"/>
      <c r="AH71" s="155"/>
      <c r="AI71" s="155"/>
      <c r="AJ71" s="155"/>
      <c r="AK71" s="155"/>
      <c r="AL71" s="155"/>
      <c r="AM71" s="155"/>
      <c r="AN71" s="155"/>
      <c r="AO71" s="155"/>
      <c r="AP71" s="155"/>
      <c r="AQ71" s="155"/>
      <c r="AR71" s="155"/>
      <c r="AS71" s="155"/>
      <c r="AT71" s="155"/>
      <c r="AU71" s="155"/>
      <c r="AV71" s="155"/>
      <c r="AW71" s="155"/>
      <c r="AX71" s="155"/>
      <c r="AY71" s="155"/>
      <c r="AZ71" s="155"/>
      <c r="BA71" s="155"/>
      <c r="BB71" s="155"/>
      <c r="BC71" s="155"/>
      <c r="BD71" s="155"/>
      <c r="BE71" s="155"/>
      <c r="BF71" s="155"/>
      <c r="BG71" s="155"/>
      <c r="BH71" s="155"/>
      <c r="BI71" s="155"/>
      <c r="BJ71" s="155"/>
      <c r="BK71" s="155"/>
      <c r="BL71" s="155"/>
      <c r="BM71" s="155"/>
      <c r="BN71" s="155"/>
    </row>
    <row r="72" spans="1:66">
      <c r="A72" s="630" t="s">
        <v>342</v>
      </c>
      <c r="B72" s="630"/>
      <c r="C72" s="630"/>
      <c r="D72" s="630"/>
      <c r="E72" s="630"/>
      <c r="F72" s="630"/>
      <c r="G72" s="630"/>
      <c r="H72" s="630"/>
      <c r="I72" s="630"/>
      <c r="J72" s="630"/>
      <c r="K72" s="630"/>
      <c r="L72" s="630"/>
      <c r="M72" s="630"/>
      <c r="N72" s="630"/>
      <c r="O72" s="630"/>
      <c r="P72" s="630"/>
      <c r="Q72" s="630"/>
      <c r="R72" s="630"/>
      <c r="S72" s="630"/>
      <c r="T72" s="630"/>
      <c r="U72" s="630"/>
      <c r="V72" s="630"/>
      <c r="W72" s="630"/>
      <c r="X72" s="630"/>
      <c r="Y72" s="630"/>
      <c r="Z72" s="630"/>
      <c r="AA72" s="630"/>
      <c r="AB72" s="630"/>
      <c r="AC72" s="630"/>
      <c r="AD72" s="630"/>
      <c r="AE72" s="630"/>
      <c r="AF72" s="630"/>
      <c r="AG72" s="630"/>
      <c r="AH72" s="630"/>
      <c r="AI72" s="630"/>
      <c r="AJ72" s="630"/>
      <c r="AK72" s="630"/>
      <c r="AL72" s="630"/>
      <c r="AM72" s="630"/>
      <c r="AN72" s="630"/>
      <c r="AO72" s="630"/>
      <c r="AP72" s="630"/>
      <c r="AQ72" s="630"/>
      <c r="AR72" s="630"/>
      <c r="AS72" s="630"/>
      <c r="AT72" s="630"/>
      <c r="AU72" s="630"/>
      <c r="AV72" s="630"/>
      <c r="AW72" s="630"/>
      <c r="AX72" s="630"/>
      <c r="AY72" s="630"/>
      <c r="AZ72" s="630"/>
      <c r="BA72" s="630"/>
      <c r="BB72" s="630"/>
      <c r="BC72" s="630"/>
      <c r="BD72" s="630"/>
      <c r="BE72" s="630"/>
      <c r="BF72" s="630"/>
      <c r="BG72" s="630"/>
      <c r="BH72" s="630"/>
      <c r="BI72" s="630"/>
      <c r="BJ72" s="630"/>
      <c r="BK72" s="630"/>
      <c r="BL72" s="630"/>
      <c r="BM72" s="630"/>
      <c r="BN72" s="630"/>
    </row>
    <row r="73" spans="1:66">
      <c r="A73" s="630"/>
      <c r="B73" s="630"/>
      <c r="C73" s="630"/>
      <c r="D73" s="630"/>
      <c r="E73" s="630"/>
      <c r="F73" s="630"/>
      <c r="G73" s="630"/>
      <c r="H73" s="630"/>
      <c r="I73" s="630"/>
      <c r="J73" s="630"/>
      <c r="K73" s="630"/>
      <c r="L73" s="630"/>
      <c r="M73" s="630"/>
      <c r="N73" s="630"/>
      <c r="O73" s="630"/>
      <c r="P73" s="630"/>
      <c r="Q73" s="630"/>
      <c r="R73" s="630"/>
      <c r="S73" s="630"/>
      <c r="T73" s="630"/>
      <c r="U73" s="630"/>
      <c r="V73" s="630"/>
      <c r="W73" s="630"/>
      <c r="X73" s="630"/>
      <c r="Y73" s="630"/>
      <c r="Z73" s="630"/>
      <c r="AA73" s="630"/>
      <c r="AB73" s="630"/>
      <c r="AC73" s="630"/>
      <c r="AD73" s="630"/>
      <c r="AE73" s="630"/>
      <c r="AF73" s="630"/>
      <c r="AG73" s="630"/>
      <c r="AH73" s="630"/>
      <c r="AI73" s="630"/>
      <c r="AJ73" s="630"/>
      <c r="AK73" s="630"/>
      <c r="AL73" s="630"/>
      <c r="AM73" s="630"/>
      <c r="AN73" s="630"/>
      <c r="AO73" s="630"/>
      <c r="AP73" s="630"/>
      <c r="AQ73" s="630"/>
      <c r="AR73" s="630"/>
      <c r="AS73" s="630"/>
      <c r="AT73" s="630"/>
      <c r="AU73" s="630"/>
      <c r="AV73" s="630"/>
      <c r="AW73" s="630"/>
      <c r="AX73" s="630"/>
      <c r="AY73" s="630"/>
      <c r="AZ73" s="630"/>
      <c r="BA73" s="630"/>
      <c r="BB73" s="630"/>
      <c r="BC73" s="630"/>
      <c r="BD73" s="630"/>
      <c r="BE73" s="630"/>
      <c r="BF73" s="630"/>
      <c r="BG73" s="630"/>
      <c r="BH73" s="630"/>
      <c r="BI73" s="630"/>
      <c r="BJ73" s="630"/>
      <c r="BK73" s="630"/>
      <c r="BL73" s="630"/>
      <c r="BM73" s="630"/>
      <c r="BN73" s="630"/>
    </row>
    <row r="74" spans="1:66">
      <c r="A74" s="630"/>
      <c r="B74" s="630"/>
      <c r="C74" s="630"/>
      <c r="D74" s="630"/>
      <c r="E74" s="630"/>
      <c r="F74" s="630"/>
      <c r="G74" s="630"/>
      <c r="H74" s="630"/>
      <c r="I74" s="630"/>
      <c r="J74" s="630"/>
      <c r="K74" s="630"/>
      <c r="L74" s="630"/>
      <c r="M74" s="630"/>
      <c r="N74" s="630"/>
      <c r="O74" s="630"/>
      <c r="P74" s="630"/>
      <c r="Q74" s="630"/>
      <c r="R74" s="630"/>
      <c r="S74" s="630"/>
      <c r="T74" s="630"/>
      <c r="U74" s="630"/>
      <c r="V74" s="630"/>
      <c r="W74" s="630"/>
      <c r="X74" s="630"/>
      <c r="Y74" s="630"/>
      <c r="Z74" s="630"/>
      <c r="AA74" s="630"/>
      <c r="AB74" s="630"/>
      <c r="AC74" s="630"/>
      <c r="AD74" s="630"/>
      <c r="AE74" s="630"/>
      <c r="AF74" s="630"/>
      <c r="AG74" s="630"/>
      <c r="AH74" s="630"/>
      <c r="AI74" s="630"/>
      <c r="AJ74" s="630"/>
      <c r="AK74" s="630"/>
      <c r="AL74" s="630"/>
      <c r="AM74" s="630"/>
      <c r="AN74" s="630"/>
      <c r="AO74" s="630"/>
      <c r="AP74" s="630"/>
      <c r="AQ74" s="630"/>
      <c r="AR74" s="630"/>
      <c r="AS74" s="630"/>
      <c r="AT74" s="630"/>
      <c r="AU74" s="630"/>
      <c r="AV74" s="630"/>
      <c r="AW74" s="630"/>
      <c r="AX74" s="630"/>
      <c r="AY74" s="630"/>
      <c r="AZ74" s="630"/>
      <c r="BA74" s="630"/>
      <c r="BB74" s="630"/>
      <c r="BC74" s="630"/>
      <c r="BD74" s="630"/>
      <c r="BE74" s="630"/>
      <c r="BF74" s="630"/>
      <c r="BG74" s="630"/>
      <c r="BH74" s="630"/>
      <c r="BI74" s="630"/>
      <c r="BJ74" s="630"/>
      <c r="BK74" s="630"/>
      <c r="BL74" s="630"/>
      <c r="BM74" s="630"/>
      <c r="BN74" s="630"/>
    </row>
    <row r="75" spans="1:66">
      <c r="A75" s="630"/>
      <c r="B75" s="630"/>
      <c r="C75" s="630"/>
      <c r="D75" s="630"/>
      <c r="E75" s="630"/>
      <c r="F75" s="630"/>
      <c r="G75" s="630"/>
      <c r="H75" s="630"/>
      <c r="I75" s="630"/>
      <c r="J75" s="630"/>
      <c r="K75" s="630"/>
      <c r="L75" s="630"/>
      <c r="M75" s="630"/>
      <c r="N75" s="630"/>
      <c r="O75" s="630"/>
      <c r="P75" s="630"/>
      <c r="Q75" s="630"/>
      <c r="R75" s="630"/>
      <c r="S75" s="630"/>
      <c r="T75" s="630"/>
      <c r="U75" s="630"/>
      <c r="V75" s="630"/>
      <c r="W75" s="630"/>
      <c r="X75" s="630"/>
      <c r="Y75" s="630"/>
      <c r="Z75" s="630"/>
      <c r="AA75" s="630"/>
      <c r="AB75" s="630"/>
      <c r="AC75" s="630"/>
      <c r="AD75" s="630"/>
      <c r="AE75" s="630"/>
      <c r="AF75" s="630"/>
      <c r="AG75" s="630"/>
      <c r="AH75" s="630"/>
      <c r="AI75" s="630"/>
      <c r="AJ75" s="630"/>
      <c r="AK75" s="630"/>
      <c r="AL75" s="630"/>
      <c r="AM75" s="630"/>
      <c r="AN75" s="630"/>
      <c r="AO75" s="630"/>
      <c r="AP75" s="630"/>
      <c r="AQ75" s="630"/>
      <c r="AR75" s="630"/>
      <c r="AS75" s="630"/>
      <c r="AT75" s="630"/>
      <c r="AU75" s="630"/>
      <c r="AV75" s="630"/>
      <c r="AW75" s="630"/>
      <c r="AX75" s="630"/>
      <c r="AY75" s="630"/>
      <c r="AZ75" s="630"/>
      <c r="BA75" s="630"/>
      <c r="BB75" s="630"/>
      <c r="BC75" s="630"/>
      <c r="BD75" s="630"/>
      <c r="BE75" s="630"/>
      <c r="BF75" s="630"/>
      <c r="BG75" s="630"/>
      <c r="BH75" s="630"/>
      <c r="BI75" s="630"/>
      <c r="BJ75" s="630"/>
      <c r="BK75" s="630"/>
      <c r="BL75" s="630"/>
      <c r="BM75" s="630"/>
      <c r="BN75" s="630"/>
    </row>
    <row r="76" spans="1:66">
      <c r="A76" s="630"/>
      <c r="B76" s="630"/>
      <c r="C76" s="630"/>
      <c r="D76" s="630"/>
      <c r="E76" s="630"/>
      <c r="F76" s="630"/>
      <c r="G76" s="630"/>
      <c r="H76" s="630"/>
      <c r="I76" s="630"/>
      <c r="J76" s="630"/>
      <c r="K76" s="630"/>
      <c r="L76" s="630"/>
      <c r="M76" s="630"/>
      <c r="N76" s="630"/>
      <c r="O76" s="630"/>
      <c r="P76" s="630"/>
      <c r="Q76" s="630"/>
      <c r="R76" s="630"/>
      <c r="S76" s="630"/>
      <c r="T76" s="630"/>
      <c r="U76" s="630"/>
      <c r="V76" s="630"/>
      <c r="W76" s="630"/>
      <c r="X76" s="630"/>
      <c r="Y76" s="630"/>
      <c r="Z76" s="630"/>
      <c r="AA76" s="630"/>
      <c r="AB76" s="630"/>
      <c r="AC76" s="630"/>
      <c r="AD76" s="630"/>
      <c r="AE76" s="630"/>
      <c r="AF76" s="630"/>
      <c r="AG76" s="630"/>
      <c r="AH76" s="630"/>
      <c r="AI76" s="630"/>
      <c r="AJ76" s="630"/>
      <c r="AK76" s="630"/>
      <c r="AL76" s="630"/>
      <c r="AM76" s="630"/>
      <c r="AN76" s="630"/>
      <c r="AO76" s="630"/>
      <c r="AP76" s="630"/>
      <c r="AQ76" s="630"/>
      <c r="AR76" s="630"/>
      <c r="AS76" s="630"/>
      <c r="AT76" s="630"/>
      <c r="AU76" s="630"/>
      <c r="AV76" s="630"/>
      <c r="AW76" s="630"/>
      <c r="AX76" s="630"/>
      <c r="AY76" s="630"/>
      <c r="AZ76" s="630"/>
      <c r="BA76" s="630"/>
      <c r="BB76" s="630"/>
      <c r="BC76" s="630"/>
      <c r="BD76" s="630"/>
      <c r="BE76" s="630"/>
      <c r="BF76" s="630"/>
      <c r="BG76" s="630"/>
      <c r="BH76" s="630"/>
      <c r="BI76" s="630"/>
      <c r="BJ76" s="630"/>
      <c r="BK76" s="630"/>
      <c r="BL76" s="630"/>
      <c r="BM76" s="630"/>
      <c r="BN76" s="630"/>
    </row>
    <row r="77" spans="1:66">
      <c r="A77" s="630"/>
      <c r="B77" s="630"/>
      <c r="C77" s="630"/>
      <c r="D77" s="630"/>
      <c r="E77" s="630"/>
      <c r="F77" s="630"/>
      <c r="G77" s="630"/>
      <c r="H77" s="630"/>
      <c r="I77" s="630"/>
      <c r="J77" s="630"/>
      <c r="K77" s="630"/>
      <c r="L77" s="630"/>
      <c r="M77" s="630"/>
      <c r="N77" s="630"/>
      <c r="O77" s="630"/>
      <c r="P77" s="630"/>
      <c r="Q77" s="630"/>
      <c r="R77" s="630"/>
      <c r="S77" s="630"/>
      <c r="T77" s="630"/>
      <c r="U77" s="630"/>
      <c r="V77" s="630"/>
      <c r="W77" s="630"/>
      <c r="X77" s="630"/>
      <c r="Y77" s="630"/>
      <c r="Z77" s="630"/>
      <c r="AA77" s="630"/>
      <c r="AB77" s="630"/>
      <c r="AC77" s="630"/>
      <c r="AD77" s="630"/>
      <c r="AE77" s="630"/>
      <c r="AF77" s="630"/>
      <c r="AG77" s="630"/>
      <c r="AH77" s="630"/>
      <c r="AI77" s="630"/>
      <c r="AJ77" s="630"/>
      <c r="AK77" s="630"/>
      <c r="AL77" s="630"/>
      <c r="AM77" s="630"/>
      <c r="AN77" s="630"/>
      <c r="AO77" s="630"/>
      <c r="AP77" s="630"/>
      <c r="AQ77" s="630"/>
      <c r="AR77" s="630"/>
      <c r="AS77" s="630"/>
      <c r="AT77" s="630"/>
      <c r="AU77" s="630"/>
      <c r="AV77" s="630"/>
      <c r="AW77" s="630"/>
      <c r="AX77" s="630"/>
      <c r="AY77" s="630"/>
      <c r="AZ77" s="630"/>
      <c r="BA77" s="630"/>
      <c r="BB77" s="630"/>
      <c r="BC77" s="630"/>
      <c r="BD77" s="630"/>
      <c r="BE77" s="630"/>
      <c r="BF77" s="630"/>
      <c r="BG77" s="630"/>
      <c r="BH77" s="630"/>
      <c r="BI77" s="630"/>
      <c r="BJ77" s="630"/>
      <c r="BK77" s="630"/>
      <c r="BL77" s="630"/>
      <c r="BM77" s="630"/>
      <c r="BN77" s="630"/>
    </row>
    <row r="78" spans="1:66">
      <c r="A78" s="630"/>
      <c r="B78" s="630"/>
      <c r="C78" s="630"/>
      <c r="D78" s="630"/>
      <c r="E78" s="630"/>
      <c r="F78" s="630"/>
      <c r="G78" s="630"/>
      <c r="H78" s="630"/>
      <c r="I78" s="630"/>
      <c r="J78" s="630"/>
      <c r="K78" s="630"/>
      <c r="L78" s="630"/>
      <c r="M78" s="630"/>
      <c r="N78" s="630"/>
      <c r="O78" s="630"/>
      <c r="P78" s="630"/>
      <c r="Q78" s="630"/>
      <c r="R78" s="630"/>
      <c r="S78" s="630"/>
      <c r="T78" s="630"/>
      <c r="U78" s="630"/>
      <c r="V78" s="630"/>
      <c r="W78" s="630"/>
      <c r="X78" s="630"/>
      <c r="Y78" s="630"/>
      <c r="Z78" s="630"/>
      <c r="AA78" s="630"/>
      <c r="AB78" s="630"/>
      <c r="AC78" s="630"/>
      <c r="AD78" s="630"/>
      <c r="AE78" s="630"/>
      <c r="AF78" s="630"/>
      <c r="AG78" s="630"/>
      <c r="AH78" s="630"/>
      <c r="AI78" s="630"/>
      <c r="AJ78" s="630"/>
      <c r="AK78" s="630"/>
      <c r="AL78" s="630"/>
      <c r="AM78" s="630"/>
      <c r="AN78" s="630"/>
      <c r="AO78" s="630"/>
      <c r="AP78" s="630"/>
      <c r="AQ78" s="630"/>
      <c r="AR78" s="630"/>
      <c r="AS78" s="630"/>
      <c r="AT78" s="630"/>
      <c r="AU78" s="630"/>
      <c r="AV78" s="630"/>
      <c r="AW78" s="630"/>
      <c r="AX78" s="630"/>
      <c r="AY78" s="630"/>
      <c r="AZ78" s="630"/>
      <c r="BA78" s="630"/>
      <c r="BB78" s="630"/>
      <c r="BC78" s="630"/>
      <c r="BD78" s="630"/>
      <c r="BE78" s="630"/>
      <c r="BF78" s="630"/>
      <c r="BG78" s="630"/>
      <c r="BH78" s="630"/>
      <c r="BI78" s="630"/>
      <c r="BJ78" s="630"/>
      <c r="BK78" s="630"/>
      <c r="BL78" s="630"/>
      <c r="BM78" s="630"/>
      <c r="BN78" s="630"/>
    </row>
    <row r="79" spans="1:66">
      <c r="A79" s="630"/>
      <c r="B79" s="630"/>
      <c r="C79" s="630"/>
      <c r="D79" s="630"/>
      <c r="E79" s="630"/>
      <c r="F79" s="630"/>
      <c r="G79" s="630"/>
      <c r="H79" s="630"/>
      <c r="I79" s="630"/>
      <c r="J79" s="630"/>
      <c r="K79" s="630"/>
      <c r="L79" s="630"/>
      <c r="M79" s="630"/>
      <c r="N79" s="630"/>
      <c r="O79" s="630"/>
      <c r="P79" s="630"/>
      <c r="Q79" s="630"/>
      <c r="R79" s="630"/>
      <c r="S79" s="630"/>
      <c r="T79" s="630"/>
      <c r="U79" s="630"/>
      <c r="V79" s="630"/>
      <c r="W79" s="630"/>
      <c r="X79" s="630"/>
      <c r="Y79" s="630"/>
      <c r="Z79" s="630"/>
      <c r="AA79" s="630"/>
      <c r="AB79" s="630"/>
      <c r="AC79" s="630"/>
      <c r="AD79" s="630"/>
      <c r="AE79" s="630"/>
      <c r="AF79" s="630"/>
      <c r="AG79" s="630"/>
      <c r="AH79" s="630"/>
      <c r="AI79" s="630"/>
      <c r="AJ79" s="630"/>
      <c r="AK79" s="630"/>
      <c r="AL79" s="630"/>
      <c r="AM79" s="630"/>
      <c r="AN79" s="630"/>
      <c r="AO79" s="630"/>
      <c r="AP79" s="630"/>
      <c r="AQ79" s="630"/>
      <c r="AR79" s="630"/>
      <c r="AS79" s="630"/>
      <c r="AT79" s="630"/>
      <c r="AU79" s="630"/>
      <c r="AV79" s="630"/>
      <c r="AW79" s="630"/>
      <c r="AX79" s="630"/>
      <c r="AY79" s="630"/>
      <c r="AZ79" s="630"/>
      <c r="BA79" s="630"/>
      <c r="BB79" s="630"/>
      <c r="BC79" s="630"/>
      <c r="BD79" s="630"/>
      <c r="BE79" s="630"/>
      <c r="BF79" s="630"/>
      <c r="BG79" s="630"/>
      <c r="BH79" s="630"/>
      <c r="BI79" s="630"/>
      <c r="BJ79" s="630"/>
      <c r="BK79" s="630"/>
      <c r="BL79" s="630"/>
      <c r="BM79" s="630"/>
      <c r="BN79" s="630"/>
    </row>
    <row r="80" spans="1:66">
      <c r="A80" s="630"/>
      <c r="B80" s="630"/>
      <c r="C80" s="630"/>
      <c r="D80" s="630"/>
      <c r="E80" s="630"/>
      <c r="F80" s="630"/>
      <c r="G80" s="630"/>
      <c r="H80" s="630"/>
      <c r="I80" s="630"/>
      <c r="J80" s="630"/>
      <c r="K80" s="630"/>
      <c r="L80" s="630"/>
      <c r="M80" s="630"/>
      <c r="N80" s="630"/>
      <c r="O80" s="630"/>
      <c r="P80" s="630"/>
      <c r="Q80" s="630"/>
      <c r="R80" s="630"/>
      <c r="S80" s="630"/>
      <c r="T80" s="630"/>
      <c r="U80" s="630"/>
      <c r="V80" s="630"/>
      <c r="W80" s="630"/>
      <c r="X80" s="630"/>
      <c r="Y80" s="630"/>
      <c r="Z80" s="630"/>
      <c r="AA80" s="630"/>
      <c r="AB80" s="630"/>
      <c r="AC80" s="630"/>
      <c r="AD80" s="630"/>
      <c r="AE80" s="630"/>
      <c r="AF80" s="630"/>
      <c r="AG80" s="630"/>
      <c r="AH80" s="630"/>
      <c r="AI80" s="630"/>
      <c r="AJ80" s="630"/>
      <c r="AK80" s="630"/>
      <c r="AL80" s="630"/>
      <c r="AM80" s="630"/>
      <c r="AN80" s="630"/>
      <c r="AO80" s="630"/>
      <c r="AP80" s="630"/>
      <c r="AQ80" s="630"/>
      <c r="AR80" s="630"/>
      <c r="AS80" s="630"/>
      <c r="AT80" s="630"/>
      <c r="AU80" s="630"/>
      <c r="AV80" s="630"/>
      <c r="AW80" s="630"/>
      <c r="AX80" s="630"/>
      <c r="AY80" s="630"/>
      <c r="AZ80" s="630"/>
      <c r="BA80" s="630"/>
      <c r="BB80" s="630"/>
      <c r="BC80" s="630"/>
      <c r="BD80" s="630"/>
      <c r="BE80" s="630"/>
      <c r="BF80" s="630"/>
      <c r="BG80" s="630"/>
      <c r="BH80" s="630"/>
      <c r="BI80" s="630"/>
      <c r="BJ80" s="630"/>
      <c r="BK80" s="630"/>
      <c r="BL80" s="630"/>
      <c r="BM80" s="630"/>
      <c r="BN80" s="630"/>
    </row>
    <row r="81" spans="1:66">
      <c r="A81" s="630"/>
      <c r="B81" s="630"/>
      <c r="C81" s="630"/>
      <c r="D81" s="630"/>
      <c r="E81" s="630"/>
      <c r="F81" s="630"/>
      <c r="G81" s="630"/>
      <c r="H81" s="630"/>
      <c r="I81" s="630"/>
      <c r="J81" s="630"/>
      <c r="K81" s="630"/>
      <c r="L81" s="630"/>
      <c r="M81" s="630"/>
      <c r="N81" s="630"/>
      <c r="O81" s="630"/>
      <c r="P81" s="630"/>
      <c r="Q81" s="630"/>
      <c r="R81" s="630"/>
      <c r="S81" s="630"/>
      <c r="T81" s="630"/>
      <c r="U81" s="630"/>
      <c r="V81" s="630"/>
      <c r="W81" s="630"/>
      <c r="X81" s="630"/>
      <c r="Y81" s="630"/>
      <c r="Z81" s="630"/>
      <c r="AA81" s="630"/>
      <c r="AB81" s="630"/>
      <c r="AC81" s="630"/>
      <c r="AD81" s="630"/>
      <c r="AE81" s="630"/>
      <c r="AF81" s="630"/>
      <c r="AG81" s="630"/>
      <c r="AH81" s="630"/>
      <c r="AI81" s="630"/>
      <c r="AJ81" s="630"/>
      <c r="AK81" s="630"/>
      <c r="AL81" s="630"/>
      <c r="AM81" s="630"/>
      <c r="AN81" s="630"/>
      <c r="AO81" s="630"/>
      <c r="AP81" s="630"/>
      <c r="AQ81" s="630"/>
      <c r="AR81" s="630"/>
      <c r="AS81" s="630"/>
      <c r="AT81" s="630"/>
      <c r="AU81" s="630"/>
      <c r="AV81" s="630"/>
      <c r="AW81" s="630"/>
      <c r="AX81" s="630"/>
      <c r="AY81" s="630"/>
      <c r="AZ81" s="630"/>
      <c r="BA81" s="630"/>
      <c r="BB81" s="630"/>
      <c r="BC81" s="630"/>
      <c r="BD81" s="630"/>
      <c r="BE81" s="630"/>
      <c r="BF81" s="630"/>
      <c r="BG81" s="630"/>
      <c r="BH81" s="630"/>
      <c r="BI81" s="630"/>
      <c r="BJ81" s="630"/>
      <c r="BK81" s="630"/>
      <c r="BL81" s="630"/>
      <c r="BM81" s="630"/>
      <c r="BN81" s="630"/>
    </row>
    <row r="82" spans="1:66">
      <c r="A82" s="630"/>
      <c r="B82" s="630"/>
      <c r="C82" s="630"/>
      <c r="D82" s="630"/>
      <c r="E82" s="630"/>
      <c r="F82" s="630"/>
      <c r="G82" s="630"/>
      <c r="H82" s="630"/>
      <c r="I82" s="630"/>
      <c r="J82" s="630"/>
      <c r="K82" s="630"/>
      <c r="L82" s="630"/>
      <c r="M82" s="630"/>
      <c r="N82" s="630"/>
      <c r="O82" s="630"/>
      <c r="P82" s="630"/>
      <c r="Q82" s="630"/>
      <c r="R82" s="630"/>
      <c r="S82" s="630"/>
      <c r="T82" s="630"/>
      <c r="U82" s="630"/>
      <c r="V82" s="630"/>
      <c r="W82" s="630"/>
      <c r="X82" s="630"/>
      <c r="Y82" s="630"/>
      <c r="Z82" s="630"/>
      <c r="AA82" s="630"/>
      <c r="AB82" s="630"/>
      <c r="AC82" s="630"/>
      <c r="AD82" s="630"/>
      <c r="AE82" s="630"/>
      <c r="AF82" s="630"/>
      <c r="AG82" s="630"/>
      <c r="AH82" s="630"/>
      <c r="AI82" s="630"/>
      <c r="AJ82" s="630"/>
      <c r="AK82" s="630"/>
      <c r="AL82" s="630"/>
      <c r="AM82" s="630"/>
      <c r="AN82" s="630"/>
      <c r="AO82" s="630"/>
      <c r="AP82" s="630"/>
      <c r="AQ82" s="630"/>
      <c r="AR82" s="630"/>
      <c r="AS82" s="630"/>
      <c r="AT82" s="630"/>
      <c r="AU82" s="630"/>
      <c r="AV82" s="630"/>
      <c r="AW82" s="630"/>
      <c r="AX82" s="630"/>
      <c r="AY82" s="630"/>
      <c r="AZ82" s="630"/>
      <c r="BA82" s="630"/>
      <c r="BB82" s="630"/>
      <c r="BC82" s="630"/>
      <c r="BD82" s="630"/>
      <c r="BE82" s="630"/>
      <c r="BF82" s="630"/>
      <c r="BG82" s="630"/>
      <c r="BH82" s="630"/>
      <c r="BI82" s="630"/>
      <c r="BJ82" s="630"/>
      <c r="BK82" s="630"/>
      <c r="BL82" s="630"/>
      <c r="BM82" s="630"/>
      <c r="BN82" s="630"/>
    </row>
    <row r="83" spans="1:66">
      <c r="A83" s="630"/>
      <c r="B83" s="630"/>
      <c r="C83" s="630"/>
      <c r="D83" s="630"/>
      <c r="E83" s="630"/>
      <c r="F83" s="630"/>
      <c r="G83" s="630"/>
      <c r="H83" s="630"/>
      <c r="I83" s="630"/>
      <c r="J83" s="630"/>
      <c r="K83" s="630"/>
      <c r="L83" s="630"/>
      <c r="M83" s="630"/>
      <c r="N83" s="630"/>
      <c r="O83" s="630"/>
      <c r="P83" s="630"/>
      <c r="Q83" s="630"/>
      <c r="R83" s="630"/>
      <c r="S83" s="630"/>
      <c r="T83" s="630"/>
      <c r="U83" s="630"/>
      <c r="V83" s="630"/>
      <c r="W83" s="630"/>
      <c r="X83" s="630"/>
      <c r="Y83" s="630"/>
      <c r="Z83" s="630"/>
      <c r="AA83" s="630"/>
      <c r="AB83" s="630"/>
      <c r="AC83" s="630"/>
      <c r="AD83" s="630"/>
      <c r="AE83" s="630"/>
      <c r="AF83" s="630"/>
      <c r="AG83" s="630"/>
      <c r="AH83" s="630"/>
      <c r="AI83" s="630"/>
      <c r="AJ83" s="630"/>
      <c r="AK83" s="630"/>
      <c r="AL83" s="630"/>
      <c r="AM83" s="630"/>
      <c r="AN83" s="630"/>
      <c r="AO83" s="630"/>
      <c r="AP83" s="630"/>
      <c r="AQ83" s="630"/>
      <c r="AR83" s="630"/>
      <c r="AS83" s="630"/>
      <c r="AT83" s="630"/>
      <c r="AU83" s="630"/>
      <c r="AV83" s="630"/>
      <c r="AW83" s="630"/>
      <c r="AX83" s="630"/>
      <c r="AY83" s="630"/>
      <c r="AZ83" s="630"/>
      <c r="BA83" s="630"/>
      <c r="BB83" s="630"/>
      <c r="BC83" s="630"/>
      <c r="BD83" s="630"/>
      <c r="BE83" s="630"/>
      <c r="BF83" s="630"/>
      <c r="BG83" s="630"/>
      <c r="BH83" s="630"/>
      <c r="BI83" s="630"/>
      <c r="BJ83" s="630"/>
      <c r="BK83" s="630"/>
      <c r="BL83" s="630"/>
      <c r="BM83" s="630"/>
      <c r="BN83" s="630"/>
    </row>
    <row r="84" spans="1:66">
      <c r="A84" s="630"/>
      <c r="B84" s="630"/>
      <c r="C84" s="630"/>
      <c r="D84" s="630"/>
      <c r="E84" s="630"/>
      <c r="F84" s="630"/>
      <c r="G84" s="630"/>
      <c r="H84" s="630"/>
      <c r="I84" s="630"/>
      <c r="J84" s="630"/>
      <c r="K84" s="630"/>
      <c r="L84" s="630"/>
      <c r="M84" s="630"/>
      <c r="N84" s="630"/>
      <c r="O84" s="630"/>
      <c r="P84" s="630"/>
      <c r="Q84" s="630"/>
      <c r="R84" s="630"/>
      <c r="S84" s="630"/>
      <c r="T84" s="630"/>
      <c r="U84" s="630"/>
      <c r="V84" s="630"/>
      <c r="W84" s="630"/>
      <c r="X84" s="630"/>
      <c r="Y84" s="630"/>
      <c r="Z84" s="630"/>
      <c r="AA84" s="630"/>
      <c r="AB84" s="630"/>
      <c r="AC84" s="630"/>
      <c r="AD84" s="630"/>
      <c r="AE84" s="630"/>
      <c r="AF84" s="630"/>
      <c r="AG84" s="630"/>
      <c r="AH84" s="630"/>
      <c r="AI84" s="630"/>
      <c r="AJ84" s="630"/>
      <c r="AK84" s="630"/>
      <c r="AL84" s="630"/>
      <c r="AM84" s="630"/>
      <c r="AN84" s="630"/>
      <c r="AO84" s="630"/>
      <c r="AP84" s="630"/>
      <c r="AQ84" s="630"/>
      <c r="AR84" s="630"/>
      <c r="AS84" s="630"/>
      <c r="AT84" s="630"/>
      <c r="AU84" s="630"/>
      <c r="AV84" s="630"/>
      <c r="AW84" s="630"/>
      <c r="AX84" s="630"/>
      <c r="AY84" s="630"/>
      <c r="AZ84" s="630"/>
      <c r="BA84" s="630"/>
      <c r="BB84" s="630"/>
      <c r="BC84" s="630"/>
      <c r="BD84" s="630"/>
      <c r="BE84" s="630"/>
      <c r="BF84" s="630"/>
      <c r="BG84" s="630"/>
      <c r="BH84" s="630"/>
      <c r="BI84" s="630"/>
      <c r="BJ84" s="630"/>
      <c r="BK84" s="630"/>
      <c r="BL84" s="630"/>
      <c r="BM84" s="630"/>
      <c r="BN84" s="630"/>
    </row>
    <row r="85" spans="1:66" ht="165.6" customHeight="1">
      <c r="A85" s="630"/>
      <c r="B85" s="630"/>
      <c r="C85" s="630"/>
      <c r="D85" s="630"/>
      <c r="E85" s="630"/>
      <c r="F85" s="630"/>
      <c r="G85" s="630"/>
      <c r="H85" s="630"/>
      <c r="I85" s="630"/>
      <c r="J85" s="630"/>
      <c r="K85" s="630"/>
      <c r="L85" s="630"/>
      <c r="M85" s="630"/>
      <c r="N85" s="630"/>
      <c r="O85" s="630"/>
      <c r="P85" s="630"/>
      <c r="Q85" s="630"/>
      <c r="R85" s="630"/>
      <c r="S85" s="630"/>
      <c r="T85" s="630"/>
      <c r="U85" s="630"/>
      <c r="V85" s="630"/>
      <c r="W85" s="630"/>
      <c r="X85" s="630"/>
      <c r="Y85" s="630"/>
      <c r="Z85" s="630"/>
      <c r="AA85" s="630"/>
      <c r="AB85" s="630"/>
      <c r="AC85" s="630"/>
      <c r="AD85" s="630"/>
      <c r="AE85" s="630"/>
      <c r="AF85" s="630"/>
      <c r="AG85" s="630"/>
      <c r="AH85" s="630"/>
      <c r="AI85" s="630"/>
      <c r="AJ85" s="630"/>
      <c r="AK85" s="630"/>
      <c r="AL85" s="630"/>
      <c r="AM85" s="630"/>
      <c r="AN85" s="630"/>
      <c r="AO85" s="630"/>
      <c r="AP85" s="630"/>
      <c r="AQ85" s="630"/>
      <c r="AR85" s="630"/>
      <c r="AS85" s="630"/>
      <c r="AT85" s="630"/>
      <c r="AU85" s="630"/>
      <c r="AV85" s="630"/>
      <c r="AW85" s="630"/>
      <c r="AX85" s="630"/>
      <c r="AY85" s="630"/>
      <c r="AZ85" s="630"/>
      <c r="BA85" s="630"/>
      <c r="BB85" s="630"/>
      <c r="BC85" s="630"/>
      <c r="BD85" s="630"/>
      <c r="BE85" s="630"/>
      <c r="BF85" s="630"/>
      <c r="BG85" s="630"/>
      <c r="BH85" s="630"/>
      <c r="BI85" s="630"/>
      <c r="BJ85" s="630"/>
      <c r="BK85" s="630"/>
      <c r="BL85" s="630"/>
      <c r="BM85" s="630"/>
      <c r="BN85" s="630"/>
    </row>
    <row r="86" spans="1:66" ht="19.2" customHeight="1">
      <c r="A86" s="630" t="s">
        <v>343</v>
      </c>
      <c r="B86" s="630"/>
      <c r="C86" s="630"/>
      <c r="D86" s="630"/>
      <c r="E86" s="630"/>
      <c r="F86" s="630"/>
      <c r="G86" s="630"/>
      <c r="H86" s="630"/>
      <c r="I86" s="630"/>
      <c r="J86" s="630"/>
      <c r="K86" s="630"/>
      <c r="L86" s="630"/>
      <c r="M86" s="630"/>
      <c r="N86" s="630"/>
      <c r="O86" s="630"/>
      <c r="P86" s="630"/>
      <c r="Q86" s="630"/>
      <c r="R86" s="630"/>
      <c r="S86" s="630"/>
      <c r="T86" s="630"/>
      <c r="U86" s="630"/>
      <c r="V86" s="630"/>
      <c r="W86" s="630"/>
      <c r="X86" s="630"/>
      <c r="Y86" s="630"/>
      <c r="Z86" s="630"/>
      <c r="AA86" s="630"/>
      <c r="AB86" s="630"/>
      <c r="AC86" s="630"/>
      <c r="AD86" s="630"/>
      <c r="AE86" s="630"/>
      <c r="AF86" s="630"/>
      <c r="AG86" s="630"/>
      <c r="AH86" s="630"/>
      <c r="AI86" s="630"/>
      <c r="AJ86" s="630"/>
      <c r="AK86" s="630"/>
      <c r="AL86" s="630"/>
      <c r="AM86" s="630"/>
      <c r="AN86" s="630"/>
      <c r="AO86" s="630"/>
      <c r="AP86" s="630"/>
      <c r="AQ86" s="630"/>
      <c r="AR86" s="630"/>
      <c r="AS86" s="630"/>
      <c r="AT86" s="630"/>
      <c r="AU86" s="630"/>
      <c r="AV86" s="630"/>
      <c r="AW86" s="630"/>
      <c r="AX86" s="630"/>
      <c r="AY86" s="630"/>
      <c r="AZ86" s="630"/>
      <c r="BA86" s="630"/>
      <c r="BB86" s="630"/>
      <c r="BC86" s="630"/>
      <c r="BD86" s="630"/>
      <c r="BE86" s="630"/>
      <c r="BF86" s="630"/>
      <c r="BG86" s="630"/>
      <c r="BH86" s="630"/>
      <c r="BI86" s="630"/>
      <c r="BJ86" s="630"/>
      <c r="BK86" s="630"/>
      <c r="BL86" s="630"/>
      <c r="BM86" s="630"/>
      <c r="BN86" s="630"/>
    </row>
    <row r="87" spans="1:66">
      <c r="A87" s="630"/>
      <c r="B87" s="630"/>
      <c r="C87" s="630"/>
      <c r="D87" s="630"/>
      <c r="E87" s="630"/>
      <c r="F87" s="630"/>
      <c r="G87" s="630"/>
      <c r="H87" s="630"/>
      <c r="I87" s="630"/>
      <c r="J87" s="630"/>
      <c r="K87" s="630"/>
      <c r="L87" s="630"/>
      <c r="M87" s="630"/>
      <c r="N87" s="630"/>
      <c r="O87" s="630"/>
      <c r="P87" s="630"/>
      <c r="Q87" s="630"/>
      <c r="R87" s="630"/>
      <c r="S87" s="630"/>
      <c r="T87" s="630"/>
      <c r="U87" s="630"/>
      <c r="V87" s="630"/>
      <c r="W87" s="630"/>
      <c r="X87" s="630"/>
      <c r="Y87" s="630"/>
      <c r="Z87" s="630"/>
      <c r="AA87" s="630"/>
      <c r="AB87" s="630"/>
      <c r="AC87" s="630"/>
      <c r="AD87" s="630"/>
      <c r="AE87" s="630"/>
      <c r="AF87" s="630"/>
      <c r="AG87" s="630"/>
      <c r="AH87" s="630"/>
      <c r="AI87" s="630"/>
      <c r="AJ87" s="630"/>
      <c r="AK87" s="630"/>
      <c r="AL87" s="630"/>
      <c r="AM87" s="630"/>
      <c r="AN87" s="630"/>
      <c r="AO87" s="630"/>
      <c r="AP87" s="630"/>
      <c r="AQ87" s="630"/>
      <c r="AR87" s="630"/>
      <c r="AS87" s="630"/>
      <c r="AT87" s="630"/>
      <c r="AU87" s="630"/>
      <c r="AV87" s="630"/>
      <c r="AW87" s="630"/>
      <c r="AX87" s="630"/>
      <c r="AY87" s="630"/>
      <c r="AZ87" s="630"/>
      <c r="BA87" s="630"/>
      <c r="BB87" s="630"/>
      <c r="BC87" s="630"/>
      <c r="BD87" s="630"/>
      <c r="BE87" s="630"/>
      <c r="BF87" s="630"/>
      <c r="BG87" s="630"/>
      <c r="BH87" s="630"/>
      <c r="BI87" s="630"/>
      <c r="BJ87" s="630"/>
      <c r="BK87" s="630"/>
      <c r="BL87" s="630"/>
      <c r="BM87" s="630"/>
      <c r="BN87" s="630"/>
    </row>
    <row r="88" spans="1:66">
      <c r="A88" s="630"/>
      <c r="B88" s="630"/>
      <c r="C88" s="630"/>
      <c r="D88" s="630"/>
      <c r="E88" s="630"/>
      <c r="F88" s="630"/>
      <c r="G88" s="630"/>
      <c r="H88" s="630"/>
      <c r="I88" s="630"/>
      <c r="J88" s="630"/>
      <c r="K88" s="630"/>
      <c r="L88" s="630"/>
      <c r="M88" s="630"/>
      <c r="N88" s="630"/>
      <c r="O88" s="630"/>
      <c r="P88" s="630"/>
      <c r="Q88" s="630"/>
      <c r="R88" s="630"/>
      <c r="S88" s="630"/>
      <c r="T88" s="630"/>
      <c r="U88" s="630"/>
      <c r="V88" s="630"/>
      <c r="W88" s="630"/>
      <c r="X88" s="630"/>
      <c r="Y88" s="630"/>
      <c r="Z88" s="630"/>
      <c r="AA88" s="630"/>
      <c r="AB88" s="630"/>
      <c r="AC88" s="630"/>
      <c r="AD88" s="630"/>
      <c r="AE88" s="630"/>
      <c r="AF88" s="630"/>
      <c r="AG88" s="630"/>
      <c r="AH88" s="630"/>
      <c r="AI88" s="630"/>
      <c r="AJ88" s="630"/>
      <c r="AK88" s="630"/>
      <c r="AL88" s="630"/>
      <c r="AM88" s="630"/>
      <c r="AN88" s="630"/>
      <c r="AO88" s="630"/>
      <c r="AP88" s="630"/>
      <c r="AQ88" s="630"/>
      <c r="AR88" s="630"/>
      <c r="AS88" s="630"/>
      <c r="AT88" s="630"/>
      <c r="AU88" s="630"/>
      <c r="AV88" s="630"/>
      <c r="AW88" s="630"/>
      <c r="AX88" s="630"/>
      <c r="AY88" s="630"/>
      <c r="AZ88" s="630"/>
      <c r="BA88" s="630"/>
      <c r="BB88" s="630"/>
      <c r="BC88" s="630"/>
      <c r="BD88" s="630"/>
      <c r="BE88" s="630"/>
      <c r="BF88" s="630"/>
      <c r="BG88" s="630"/>
      <c r="BH88" s="630"/>
      <c r="BI88" s="630"/>
      <c r="BJ88" s="630"/>
      <c r="BK88" s="630"/>
      <c r="BL88" s="630"/>
      <c r="BM88" s="630"/>
      <c r="BN88" s="630"/>
    </row>
    <row r="89" spans="1:66">
      <c r="A89" s="630"/>
      <c r="B89" s="630"/>
      <c r="C89" s="630"/>
      <c r="D89" s="630"/>
      <c r="E89" s="630"/>
      <c r="F89" s="630"/>
      <c r="G89" s="630"/>
      <c r="H89" s="630"/>
      <c r="I89" s="630"/>
      <c r="J89" s="630"/>
      <c r="K89" s="630"/>
      <c r="L89" s="630"/>
      <c r="M89" s="630"/>
      <c r="N89" s="630"/>
      <c r="O89" s="630"/>
      <c r="P89" s="630"/>
      <c r="Q89" s="630"/>
      <c r="R89" s="630"/>
      <c r="S89" s="630"/>
      <c r="T89" s="630"/>
      <c r="U89" s="630"/>
      <c r="V89" s="630"/>
      <c r="W89" s="630"/>
      <c r="X89" s="630"/>
      <c r="Y89" s="630"/>
      <c r="Z89" s="630"/>
      <c r="AA89" s="630"/>
      <c r="AB89" s="630"/>
      <c r="AC89" s="630"/>
      <c r="AD89" s="630"/>
      <c r="AE89" s="630"/>
      <c r="AF89" s="630"/>
      <c r="AG89" s="630"/>
      <c r="AH89" s="630"/>
      <c r="AI89" s="630"/>
      <c r="AJ89" s="630"/>
      <c r="AK89" s="630"/>
      <c r="AL89" s="630"/>
      <c r="AM89" s="630"/>
      <c r="AN89" s="630"/>
      <c r="AO89" s="630"/>
      <c r="AP89" s="630"/>
      <c r="AQ89" s="630"/>
      <c r="AR89" s="630"/>
      <c r="AS89" s="630"/>
      <c r="AT89" s="630"/>
      <c r="AU89" s="630"/>
      <c r="AV89" s="630"/>
      <c r="AW89" s="630"/>
      <c r="AX89" s="630"/>
      <c r="AY89" s="630"/>
      <c r="AZ89" s="630"/>
      <c r="BA89" s="630"/>
      <c r="BB89" s="630"/>
      <c r="BC89" s="630"/>
      <c r="BD89" s="630"/>
      <c r="BE89" s="630"/>
      <c r="BF89" s="630"/>
      <c r="BG89" s="630"/>
      <c r="BH89" s="630"/>
      <c r="BI89" s="630"/>
      <c r="BJ89" s="630"/>
      <c r="BK89" s="630"/>
      <c r="BL89" s="630"/>
      <c r="BM89" s="630"/>
      <c r="BN89" s="630"/>
    </row>
    <row r="90" spans="1:66">
      <c r="A90" s="630"/>
      <c r="B90" s="630"/>
      <c r="C90" s="630"/>
      <c r="D90" s="630"/>
      <c r="E90" s="630"/>
      <c r="F90" s="630"/>
      <c r="G90" s="630"/>
      <c r="H90" s="630"/>
      <c r="I90" s="630"/>
      <c r="J90" s="630"/>
      <c r="K90" s="630"/>
      <c r="L90" s="630"/>
      <c r="M90" s="630"/>
      <c r="N90" s="630"/>
      <c r="O90" s="630"/>
      <c r="P90" s="630"/>
      <c r="Q90" s="630"/>
      <c r="R90" s="630"/>
      <c r="S90" s="630"/>
      <c r="T90" s="630"/>
      <c r="U90" s="630"/>
      <c r="V90" s="630"/>
      <c r="W90" s="630"/>
      <c r="X90" s="630"/>
      <c r="Y90" s="630"/>
      <c r="Z90" s="630"/>
      <c r="AA90" s="630"/>
      <c r="AB90" s="630"/>
      <c r="AC90" s="630"/>
      <c r="AD90" s="630"/>
      <c r="AE90" s="630"/>
      <c r="AF90" s="630"/>
      <c r="AG90" s="630"/>
      <c r="AH90" s="630"/>
      <c r="AI90" s="630"/>
      <c r="AJ90" s="630"/>
      <c r="AK90" s="630"/>
      <c r="AL90" s="630"/>
      <c r="AM90" s="630"/>
      <c r="AN90" s="630"/>
      <c r="AO90" s="630"/>
      <c r="AP90" s="630"/>
      <c r="AQ90" s="630"/>
      <c r="AR90" s="630"/>
      <c r="AS90" s="630"/>
      <c r="AT90" s="630"/>
      <c r="AU90" s="630"/>
      <c r="AV90" s="630"/>
      <c r="AW90" s="630"/>
      <c r="AX90" s="630"/>
      <c r="AY90" s="630"/>
      <c r="AZ90" s="630"/>
      <c r="BA90" s="630"/>
      <c r="BB90" s="630"/>
      <c r="BC90" s="630"/>
      <c r="BD90" s="630"/>
      <c r="BE90" s="630"/>
      <c r="BF90" s="630"/>
      <c r="BG90" s="630"/>
      <c r="BH90" s="630"/>
      <c r="BI90" s="630"/>
      <c r="BJ90" s="630"/>
      <c r="BK90" s="630"/>
      <c r="BL90" s="630"/>
      <c r="BM90" s="630"/>
      <c r="BN90" s="630"/>
    </row>
    <row r="91" spans="1:66">
      <c r="A91" s="630"/>
      <c r="B91" s="630"/>
      <c r="C91" s="630"/>
      <c r="D91" s="630"/>
      <c r="E91" s="630"/>
      <c r="F91" s="630"/>
      <c r="G91" s="630"/>
      <c r="H91" s="630"/>
      <c r="I91" s="630"/>
      <c r="J91" s="630"/>
      <c r="K91" s="630"/>
      <c r="L91" s="630"/>
      <c r="M91" s="630"/>
      <c r="N91" s="630"/>
      <c r="O91" s="630"/>
      <c r="P91" s="630"/>
      <c r="Q91" s="630"/>
      <c r="R91" s="630"/>
      <c r="S91" s="630"/>
      <c r="T91" s="630"/>
      <c r="U91" s="630"/>
      <c r="V91" s="630"/>
      <c r="W91" s="630"/>
      <c r="X91" s="630"/>
      <c r="Y91" s="630"/>
      <c r="Z91" s="630"/>
      <c r="AA91" s="630"/>
      <c r="AB91" s="630"/>
      <c r="AC91" s="630"/>
      <c r="AD91" s="630"/>
      <c r="AE91" s="630"/>
      <c r="AF91" s="630"/>
      <c r="AG91" s="630"/>
      <c r="AH91" s="630"/>
      <c r="AI91" s="630"/>
      <c r="AJ91" s="630"/>
      <c r="AK91" s="630"/>
      <c r="AL91" s="630"/>
      <c r="AM91" s="630"/>
      <c r="AN91" s="630"/>
      <c r="AO91" s="630"/>
      <c r="AP91" s="630"/>
      <c r="AQ91" s="630"/>
      <c r="AR91" s="630"/>
      <c r="AS91" s="630"/>
      <c r="AT91" s="630"/>
      <c r="AU91" s="630"/>
      <c r="AV91" s="630"/>
      <c r="AW91" s="630"/>
      <c r="AX91" s="630"/>
      <c r="AY91" s="630"/>
      <c r="AZ91" s="630"/>
      <c r="BA91" s="630"/>
      <c r="BB91" s="630"/>
      <c r="BC91" s="630"/>
      <c r="BD91" s="630"/>
      <c r="BE91" s="630"/>
      <c r="BF91" s="630"/>
      <c r="BG91" s="630"/>
      <c r="BH91" s="630"/>
      <c r="BI91" s="630"/>
      <c r="BJ91" s="630"/>
      <c r="BK91" s="630"/>
      <c r="BL91" s="630"/>
      <c r="BM91" s="630"/>
      <c r="BN91" s="630"/>
    </row>
    <row r="92" spans="1:66">
      <c r="A92" s="630"/>
      <c r="B92" s="630"/>
      <c r="C92" s="630"/>
      <c r="D92" s="630"/>
      <c r="E92" s="630"/>
      <c r="F92" s="630"/>
      <c r="G92" s="630"/>
      <c r="H92" s="630"/>
      <c r="I92" s="630"/>
      <c r="J92" s="630"/>
      <c r="K92" s="630"/>
      <c r="L92" s="630"/>
      <c r="M92" s="630"/>
      <c r="N92" s="630"/>
      <c r="O92" s="630"/>
      <c r="P92" s="630"/>
      <c r="Q92" s="630"/>
      <c r="R92" s="630"/>
      <c r="S92" s="630"/>
      <c r="T92" s="630"/>
      <c r="U92" s="630"/>
      <c r="V92" s="630"/>
      <c r="W92" s="630"/>
      <c r="X92" s="630"/>
      <c r="Y92" s="630"/>
      <c r="Z92" s="630"/>
      <c r="AA92" s="630"/>
      <c r="AB92" s="630"/>
      <c r="AC92" s="630"/>
      <c r="AD92" s="630"/>
      <c r="AE92" s="630"/>
      <c r="AF92" s="630"/>
      <c r="AG92" s="630"/>
      <c r="AH92" s="630"/>
      <c r="AI92" s="630"/>
      <c r="AJ92" s="630"/>
      <c r="AK92" s="630"/>
      <c r="AL92" s="630"/>
      <c r="AM92" s="630"/>
      <c r="AN92" s="630"/>
      <c r="AO92" s="630"/>
      <c r="AP92" s="630"/>
      <c r="AQ92" s="630"/>
      <c r="AR92" s="630"/>
      <c r="AS92" s="630"/>
      <c r="AT92" s="630"/>
      <c r="AU92" s="630"/>
      <c r="AV92" s="630"/>
      <c r="AW92" s="630"/>
      <c r="AX92" s="630"/>
      <c r="AY92" s="630"/>
      <c r="AZ92" s="630"/>
      <c r="BA92" s="630"/>
      <c r="BB92" s="630"/>
      <c r="BC92" s="630"/>
      <c r="BD92" s="630"/>
      <c r="BE92" s="630"/>
      <c r="BF92" s="630"/>
      <c r="BG92" s="630"/>
      <c r="BH92" s="630"/>
      <c r="BI92" s="630"/>
      <c r="BJ92" s="630"/>
      <c r="BK92" s="630"/>
      <c r="BL92" s="630"/>
      <c r="BM92" s="630"/>
      <c r="BN92" s="630"/>
    </row>
    <row r="93" spans="1:66" ht="106.95" customHeight="1">
      <c r="A93" s="630"/>
      <c r="B93" s="630"/>
      <c r="C93" s="630"/>
      <c r="D93" s="630"/>
      <c r="E93" s="630"/>
      <c r="F93" s="630"/>
      <c r="G93" s="630"/>
      <c r="H93" s="630"/>
      <c r="I93" s="630"/>
      <c r="J93" s="630"/>
      <c r="K93" s="630"/>
      <c r="L93" s="630"/>
      <c r="M93" s="630"/>
      <c r="N93" s="630"/>
      <c r="O93" s="630"/>
      <c r="P93" s="630"/>
      <c r="Q93" s="630"/>
      <c r="R93" s="630"/>
      <c r="S93" s="630"/>
      <c r="T93" s="630"/>
      <c r="U93" s="630"/>
      <c r="V93" s="630"/>
      <c r="W93" s="630"/>
      <c r="X93" s="630"/>
      <c r="Y93" s="630"/>
      <c r="Z93" s="630"/>
      <c r="AA93" s="630"/>
      <c r="AB93" s="630"/>
      <c r="AC93" s="630"/>
      <c r="AD93" s="630"/>
      <c r="AE93" s="630"/>
      <c r="AF93" s="630"/>
      <c r="AG93" s="630"/>
      <c r="AH93" s="630"/>
      <c r="AI93" s="630"/>
      <c r="AJ93" s="630"/>
      <c r="AK93" s="630"/>
      <c r="AL93" s="630"/>
      <c r="AM93" s="630"/>
      <c r="AN93" s="630"/>
      <c r="AO93" s="630"/>
      <c r="AP93" s="630"/>
      <c r="AQ93" s="630"/>
      <c r="AR93" s="630"/>
      <c r="AS93" s="630"/>
      <c r="AT93" s="630"/>
      <c r="AU93" s="630"/>
      <c r="AV93" s="630"/>
      <c r="AW93" s="630"/>
      <c r="AX93" s="630"/>
      <c r="AY93" s="630"/>
      <c r="AZ93" s="630"/>
      <c r="BA93" s="630"/>
      <c r="BB93" s="630"/>
      <c r="BC93" s="630"/>
      <c r="BD93" s="630"/>
      <c r="BE93" s="630"/>
      <c r="BF93" s="630"/>
      <c r="BG93" s="630"/>
      <c r="BH93" s="630"/>
      <c r="BI93" s="630"/>
      <c r="BJ93" s="630"/>
      <c r="BK93" s="630"/>
      <c r="BL93" s="630"/>
      <c r="BM93" s="630"/>
      <c r="BN93" s="630"/>
    </row>
    <row r="94" spans="1:66" ht="81" customHeight="1">
      <c r="A94" s="630" t="s">
        <v>344</v>
      </c>
      <c r="B94" s="630"/>
      <c r="C94" s="630"/>
      <c r="D94" s="630"/>
      <c r="E94" s="630"/>
      <c r="F94" s="630"/>
      <c r="G94" s="630"/>
      <c r="H94" s="630"/>
      <c r="I94" s="630"/>
      <c r="J94" s="630"/>
      <c r="K94" s="630"/>
      <c r="L94" s="630"/>
      <c r="M94" s="630"/>
      <c r="N94" s="630"/>
      <c r="O94" s="630"/>
      <c r="P94" s="630"/>
      <c r="Q94" s="630"/>
      <c r="R94" s="630"/>
      <c r="S94" s="630"/>
      <c r="T94" s="630"/>
      <c r="U94" s="630"/>
      <c r="V94" s="630"/>
      <c r="W94" s="630"/>
      <c r="X94" s="630"/>
      <c r="Y94" s="630"/>
      <c r="Z94" s="630"/>
      <c r="AA94" s="630"/>
      <c r="AB94" s="630"/>
      <c r="AC94" s="630"/>
      <c r="AD94" s="630"/>
      <c r="AE94" s="630"/>
      <c r="AF94" s="630"/>
      <c r="AG94" s="630"/>
      <c r="AH94" s="630"/>
      <c r="AI94" s="630"/>
      <c r="AJ94" s="630"/>
      <c r="AK94" s="630"/>
      <c r="AL94" s="630"/>
      <c r="AM94" s="630"/>
      <c r="AN94" s="630"/>
      <c r="AO94" s="630"/>
      <c r="AP94" s="630"/>
      <c r="AQ94" s="630"/>
      <c r="AR94" s="630"/>
      <c r="AS94" s="630"/>
      <c r="AT94" s="630"/>
      <c r="AU94" s="630"/>
      <c r="AV94" s="630"/>
      <c r="AW94" s="630"/>
      <c r="AX94" s="630"/>
      <c r="AY94" s="630"/>
      <c r="AZ94" s="630"/>
      <c r="BA94" s="630"/>
      <c r="BB94" s="630"/>
      <c r="BC94" s="630"/>
      <c r="BD94" s="630"/>
      <c r="BE94" s="630"/>
      <c r="BF94" s="630"/>
      <c r="BG94" s="630"/>
      <c r="BH94" s="630"/>
      <c r="BI94" s="630"/>
      <c r="BJ94" s="630"/>
      <c r="BK94" s="630"/>
      <c r="BL94" s="630"/>
      <c r="BM94" s="630"/>
      <c r="BN94" s="630"/>
    </row>
    <row r="95" spans="1:66">
      <c r="A95" s="630"/>
      <c r="B95" s="630"/>
      <c r="C95" s="630"/>
      <c r="D95" s="630"/>
      <c r="E95" s="630"/>
      <c r="F95" s="630"/>
      <c r="G95" s="630"/>
      <c r="H95" s="630"/>
      <c r="I95" s="630"/>
      <c r="J95" s="630"/>
      <c r="K95" s="630"/>
      <c r="L95" s="630"/>
      <c r="M95" s="630"/>
      <c r="N95" s="630"/>
      <c r="O95" s="630"/>
      <c r="P95" s="630"/>
      <c r="Q95" s="630"/>
      <c r="R95" s="630"/>
      <c r="S95" s="630"/>
      <c r="T95" s="630"/>
      <c r="U95" s="630"/>
      <c r="V95" s="630"/>
      <c r="W95" s="630"/>
      <c r="X95" s="630"/>
      <c r="Y95" s="630"/>
      <c r="Z95" s="630"/>
      <c r="AA95" s="630"/>
      <c r="AB95" s="630"/>
      <c r="AC95" s="630"/>
      <c r="AD95" s="630"/>
      <c r="AE95" s="630"/>
      <c r="AF95" s="630"/>
      <c r="AG95" s="630"/>
      <c r="AH95" s="630"/>
      <c r="AI95" s="630"/>
      <c r="AJ95" s="630"/>
      <c r="AK95" s="630"/>
      <c r="AL95" s="630"/>
      <c r="AM95" s="630"/>
      <c r="AN95" s="630"/>
      <c r="AO95" s="630"/>
      <c r="AP95" s="630"/>
      <c r="AQ95" s="630"/>
      <c r="AR95" s="630"/>
      <c r="AS95" s="630"/>
      <c r="AT95" s="630"/>
      <c r="AU95" s="630"/>
      <c r="AV95" s="630"/>
      <c r="AW95" s="630"/>
      <c r="AX95" s="630"/>
      <c r="AY95" s="630"/>
      <c r="AZ95" s="630"/>
      <c r="BA95" s="630"/>
      <c r="BB95" s="630"/>
      <c r="BC95" s="630"/>
      <c r="BD95" s="630"/>
      <c r="BE95" s="630"/>
      <c r="BF95" s="630"/>
      <c r="BG95" s="630"/>
      <c r="BH95" s="630"/>
      <c r="BI95" s="630"/>
      <c r="BJ95" s="630"/>
      <c r="BK95" s="630"/>
      <c r="BL95" s="630"/>
      <c r="BM95" s="630"/>
      <c r="BN95" s="630"/>
    </row>
    <row r="96" spans="1:66">
      <c r="A96" s="630"/>
      <c r="B96" s="630"/>
      <c r="C96" s="630"/>
      <c r="D96" s="630"/>
      <c r="E96" s="630"/>
      <c r="F96" s="630"/>
      <c r="G96" s="630"/>
      <c r="H96" s="630"/>
      <c r="I96" s="630"/>
      <c r="J96" s="630"/>
      <c r="K96" s="630"/>
      <c r="L96" s="630"/>
      <c r="M96" s="630"/>
      <c r="N96" s="630"/>
      <c r="O96" s="630"/>
      <c r="P96" s="630"/>
      <c r="Q96" s="630"/>
      <c r="R96" s="630"/>
      <c r="S96" s="630"/>
      <c r="T96" s="630"/>
      <c r="U96" s="630"/>
      <c r="V96" s="630"/>
      <c r="W96" s="630"/>
      <c r="X96" s="630"/>
      <c r="Y96" s="630"/>
      <c r="Z96" s="630"/>
      <c r="AA96" s="630"/>
      <c r="AB96" s="630"/>
      <c r="AC96" s="630"/>
      <c r="AD96" s="630"/>
      <c r="AE96" s="630"/>
      <c r="AF96" s="630"/>
      <c r="AG96" s="630"/>
      <c r="AH96" s="630"/>
      <c r="AI96" s="630"/>
      <c r="AJ96" s="630"/>
      <c r="AK96" s="630"/>
      <c r="AL96" s="630"/>
      <c r="AM96" s="630"/>
      <c r="AN96" s="630"/>
      <c r="AO96" s="630"/>
      <c r="AP96" s="630"/>
      <c r="AQ96" s="630"/>
      <c r="AR96" s="630"/>
      <c r="AS96" s="630"/>
      <c r="AT96" s="630"/>
      <c r="AU96" s="630"/>
      <c r="AV96" s="630"/>
      <c r="AW96" s="630"/>
      <c r="AX96" s="630"/>
      <c r="AY96" s="630"/>
      <c r="AZ96" s="630"/>
      <c r="BA96" s="630"/>
      <c r="BB96" s="630"/>
      <c r="BC96" s="630"/>
      <c r="BD96" s="630"/>
      <c r="BE96" s="630"/>
      <c r="BF96" s="630"/>
      <c r="BG96" s="630"/>
      <c r="BH96" s="630"/>
      <c r="BI96" s="630"/>
      <c r="BJ96" s="630"/>
      <c r="BK96" s="630"/>
      <c r="BL96" s="630"/>
      <c r="BM96" s="630"/>
      <c r="BN96" s="630"/>
    </row>
    <row r="97" spans="1:66">
      <c r="A97" s="630"/>
      <c r="B97" s="630"/>
      <c r="C97" s="630"/>
      <c r="D97" s="630"/>
      <c r="E97" s="630"/>
      <c r="F97" s="630"/>
      <c r="G97" s="630"/>
      <c r="H97" s="630"/>
      <c r="I97" s="630"/>
      <c r="J97" s="630"/>
      <c r="K97" s="630"/>
      <c r="L97" s="630"/>
      <c r="M97" s="630"/>
      <c r="N97" s="630"/>
      <c r="O97" s="630"/>
      <c r="P97" s="630"/>
      <c r="Q97" s="630"/>
      <c r="R97" s="630"/>
      <c r="S97" s="630"/>
      <c r="T97" s="630"/>
      <c r="U97" s="630"/>
      <c r="V97" s="630"/>
      <c r="W97" s="630"/>
      <c r="X97" s="630"/>
      <c r="Y97" s="630"/>
      <c r="Z97" s="630"/>
      <c r="AA97" s="630"/>
      <c r="AB97" s="630"/>
      <c r="AC97" s="630"/>
      <c r="AD97" s="630"/>
      <c r="AE97" s="630"/>
      <c r="AF97" s="630"/>
      <c r="AG97" s="630"/>
      <c r="AH97" s="630"/>
      <c r="AI97" s="630"/>
      <c r="AJ97" s="630"/>
      <c r="AK97" s="630"/>
      <c r="AL97" s="630"/>
      <c r="AM97" s="630"/>
      <c r="AN97" s="630"/>
      <c r="AO97" s="630"/>
      <c r="AP97" s="630"/>
      <c r="AQ97" s="630"/>
      <c r="AR97" s="630"/>
      <c r="AS97" s="630"/>
      <c r="AT97" s="630"/>
      <c r="AU97" s="630"/>
      <c r="AV97" s="630"/>
      <c r="AW97" s="630"/>
      <c r="AX97" s="630"/>
      <c r="AY97" s="630"/>
      <c r="AZ97" s="630"/>
      <c r="BA97" s="630"/>
      <c r="BB97" s="630"/>
      <c r="BC97" s="630"/>
      <c r="BD97" s="630"/>
      <c r="BE97" s="630"/>
      <c r="BF97" s="630"/>
      <c r="BG97" s="630"/>
      <c r="BH97" s="630"/>
      <c r="BI97" s="630"/>
      <c r="BJ97" s="630"/>
      <c r="BK97" s="630"/>
      <c r="BL97" s="630"/>
      <c r="BM97" s="630"/>
      <c r="BN97" s="630"/>
    </row>
    <row r="98" spans="1:66">
      <c r="A98" s="630"/>
      <c r="B98" s="630"/>
      <c r="C98" s="630"/>
      <c r="D98" s="630"/>
      <c r="E98" s="630"/>
      <c r="F98" s="630"/>
      <c r="G98" s="630"/>
      <c r="H98" s="630"/>
      <c r="I98" s="630"/>
      <c r="J98" s="630"/>
      <c r="K98" s="630"/>
      <c r="L98" s="630"/>
      <c r="M98" s="630"/>
      <c r="N98" s="630"/>
      <c r="O98" s="630"/>
      <c r="P98" s="630"/>
      <c r="Q98" s="630"/>
      <c r="R98" s="630"/>
      <c r="S98" s="630"/>
      <c r="T98" s="630"/>
      <c r="U98" s="630"/>
      <c r="V98" s="630"/>
      <c r="W98" s="630"/>
      <c r="X98" s="630"/>
      <c r="Y98" s="630"/>
      <c r="Z98" s="630"/>
      <c r="AA98" s="630"/>
      <c r="AB98" s="630"/>
      <c r="AC98" s="630"/>
      <c r="AD98" s="630"/>
      <c r="AE98" s="630"/>
      <c r="AF98" s="630"/>
      <c r="AG98" s="630"/>
      <c r="AH98" s="630"/>
      <c r="AI98" s="630"/>
      <c r="AJ98" s="630"/>
      <c r="AK98" s="630"/>
      <c r="AL98" s="630"/>
      <c r="AM98" s="630"/>
      <c r="AN98" s="630"/>
      <c r="AO98" s="630"/>
      <c r="AP98" s="630"/>
      <c r="AQ98" s="630"/>
      <c r="AR98" s="630"/>
      <c r="AS98" s="630"/>
      <c r="AT98" s="630"/>
      <c r="AU98" s="630"/>
      <c r="AV98" s="630"/>
      <c r="AW98" s="630"/>
      <c r="AX98" s="630"/>
      <c r="AY98" s="630"/>
      <c r="AZ98" s="630"/>
      <c r="BA98" s="630"/>
      <c r="BB98" s="630"/>
      <c r="BC98" s="630"/>
      <c r="BD98" s="630"/>
      <c r="BE98" s="630"/>
      <c r="BF98" s="630"/>
      <c r="BG98" s="630"/>
      <c r="BH98" s="630"/>
      <c r="BI98" s="630"/>
      <c r="BJ98" s="630"/>
      <c r="BK98" s="630"/>
      <c r="BL98" s="630"/>
      <c r="BM98" s="630"/>
      <c r="BN98" s="630"/>
    </row>
    <row r="99" spans="1:66">
      <c r="A99" s="630"/>
      <c r="B99" s="630"/>
      <c r="C99" s="630"/>
      <c r="D99" s="630"/>
      <c r="E99" s="630"/>
      <c r="F99" s="630"/>
      <c r="G99" s="630"/>
      <c r="H99" s="630"/>
      <c r="I99" s="630"/>
      <c r="J99" s="630"/>
      <c r="K99" s="630"/>
      <c r="L99" s="630"/>
      <c r="M99" s="630"/>
      <c r="N99" s="630"/>
      <c r="O99" s="630"/>
      <c r="P99" s="630"/>
      <c r="Q99" s="630"/>
      <c r="R99" s="630"/>
      <c r="S99" s="630"/>
      <c r="T99" s="630"/>
      <c r="U99" s="630"/>
      <c r="V99" s="630"/>
      <c r="W99" s="630"/>
      <c r="X99" s="630"/>
      <c r="Y99" s="630"/>
      <c r="Z99" s="630"/>
      <c r="AA99" s="630"/>
      <c r="AB99" s="630"/>
      <c r="AC99" s="630"/>
      <c r="AD99" s="630"/>
      <c r="AE99" s="630"/>
      <c r="AF99" s="630"/>
      <c r="AG99" s="630"/>
      <c r="AH99" s="630"/>
      <c r="AI99" s="630"/>
      <c r="AJ99" s="630"/>
      <c r="AK99" s="630"/>
      <c r="AL99" s="630"/>
      <c r="AM99" s="630"/>
      <c r="AN99" s="630"/>
      <c r="AO99" s="630"/>
      <c r="AP99" s="630"/>
      <c r="AQ99" s="630"/>
      <c r="AR99" s="630"/>
      <c r="AS99" s="630"/>
      <c r="AT99" s="630"/>
      <c r="AU99" s="630"/>
      <c r="AV99" s="630"/>
      <c r="AW99" s="630"/>
      <c r="AX99" s="630"/>
      <c r="AY99" s="630"/>
      <c r="AZ99" s="630"/>
      <c r="BA99" s="630"/>
      <c r="BB99" s="630"/>
      <c r="BC99" s="630"/>
      <c r="BD99" s="630"/>
      <c r="BE99" s="630"/>
      <c r="BF99" s="630"/>
      <c r="BG99" s="630"/>
      <c r="BH99" s="630"/>
      <c r="BI99" s="630"/>
      <c r="BJ99" s="630"/>
      <c r="BK99" s="630"/>
      <c r="BL99" s="630"/>
      <c r="BM99" s="630"/>
      <c r="BN99" s="630"/>
    </row>
    <row r="100" spans="1:66">
      <c r="A100" s="630"/>
      <c r="B100" s="630"/>
      <c r="C100" s="630"/>
      <c r="D100" s="630"/>
      <c r="E100" s="630"/>
      <c r="F100" s="630"/>
      <c r="G100" s="630"/>
      <c r="H100" s="630"/>
      <c r="I100" s="630"/>
      <c r="J100" s="630"/>
      <c r="K100" s="630"/>
      <c r="L100" s="630"/>
      <c r="M100" s="630"/>
      <c r="N100" s="630"/>
      <c r="O100" s="630"/>
      <c r="P100" s="630"/>
      <c r="Q100" s="630"/>
      <c r="R100" s="630"/>
      <c r="S100" s="630"/>
      <c r="T100" s="630"/>
      <c r="U100" s="630"/>
      <c r="V100" s="630"/>
      <c r="W100" s="630"/>
      <c r="X100" s="630"/>
      <c r="Y100" s="630"/>
      <c r="Z100" s="630"/>
      <c r="AA100" s="630"/>
      <c r="AB100" s="630"/>
      <c r="AC100" s="630"/>
      <c r="AD100" s="630"/>
      <c r="AE100" s="630"/>
      <c r="AF100" s="630"/>
      <c r="AG100" s="630"/>
      <c r="AH100" s="630"/>
      <c r="AI100" s="630"/>
      <c r="AJ100" s="630"/>
      <c r="AK100" s="630"/>
      <c r="AL100" s="630"/>
      <c r="AM100" s="630"/>
      <c r="AN100" s="630"/>
      <c r="AO100" s="630"/>
      <c r="AP100" s="630"/>
      <c r="AQ100" s="630"/>
      <c r="AR100" s="630"/>
      <c r="AS100" s="630"/>
      <c r="AT100" s="630"/>
      <c r="AU100" s="630"/>
      <c r="AV100" s="630"/>
      <c r="AW100" s="630"/>
      <c r="AX100" s="630"/>
      <c r="AY100" s="630"/>
      <c r="AZ100" s="630"/>
      <c r="BA100" s="630"/>
      <c r="BB100" s="630"/>
      <c r="BC100" s="630"/>
      <c r="BD100" s="630"/>
      <c r="BE100" s="630"/>
      <c r="BF100" s="630"/>
      <c r="BG100" s="630"/>
      <c r="BH100" s="630"/>
      <c r="BI100" s="630"/>
      <c r="BJ100" s="630"/>
      <c r="BK100" s="630"/>
      <c r="BL100" s="630"/>
      <c r="BM100" s="630"/>
      <c r="BN100" s="630"/>
    </row>
    <row r="101" spans="1:66">
      <c r="A101" s="630"/>
      <c r="B101" s="630"/>
      <c r="C101" s="630"/>
      <c r="D101" s="630"/>
      <c r="E101" s="630"/>
      <c r="F101" s="630"/>
      <c r="G101" s="630"/>
      <c r="H101" s="630"/>
      <c r="I101" s="630"/>
      <c r="J101" s="630"/>
      <c r="K101" s="630"/>
      <c r="L101" s="630"/>
      <c r="M101" s="630"/>
      <c r="N101" s="630"/>
      <c r="O101" s="630"/>
      <c r="P101" s="630"/>
      <c r="Q101" s="630"/>
      <c r="R101" s="630"/>
      <c r="S101" s="630"/>
      <c r="T101" s="630"/>
      <c r="U101" s="630"/>
      <c r="V101" s="630"/>
      <c r="W101" s="630"/>
      <c r="X101" s="630"/>
      <c r="Y101" s="630"/>
      <c r="Z101" s="630"/>
      <c r="AA101" s="630"/>
      <c r="AB101" s="630"/>
      <c r="AC101" s="630"/>
      <c r="AD101" s="630"/>
      <c r="AE101" s="630"/>
      <c r="AF101" s="630"/>
      <c r="AG101" s="630"/>
      <c r="AH101" s="630"/>
      <c r="AI101" s="630"/>
      <c r="AJ101" s="630"/>
      <c r="AK101" s="630"/>
      <c r="AL101" s="630"/>
      <c r="AM101" s="630"/>
      <c r="AN101" s="630"/>
      <c r="AO101" s="630"/>
      <c r="AP101" s="630"/>
      <c r="AQ101" s="630"/>
      <c r="AR101" s="630"/>
      <c r="AS101" s="630"/>
      <c r="AT101" s="630"/>
      <c r="AU101" s="630"/>
      <c r="AV101" s="630"/>
      <c r="AW101" s="630"/>
      <c r="AX101" s="630"/>
      <c r="AY101" s="630"/>
      <c r="AZ101" s="630"/>
      <c r="BA101" s="630"/>
      <c r="BB101" s="630"/>
      <c r="BC101" s="630"/>
      <c r="BD101" s="630"/>
      <c r="BE101" s="630"/>
      <c r="BF101" s="630"/>
      <c r="BG101" s="630"/>
      <c r="BH101" s="630"/>
      <c r="BI101" s="630"/>
      <c r="BJ101" s="630"/>
      <c r="BK101" s="630"/>
      <c r="BL101" s="630"/>
      <c r="BM101" s="630"/>
      <c r="BN101" s="630"/>
    </row>
    <row r="102" spans="1:66">
      <c r="A102" s="630"/>
      <c r="B102" s="630"/>
      <c r="C102" s="630"/>
      <c r="D102" s="630"/>
      <c r="E102" s="630"/>
      <c r="F102" s="630"/>
      <c r="G102" s="630"/>
      <c r="H102" s="630"/>
      <c r="I102" s="630"/>
      <c r="J102" s="630"/>
      <c r="K102" s="630"/>
      <c r="L102" s="630"/>
      <c r="M102" s="630"/>
      <c r="N102" s="630"/>
      <c r="O102" s="630"/>
      <c r="P102" s="630"/>
      <c r="Q102" s="630"/>
      <c r="R102" s="630"/>
      <c r="S102" s="630"/>
      <c r="T102" s="630"/>
      <c r="U102" s="630"/>
      <c r="V102" s="630"/>
      <c r="W102" s="630"/>
      <c r="X102" s="630"/>
      <c r="Y102" s="630"/>
      <c r="Z102" s="630"/>
      <c r="AA102" s="630"/>
      <c r="AB102" s="630"/>
      <c r="AC102" s="630"/>
      <c r="AD102" s="630"/>
      <c r="AE102" s="630"/>
      <c r="AF102" s="630"/>
      <c r="AG102" s="630"/>
      <c r="AH102" s="630"/>
      <c r="AI102" s="630"/>
      <c r="AJ102" s="630"/>
      <c r="AK102" s="630"/>
      <c r="AL102" s="630"/>
      <c r="AM102" s="630"/>
      <c r="AN102" s="630"/>
      <c r="AO102" s="630"/>
      <c r="AP102" s="630"/>
      <c r="AQ102" s="630"/>
      <c r="AR102" s="630"/>
      <c r="AS102" s="630"/>
      <c r="AT102" s="630"/>
      <c r="AU102" s="630"/>
      <c r="AV102" s="630"/>
      <c r="AW102" s="630"/>
      <c r="AX102" s="630"/>
      <c r="AY102" s="630"/>
      <c r="AZ102" s="630"/>
      <c r="BA102" s="630"/>
      <c r="BB102" s="630"/>
      <c r="BC102" s="630"/>
      <c r="BD102" s="630"/>
      <c r="BE102" s="630"/>
      <c r="BF102" s="630"/>
      <c r="BG102" s="630"/>
      <c r="BH102" s="630"/>
      <c r="BI102" s="630"/>
      <c r="BJ102" s="630"/>
      <c r="BK102" s="630"/>
      <c r="BL102" s="630"/>
      <c r="BM102" s="630"/>
      <c r="BN102" s="630"/>
    </row>
    <row r="103" spans="1:66">
      <c r="A103" s="630"/>
      <c r="B103" s="630"/>
      <c r="C103" s="630"/>
      <c r="D103" s="630"/>
      <c r="E103" s="630"/>
      <c r="F103" s="630"/>
      <c r="G103" s="630"/>
      <c r="H103" s="630"/>
      <c r="I103" s="630"/>
      <c r="J103" s="630"/>
      <c r="K103" s="630"/>
      <c r="L103" s="630"/>
      <c r="M103" s="630"/>
      <c r="N103" s="630"/>
      <c r="O103" s="630"/>
      <c r="P103" s="630"/>
      <c r="Q103" s="630"/>
      <c r="R103" s="630"/>
      <c r="S103" s="630"/>
      <c r="T103" s="630"/>
      <c r="U103" s="630"/>
      <c r="V103" s="630"/>
      <c r="W103" s="630"/>
      <c r="X103" s="630"/>
      <c r="Y103" s="630"/>
      <c r="Z103" s="630"/>
      <c r="AA103" s="630"/>
      <c r="AB103" s="630"/>
      <c r="AC103" s="630"/>
      <c r="AD103" s="630"/>
      <c r="AE103" s="630"/>
      <c r="AF103" s="630"/>
      <c r="AG103" s="630"/>
      <c r="AH103" s="630"/>
      <c r="AI103" s="630"/>
      <c r="AJ103" s="630"/>
      <c r="AK103" s="630"/>
      <c r="AL103" s="630"/>
      <c r="AM103" s="630"/>
      <c r="AN103" s="630"/>
      <c r="AO103" s="630"/>
      <c r="AP103" s="630"/>
      <c r="AQ103" s="630"/>
      <c r="AR103" s="630"/>
      <c r="AS103" s="630"/>
      <c r="AT103" s="630"/>
      <c r="AU103" s="630"/>
      <c r="AV103" s="630"/>
      <c r="AW103" s="630"/>
      <c r="AX103" s="630"/>
      <c r="AY103" s="630"/>
      <c r="AZ103" s="630"/>
      <c r="BA103" s="630"/>
      <c r="BB103" s="630"/>
      <c r="BC103" s="630"/>
      <c r="BD103" s="630"/>
      <c r="BE103" s="630"/>
      <c r="BF103" s="630"/>
      <c r="BG103" s="630"/>
      <c r="BH103" s="630"/>
      <c r="BI103" s="630"/>
      <c r="BJ103" s="630"/>
      <c r="BK103" s="630"/>
      <c r="BL103" s="630"/>
      <c r="BM103" s="630"/>
      <c r="BN103" s="630"/>
    </row>
    <row r="104" spans="1:66">
      <c r="A104" s="630"/>
      <c r="B104" s="630"/>
      <c r="C104" s="630"/>
      <c r="D104" s="630"/>
      <c r="E104" s="630"/>
      <c r="F104" s="630"/>
      <c r="G104" s="630"/>
      <c r="H104" s="630"/>
      <c r="I104" s="630"/>
      <c r="J104" s="630"/>
      <c r="K104" s="630"/>
      <c r="L104" s="630"/>
      <c r="M104" s="630"/>
      <c r="N104" s="630"/>
      <c r="O104" s="630"/>
      <c r="P104" s="630"/>
      <c r="Q104" s="630"/>
      <c r="R104" s="630"/>
      <c r="S104" s="630"/>
      <c r="T104" s="630"/>
      <c r="U104" s="630"/>
      <c r="V104" s="630"/>
      <c r="W104" s="630"/>
      <c r="X104" s="630"/>
      <c r="Y104" s="630"/>
      <c r="Z104" s="630"/>
      <c r="AA104" s="630"/>
      <c r="AB104" s="630"/>
      <c r="AC104" s="630"/>
      <c r="AD104" s="630"/>
      <c r="AE104" s="630"/>
      <c r="AF104" s="630"/>
      <c r="AG104" s="630"/>
      <c r="AH104" s="630"/>
      <c r="AI104" s="630"/>
      <c r="AJ104" s="630"/>
      <c r="AK104" s="630"/>
      <c r="AL104" s="630"/>
      <c r="AM104" s="630"/>
      <c r="AN104" s="630"/>
      <c r="AO104" s="630"/>
      <c r="AP104" s="630"/>
      <c r="AQ104" s="630"/>
      <c r="AR104" s="630"/>
      <c r="AS104" s="630"/>
      <c r="AT104" s="630"/>
      <c r="AU104" s="630"/>
      <c r="AV104" s="630"/>
      <c r="AW104" s="630"/>
      <c r="AX104" s="630"/>
      <c r="AY104" s="630"/>
      <c r="AZ104" s="630"/>
      <c r="BA104" s="630"/>
      <c r="BB104" s="630"/>
      <c r="BC104" s="630"/>
      <c r="BD104" s="630"/>
      <c r="BE104" s="630"/>
      <c r="BF104" s="630"/>
      <c r="BG104" s="630"/>
      <c r="BH104" s="630"/>
      <c r="BI104" s="630"/>
      <c r="BJ104" s="630"/>
      <c r="BK104" s="630"/>
      <c r="BL104" s="630"/>
      <c r="BM104" s="630"/>
      <c r="BN104" s="630"/>
    </row>
  </sheetData>
  <mergeCells count="175">
    <mergeCell ref="AK20:AN20"/>
    <mergeCell ref="AP20:BM20"/>
    <mergeCell ref="AE21:AF21"/>
    <mergeCell ref="AG21:BM21"/>
    <mergeCell ref="AE22:AF22"/>
    <mergeCell ref="AG22:BL22"/>
    <mergeCell ref="A2:Z2"/>
    <mergeCell ref="A11:BL11"/>
    <mergeCell ref="A16:AS17"/>
    <mergeCell ref="H20:I20"/>
    <mergeCell ref="J20:K20"/>
    <mergeCell ref="M20:N20"/>
    <mergeCell ref="P20:Q20"/>
    <mergeCell ref="AA20:AD22"/>
    <mergeCell ref="AE20:AF20"/>
    <mergeCell ref="AH20:AI20"/>
    <mergeCell ref="AE25:BM26"/>
    <mergeCell ref="D29:N29"/>
    <mergeCell ref="O29:V29"/>
    <mergeCell ref="AB29:AK31"/>
    <mergeCell ref="AL29:AM29"/>
    <mergeCell ref="AO29:AP29"/>
    <mergeCell ref="AR29:AU29"/>
    <mergeCell ref="AW29:BM29"/>
    <mergeCell ref="D30:N30"/>
    <mergeCell ref="O30:W30"/>
    <mergeCell ref="AL30:AM30"/>
    <mergeCell ref="AN30:BM30"/>
    <mergeCell ref="AL31:AM31"/>
    <mergeCell ref="AN31:BL31"/>
    <mergeCell ref="BG32:BK32"/>
    <mergeCell ref="A35:G42"/>
    <mergeCell ref="H35:M35"/>
    <mergeCell ref="AG35:AK35"/>
    <mergeCell ref="AM35:AN35"/>
    <mergeCell ref="AP35:AR35"/>
    <mergeCell ref="J39:N39"/>
    <mergeCell ref="O39:AF39"/>
    <mergeCell ref="AH39:AK39"/>
    <mergeCell ref="AM39:AO39"/>
    <mergeCell ref="AQ39:AT39"/>
    <mergeCell ref="AV39:AY39"/>
    <mergeCell ref="BI35:BN36"/>
    <mergeCell ref="H36:AF36"/>
    <mergeCell ref="AG36:BH36"/>
    <mergeCell ref="H37:AF37"/>
    <mergeCell ref="AG37:BG37"/>
    <mergeCell ref="J38:N38"/>
    <mergeCell ref="O38:AF38"/>
    <mergeCell ref="I42:K42"/>
    <mergeCell ref="L42:M42"/>
    <mergeCell ref="T42:V42"/>
    <mergeCell ref="X42:AL42"/>
    <mergeCell ref="AQ42:AZ42"/>
    <mergeCell ref="BA42:BN42"/>
    <mergeCell ref="H40:P40"/>
    <mergeCell ref="Q40:AN40"/>
    <mergeCell ref="AO40:BN40"/>
    <mergeCell ref="H41:W41"/>
    <mergeCell ref="X41:AN41"/>
    <mergeCell ref="AO41:BN41"/>
    <mergeCell ref="H45:W45"/>
    <mergeCell ref="X45:AN45"/>
    <mergeCell ref="AO45:BN45"/>
    <mergeCell ref="H46:T46"/>
    <mergeCell ref="U46:W46"/>
    <mergeCell ref="X46:AM46"/>
    <mergeCell ref="AO46:BN46"/>
    <mergeCell ref="A43:G46"/>
    <mergeCell ref="H43:W43"/>
    <mergeCell ref="X43:AN43"/>
    <mergeCell ref="AO43:BN43"/>
    <mergeCell ref="H44:T44"/>
    <mergeCell ref="U44:W44"/>
    <mergeCell ref="X44:AK44"/>
    <mergeCell ref="AL44:AN44"/>
    <mergeCell ref="AO44:BK44"/>
    <mergeCell ref="BL44:BN44"/>
    <mergeCell ref="A47:G50"/>
    <mergeCell ref="H47:W47"/>
    <mergeCell ref="X47:AN47"/>
    <mergeCell ref="AO47:BN47"/>
    <mergeCell ref="H48:T48"/>
    <mergeCell ref="U48:W48"/>
    <mergeCell ref="X48:AK48"/>
    <mergeCell ref="AL48:AN48"/>
    <mergeCell ref="AO48:BK48"/>
    <mergeCell ref="BL48:BN48"/>
    <mergeCell ref="H49:W49"/>
    <mergeCell ref="X49:AN49"/>
    <mergeCell ref="AO49:BN49"/>
    <mergeCell ref="H50:T50"/>
    <mergeCell ref="U50:W50"/>
    <mergeCell ref="X50:AK50"/>
    <mergeCell ref="AL50:AN50"/>
    <mergeCell ref="AO50:BK50"/>
    <mergeCell ref="BL50:BN50"/>
    <mergeCell ref="U53:AK53"/>
    <mergeCell ref="AL53:AP53"/>
    <mergeCell ref="AQ53:AU53"/>
    <mergeCell ref="AV53:AY53"/>
    <mergeCell ref="AZ53:BI53"/>
    <mergeCell ref="A54:H54"/>
    <mergeCell ref="I54:J54"/>
    <mergeCell ref="M54:N54"/>
    <mergeCell ref="P54:Q54"/>
    <mergeCell ref="T54:U54"/>
    <mergeCell ref="A51:G53"/>
    <mergeCell ref="H51:T51"/>
    <mergeCell ref="U51:AK51"/>
    <mergeCell ref="AM51:AP51"/>
    <mergeCell ref="AQ51:BN51"/>
    <mergeCell ref="I52:Q52"/>
    <mergeCell ref="U52:AK52"/>
    <mergeCell ref="AL52:AR52"/>
    <mergeCell ref="AS52:BN52"/>
    <mergeCell ref="I53:Q53"/>
    <mergeCell ref="X54:Y54"/>
    <mergeCell ref="AA54:AB54"/>
    <mergeCell ref="AW55:BN55"/>
    <mergeCell ref="H56:R57"/>
    <mergeCell ref="S56:AG56"/>
    <mergeCell ref="AH56:AV57"/>
    <mergeCell ref="AW56:BN57"/>
    <mergeCell ref="S57:AG57"/>
    <mergeCell ref="A55:G63"/>
    <mergeCell ref="H55:R55"/>
    <mergeCell ref="S55:AG55"/>
    <mergeCell ref="AH55:AV55"/>
    <mergeCell ref="H58:P58"/>
    <mergeCell ref="AE58:AN58"/>
    <mergeCell ref="AO58:AP58"/>
    <mergeCell ref="AR58:AS58"/>
    <mergeCell ref="AU58:AV58"/>
    <mergeCell ref="H63:N63"/>
    <mergeCell ref="O63:U63"/>
    <mergeCell ref="V63:X63"/>
    <mergeCell ref="H67:O67"/>
    <mergeCell ref="W67:AA67"/>
    <mergeCell ref="W68:AA68"/>
    <mergeCell ref="H69:N70"/>
    <mergeCell ref="Y64:AI64"/>
    <mergeCell ref="AJ64:AT64"/>
    <mergeCell ref="O70:BN70"/>
    <mergeCell ref="AX58:BN58"/>
    <mergeCell ref="H59:N61"/>
    <mergeCell ref="O59:BN59"/>
    <mergeCell ref="O60:BN61"/>
    <mergeCell ref="H62:N62"/>
    <mergeCell ref="O62:U62"/>
    <mergeCell ref="V62:X62"/>
    <mergeCell ref="A71:E71"/>
    <mergeCell ref="A72:BN85"/>
    <mergeCell ref="A86:BN93"/>
    <mergeCell ref="A94:BN104"/>
    <mergeCell ref="BB65:BN65"/>
    <mergeCell ref="H66:N66"/>
    <mergeCell ref="O66:U66"/>
    <mergeCell ref="V66:X66"/>
    <mergeCell ref="Y66:AH66"/>
    <mergeCell ref="AJ66:AS66"/>
    <mergeCell ref="AU66:AZ66"/>
    <mergeCell ref="BB66:BM66"/>
    <mergeCell ref="A64:G70"/>
    <mergeCell ref="AU64:BA64"/>
    <mergeCell ref="BB64:BN64"/>
    <mergeCell ref="H65:N65"/>
    <mergeCell ref="O65:U65"/>
    <mergeCell ref="V65:X65"/>
    <mergeCell ref="Y65:AI65"/>
    <mergeCell ref="AJ65:AT65"/>
    <mergeCell ref="AU65:BA65"/>
    <mergeCell ref="O69:BN69"/>
    <mergeCell ref="H64:N64"/>
    <mergeCell ref="O64:X64"/>
  </mergeCells>
  <phoneticPr fontId="2"/>
  <printOptions horizontalCentered="1"/>
  <pageMargins left="0" right="0" top="0" bottom="0" header="0" footer="0"/>
  <pageSetup paperSize="9" scale="40" orientation="portrait" verticalDpi="360" r:id="rId1"/>
  <rowBreaks count="1" manualBreakCount="1">
    <brk id="70" max="16383"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sheetPr>
  <dimension ref="A1:AP100"/>
  <sheetViews>
    <sheetView view="pageBreakPreview" topLeftCell="A16" zoomScale="70" zoomScaleNormal="40" zoomScaleSheetLayoutView="70" workbookViewId="0">
      <selection activeCell="O22" sqref="O22:T23"/>
    </sheetView>
  </sheetViews>
  <sheetFormatPr defaultRowHeight="13.2"/>
  <cols>
    <col min="1" max="1" width="4.88671875" customWidth="1" collapsed="1"/>
    <col min="2" max="2" width="4" customWidth="1" collapsed="1"/>
    <col min="3" max="3" width="3.88671875" customWidth="1" collapsed="1"/>
    <col min="4" max="5" width="4" customWidth="1" collapsed="1"/>
    <col min="6" max="6" width="6.88671875" customWidth="1" collapsed="1"/>
    <col min="7" max="7" width="3.88671875" customWidth="1" collapsed="1"/>
    <col min="8" max="8" width="4" customWidth="1" collapsed="1"/>
    <col min="9" max="9" width="5.21875" customWidth="1" collapsed="1"/>
    <col min="10" max="16" width="4" customWidth="1" collapsed="1"/>
    <col min="17" max="17" width="3.88671875" customWidth="1" collapsed="1"/>
    <col min="18" max="30" width="4" customWidth="1" collapsed="1"/>
    <col min="31" max="31" width="4.88671875" customWidth="1" collapsed="1"/>
    <col min="32" max="37" width="4" customWidth="1" collapsed="1"/>
    <col min="38" max="38" width="8.33203125" customWidth="1" collapsed="1"/>
    <col min="41" max="41" width="10.109375" bestFit="1" customWidth="1" collapsed="1"/>
  </cols>
  <sheetData>
    <row r="1" spans="1:38" ht="14.4">
      <c r="A1" s="156"/>
      <c r="B1" s="156"/>
      <c r="C1" s="156"/>
      <c r="D1" s="156"/>
      <c r="E1" s="156"/>
      <c r="F1" s="156"/>
      <c r="G1" s="156"/>
      <c r="H1" s="156"/>
      <c r="I1" s="156"/>
      <c r="J1" s="156"/>
      <c r="K1" s="156"/>
      <c r="L1" s="156"/>
      <c r="M1" s="156"/>
      <c r="N1" s="156"/>
      <c r="O1" s="156"/>
      <c r="P1" s="156"/>
      <c r="Q1" s="156"/>
      <c r="R1" s="156"/>
      <c r="S1" s="156"/>
      <c r="T1" s="156"/>
      <c r="U1" s="156"/>
      <c r="V1" s="156"/>
      <c r="W1" s="156"/>
      <c r="X1" s="156"/>
      <c r="Y1" s="156"/>
      <c r="Z1" s="156"/>
      <c r="AA1" s="156"/>
      <c r="AB1" s="156"/>
      <c r="AC1" s="156"/>
      <c r="AD1" s="156"/>
      <c r="AE1" s="156"/>
      <c r="AF1" s="156"/>
      <c r="AG1" s="156"/>
      <c r="AH1" s="156"/>
      <c r="AI1" s="156"/>
      <c r="AJ1" s="156"/>
      <c r="AK1" s="156"/>
      <c r="AL1" s="156"/>
    </row>
    <row r="2" spans="1:38" ht="19.2">
      <c r="A2" s="913" t="s">
        <v>345</v>
      </c>
      <c r="B2" s="913"/>
      <c r="C2" s="913"/>
      <c r="D2" s="913"/>
      <c r="E2" s="913"/>
      <c r="F2" s="913"/>
      <c r="G2" s="913"/>
      <c r="H2" s="913"/>
      <c r="I2" s="913"/>
      <c r="J2" s="913"/>
      <c r="K2" s="913"/>
      <c r="L2" s="913"/>
      <c r="M2" s="913"/>
      <c r="N2" s="913"/>
      <c r="O2" s="913"/>
      <c r="P2" s="913"/>
      <c r="Q2" s="913"/>
      <c r="R2" s="913"/>
      <c r="S2" s="913"/>
      <c r="T2" s="913"/>
      <c r="U2" s="913"/>
      <c r="V2" s="913"/>
      <c r="W2" s="913"/>
      <c r="X2" s="156"/>
      <c r="Y2" s="156"/>
      <c r="Z2" s="156"/>
      <c r="AA2" s="156"/>
      <c r="AB2" s="156"/>
      <c r="AC2" s="156"/>
      <c r="AD2" s="156"/>
      <c r="AE2" s="156"/>
      <c r="AF2" s="156"/>
      <c r="AG2" s="156"/>
      <c r="AH2" s="156"/>
      <c r="AI2" s="156"/>
      <c r="AJ2" s="156"/>
      <c r="AK2" s="156"/>
      <c r="AL2" s="156"/>
    </row>
    <row r="3" spans="1:38" ht="21.75" customHeight="1">
      <c r="A3" s="156"/>
      <c r="B3" s="156"/>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156"/>
      <c r="AE3" s="156"/>
      <c r="AF3" s="156"/>
      <c r="AG3" s="156"/>
      <c r="AH3" s="156"/>
      <c r="AI3" s="156"/>
      <c r="AJ3" s="156"/>
      <c r="AK3" s="156"/>
      <c r="AL3" s="156"/>
    </row>
    <row r="4" spans="1:38" ht="30">
      <c r="A4" s="156"/>
      <c r="B4" s="914" t="s">
        <v>346</v>
      </c>
      <c r="C4" s="914"/>
      <c r="D4" s="914"/>
      <c r="E4" s="914"/>
      <c r="F4" s="914"/>
      <c r="G4" s="914"/>
      <c r="H4" s="914"/>
      <c r="I4" s="914"/>
      <c r="J4" s="914"/>
      <c r="K4" s="914"/>
      <c r="L4" s="914"/>
      <c r="M4" s="914"/>
      <c r="N4" s="914"/>
      <c r="O4" s="914"/>
      <c r="P4" s="914"/>
      <c r="Q4" s="914"/>
      <c r="R4" s="914"/>
      <c r="S4" s="914"/>
      <c r="T4" s="914"/>
      <c r="U4" s="914"/>
      <c r="V4" s="914"/>
      <c r="W4" s="914"/>
      <c r="X4" s="914"/>
      <c r="Y4" s="914"/>
      <c r="Z4" s="914"/>
      <c r="AA4" s="914"/>
      <c r="AB4" s="914"/>
      <c r="AC4" s="914"/>
      <c r="AD4" s="914"/>
      <c r="AE4" s="914"/>
      <c r="AF4" s="914"/>
      <c r="AG4" s="914"/>
      <c r="AH4" s="914"/>
      <c r="AI4" s="914"/>
      <c r="AJ4" s="914"/>
      <c r="AK4" s="914"/>
      <c r="AL4" s="914"/>
    </row>
    <row r="5" spans="1:38" ht="21.75" customHeight="1" thickBot="1">
      <c r="A5" s="156"/>
      <c r="B5" s="156"/>
      <c r="C5" s="156"/>
      <c r="D5" s="156"/>
      <c r="E5" s="156"/>
      <c r="F5" s="156"/>
      <c r="G5" s="156"/>
      <c r="H5" s="156"/>
      <c r="I5" s="156"/>
      <c r="J5" s="156"/>
      <c r="K5" s="156"/>
      <c r="L5" s="156"/>
      <c r="M5" s="156"/>
      <c r="N5" s="156"/>
      <c r="O5" s="156"/>
      <c r="P5" s="156"/>
      <c r="Q5" s="156"/>
      <c r="R5" s="156"/>
      <c r="S5" s="156"/>
      <c r="T5" s="156"/>
      <c r="U5" s="156"/>
      <c r="V5" s="156"/>
      <c r="W5" s="156"/>
      <c r="X5" s="156"/>
      <c r="Y5" s="156"/>
      <c r="Z5" s="156"/>
      <c r="AA5" s="156"/>
      <c r="AB5" s="156"/>
      <c r="AC5" s="156"/>
      <c r="AD5" s="156"/>
      <c r="AE5" s="156"/>
      <c r="AF5" s="156"/>
      <c r="AG5" s="156"/>
      <c r="AH5" s="156"/>
      <c r="AI5" s="156"/>
      <c r="AJ5" s="156"/>
      <c r="AK5" s="156"/>
      <c r="AL5" s="156"/>
    </row>
    <row r="6" spans="1:38" ht="23.4" customHeight="1" thickBot="1">
      <c r="A6" s="157"/>
      <c r="B6" s="915" t="s">
        <v>347</v>
      </c>
      <c r="C6" s="916"/>
      <c r="D6" s="916"/>
      <c r="E6" s="916"/>
      <c r="F6" s="916"/>
      <c r="G6" s="878">
        <f>dataSheet!H2</f>
        <v>0</v>
      </c>
      <c r="H6" s="879"/>
      <c r="I6" s="879"/>
      <c r="J6" s="879"/>
      <c r="K6" s="879"/>
      <c r="L6" s="879"/>
      <c r="M6" s="879"/>
      <c r="N6" s="917"/>
      <c r="O6" s="918" t="s">
        <v>348</v>
      </c>
      <c r="P6" s="919"/>
      <c r="Q6" s="919"/>
      <c r="R6" s="919"/>
      <c r="S6" s="919"/>
      <c r="T6" s="919"/>
      <c r="U6" s="886"/>
      <c r="V6" s="887"/>
      <c r="W6" s="887"/>
      <c r="X6" s="887"/>
      <c r="Y6" s="887"/>
      <c r="Z6" s="887"/>
      <c r="AA6" s="887"/>
      <c r="AB6" s="887"/>
      <c r="AC6" s="887"/>
      <c r="AD6" s="887"/>
      <c r="AE6" s="887"/>
      <c r="AF6" s="887"/>
      <c r="AG6" s="887"/>
      <c r="AH6" s="887"/>
      <c r="AI6" s="887"/>
      <c r="AJ6" s="879"/>
      <c r="AK6" s="879"/>
      <c r="AL6" s="880"/>
    </row>
    <row r="7" spans="1:38" ht="64.95" customHeight="1">
      <c r="A7" s="157"/>
      <c r="B7" s="884" t="s">
        <v>349</v>
      </c>
      <c r="C7" s="885"/>
      <c r="D7" s="885"/>
      <c r="E7" s="885"/>
      <c r="F7" s="885"/>
      <c r="G7" s="885"/>
      <c r="H7" s="885"/>
      <c r="I7" s="885"/>
      <c r="J7" s="885"/>
      <c r="K7" s="885"/>
      <c r="L7" s="885"/>
      <c r="M7" s="885"/>
      <c r="N7" s="885"/>
      <c r="O7" s="886"/>
      <c r="P7" s="887"/>
      <c r="Q7" s="887"/>
      <c r="R7" s="887"/>
      <c r="S7" s="887"/>
      <c r="T7" s="887"/>
      <c r="U7" s="887"/>
      <c r="V7" s="887"/>
      <c r="W7" s="887"/>
      <c r="X7" s="887"/>
      <c r="Y7" s="887"/>
      <c r="Z7" s="887"/>
      <c r="AA7" s="887"/>
      <c r="AB7" s="887"/>
      <c r="AC7" s="887"/>
      <c r="AD7" s="887"/>
      <c r="AE7" s="887"/>
      <c r="AF7" s="887"/>
      <c r="AG7" s="887"/>
      <c r="AH7" s="887"/>
      <c r="AI7" s="888"/>
      <c r="AJ7" s="892" t="s">
        <v>350</v>
      </c>
      <c r="AK7" s="893"/>
      <c r="AL7" s="896" t="s">
        <v>304</v>
      </c>
    </row>
    <row r="8" spans="1:38" ht="34.950000000000003" customHeight="1" thickBot="1">
      <c r="A8" s="157"/>
      <c r="B8" s="158" t="s">
        <v>351</v>
      </c>
      <c r="C8" s="898" t="s">
        <v>352</v>
      </c>
      <c r="D8" s="898"/>
      <c r="E8" s="898"/>
      <c r="F8" s="898"/>
      <c r="G8" s="898"/>
      <c r="H8" s="898"/>
      <c r="I8" s="898"/>
      <c r="J8" s="898"/>
      <c r="K8" s="898"/>
      <c r="L8" s="898"/>
      <c r="M8" s="898"/>
      <c r="N8" s="159" t="s">
        <v>286</v>
      </c>
      <c r="O8" s="889"/>
      <c r="P8" s="890"/>
      <c r="Q8" s="890"/>
      <c r="R8" s="890"/>
      <c r="S8" s="890"/>
      <c r="T8" s="890"/>
      <c r="U8" s="890"/>
      <c r="V8" s="890"/>
      <c r="W8" s="890"/>
      <c r="X8" s="890"/>
      <c r="Y8" s="890"/>
      <c r="Z8" s="890"/>
      <c r="AA8" s="890"/>
      <c r="AB8" s="890"/>
      <c r="AC8" s="890"/>
      <c r="AD8" s="890"/>
      <c r="AE8" s="890"/>
      <c r="AF8" s="890"/>
      <c r="AG8" s="890"/>
      <c r="AH8" s="890"/>
      <c r="AI8" s="891"/>
      <c r="AJ8" s="894"/>
      <c r="AK8" s="895"/>
      <c r="AL8" s="897"/>
    </row>
    <row r="9" spans="1:38" ht="49.2" customHeight="1">
      <c r="A9" s="157"/>
      <c r="B9" s="899" t="s">
        <v>353</v>
      </c>
      <c r="C9" s="900"/>
      <c r="D9" s="900"/>
      <c r="E9" s="901" t="s">
        <v>354</v>
      </c>
      <c r="F9" s="901"/>
      <c r="G9" s="901"/>
      <c r="H9" s="901"/>
      <c r="I9" s="901"/>
      <c r="J9" s="901"/>
      <c r="K9" s="901"/>
      <c r="L9" s="901"/>
      <c r="M9" s="901"/>
      <c r="N9" s="901"/>
      <c r="O9" s="902"/>
      <c r="P9" s="903"/>
      <c r="Q9" s="903"/>
      <c r="R9" s="903"/>
      <c r="S9" s="903"/>
      <c r="T9" s="903"/>
      <c r="U9" s="903"/>
      <c r="V9" s="903"/>
      <c r="W9" s="903"/>
      <c r="X9" s="903"/>
      <c r="Y9" s="903"/>
      <c r="Z9" s="903"/>
      <c r="AA9" s="903"/>
      <c r="AB9" s="903"/>
      <c r="AC9" s="903"/>
      <c r="AD9" s="903"/>
      <c r="AE9" s="903"/>
      <c r="AF9" s="903"/>
      <c r="AG9" s="903"/>
      <c r="AH9" s="903"/>
      <c r="AI9" s="903"/>
      <c r="AJ9" s="904"/>
      <c r="AK9" s="905"/>
      <c r="AL9" s="909" t="s">
        <v>287</v>
      </c>
    </row>
    <row r="10" spans="1:38" ht="50.4" customHeight="1" thickBot="1">
      <c r="A10" s="157"/>
      <c r="B10" s="911" t="s">
        <v>355</v>
      </c>
      <c r="C10" s="912"/>
      <c r="D10" s="912"/>
      <c r="E10" s="912"/>
      <c r="F10" s="912"/>
      <c r="G10" s="912"/>
      <c r="H10" s="912"/>
      <c r="I10" s="912"/>
      <c r="J10" s="912"/>
      <c r="K10" s="912"/>
      <c r="L10" s="912"/>
      <c r="M10" s="912"/>
      <c r="N10" s="912"/>
      <c r="O10" s="906"/>
      <c r="P10" s="907"/>
      <c r="Q10" s="907"/>
      <c r="R10" s="907"/>
      <c r="S10" s="907"/>
      <c r="T10" s="907"/>
      <c r="U10" s="907"/>
      <c r="V10" s="907"/>
      <c r="W10" s="907"/>
      <c r="X10" s="907"/>
      <c r="Y10" s="907"/>
      <c r="Z10" s="907"/>
      <c r="AA10" s="907"/>
      <c r="AB10" s="907"/>
      <c r="AC10" s="907"/>
      <c r="AD10" s="907"/>
      <c r="AE10" s="907"/>
      <c r="AF10" s="907"/>
      <c r="AG10" s="907"/>
      <c r="AH10" s="907"/>
      <c r="AI10" s="907"/>
      <c r="AJ10" s="907"/>
      <c r="AK10" s="908"/>
      <c r="AL10" s="910"/>
    </row>
    <row r="11" spans="1:38" ht="28.2" customHeight="1">
      <c r="A11" s="157"/>
      <c r="B11" s="920" t="s">
        <v>356</v>
      </c>
      <c r="C11" s="921"/>
      <c r="D11" s="921"/>
      <c r="E11" s="792" t="s">
        <v>357</v>
      </c>
      <c r="F11" s="792"/>
      <c r="G11" s="792"/>
      <c r="H11" s="792"/>
      <c r="I11" s="160"/>
      <c r="J11" s="160"/>
      <c r="K11" s="160"/>
      <c r="L11" s="160"/>
      <c r="M11" s="160"/>
      <c r="N11" s="160"/>
      <c r="O11" s="922"/>
      <c r="P11" s="923"/>
      <c r="Q11" s="923"/>
      <c r="R11" s="923"/>
      <c r="S11" s="923"/>
      <c r="T11" s="923"/>
      <c r="U11" s="923"/>
      <c r="V11" s="923"/>
      <c r="W11" s="923"/>
      <c r="X11" s="923"/>
      <c r="Y11" s="923"/>
      <c r="Z11" s="923"/>
      <c r="AA11" s="923"/>
      <c r="AB11" s="923"/>
      <c r="AC11" s="923"/>
      <c r="AD11" s="923"/>
      <c r="AE11" s="923"/>
      <c r="AF11" s="923"/>
      <c r="AG11" s="923"/>
      <c r="AH11" s="923"/>
      <c r="AI11" s="923"/>
      <c r="AJ11" s="923"/>
      <c r="AK11" s="924"/>
      <c r="AL11" s="857" t="s">
        <v>259</v>
      </c>
    </row>
    <row r="12" spans="1:38" ht="28.95" customHeight="1" thickBot="1">
      <c r="A12" s="157"/>
      <c r="B12" s="928" t="s">
        <v>358</v>
      </c>
      <c r="C12" s="929"/>
      <c r="D12" s="929"/>
      <c r="E12" s="929"/>
      <c r="F12" s="929"/>
      <c r="G12" s="929"/>
      <c r="H12" s="929"/>
      <c r="I12" s="929"/>
      <c r="J12" s="929"/>
      <c r="K12" s="929"/>
      <c r="L12" s="929"/>
      <c r="M12" s="929"/>
      <c r="N12" s="929"/>
      <c r="O12" s="925"/>
      <c r="P12" s="926"/>
      <c r="Q12" s="926"/>
      <c r="R12" s="926"/>
      <c r="S12" s="926"/>
      <c r="T12" s="926"/>
      <c r="U12" s="926"/>
      <c r="V12" s="926"/>
      <c r="W12" s="926"/>
      <c r="X12" s="926"/>
      <c r="Y12" s="926"/>
      <c r="Z12" s="926"/>
      <c r="AA12" s="926"/>
      <c r="AB12" s="926"/>
      <c r="AC12" s="926"/>
      <c r="AD12" s="926"/>
      <c r="AE12" s="926"/>
      <c r="AF12" s="926"/>
      <c r="AG12" s="926"/>
      <c r="AH12" s="926"/>
      <c r="AI12" s="926"/>
      <c r="AJ12" s="926"/>
      <c r="AK12" s="927"/>
      <c r="AL12" s="877"/>
    </row>
    <row r="13" spans="1:38" ht="57.6" customHeight="1" thickBot="1">
      <c r="A13" s="157"/>
      <c r="B13" s="881" t="s">
        <v>359</v>
      </c>
      <c r="C13" s="882"/>
      <c r="D13" s="882"/>
      <c r="E13" s="882"/>
      <c r="F13" s="882"/>
      <c r="G13" s="882"/>
      <c r="H13" s="882"/>
      <c r="I13" s="882"/>
      <c r="J13" s="882"/>
      <c r="K13" s="882"/>
      <c r="L13" s="882"/>
      <c r="M13" s="882"/>
      <c r="N13" s="883"/>
      <c r="O13" s="837" t="str">
        <f>IF(OR(O9="",O9=0,O11="",O11=0),"",ROUNDUP(O7*1000/(O9*O11),0))</f>
        <v/>
      </c>
      <c r="P13" s="838"/>
      <c r="Q13" s="838"/>
      <c r="R13" s="838"/>
      <c r="S13" s="838"/>
      <c r="T13" s="838"/>
      <c r="U13" s="838"/>
      <c r="V13" s="838"/>
      <c r="W13" s="838"/>
      <c r="X13" s="838"/>
      <c r="Y13" s="838"/>
      <c r="Z13" s="838"/>
      <c r="AA13" s="838"/>
      <c r="AB13" s="838"/>
      <c r="AC13" s="838"/>
      <c r="AD13" s="838"/>
      <c r="AE13" s="838"/>
      <c r="AF13" s="838"/>
      <c r="AG13" s="838"/>
      <c r="AH13" s="838"/>
      <c r="AI13" s="838"/>
      <c r="AJ13" s="838"/>
      <c r="AK13" s="839"/>
      <c r="AL13" s="161" t="s">
        <v>304</v>
      </c>
    </row>
    <row r="14" spans="1:38" ht="28.95" customHeight="1" thickBot="1">
      <c r="A14" s="157"/>
      <c r="B14" s="866"/>
      <c r="C14" s="867"/>
      <c r="D14" s="867"/>
      <c r="E14" s="867"/>
      <c r="F14" s="867"/>
      <c r="G14" s="867"/>
      <c r="H14" s="867"/>
      <c r="I14" s="867"/>
      <c r="J14" s="867"/>
      <c r="K14" s="867"/>
      <c r="L14" s="867"/>
      <c r="M14" s="867"/>
      <c r="N14" s="868"/>
      <c r="O14" s="872" t="s">
        <v>360</v>
      </c>
      <c r="P14" s="873"/>
      <c r="Q14" s="873"/>
      <c r="R14" s="873"/>
      <c r="S14" s="873"/>
      <c r="T14" s="873"/>
      <c r="U14" s="873"/>
      <c r="V14" s="873"/>
      <c r="W14" s="873"/>
      <c r="X14" s="873"/>
      <c r="Y14" s="873"/>
      <c r="Z14" s="874"/>
      <c r="AA14" s="854" t="s">
        <v>361</v>
      </c>
      <c r="AB14" s="855"/>
      <c r="AC14" s="855"/>
      <c r="AD14" s="855"/>
      <c r="AE14" s="855"/>
      <c r="AF14" s="855"/>
      <c r="AG14" s="855"/>
      <c r="AH14" s="855"/>
      <c r="AI14" s="855"/>
      <c r="AJ14" s="855"/>
      <c r="AK14" s="855"/>
      <c r="AL14" s="857"/>
    </row>
    <row r="15" spans="1:38" ht="29.4" customHeight="1" thickBot="1">
      <c r="A15" s="157"/>
      <c r="B15" s="869"/>
      <c r="C15" s="870"/>
      <c r="D15" s="870"/>
      <c r="E15" s="870"/>
      <c r="F15" s="870"/>
      <c r="G15" s="870"/>
      <c r="H15" s="870"/>
      <c r="I15" s="870"/>
      <c r="J15" s="870"/>
      <c r="K15" s="870"/>
      <c r="L15" s="870"/>
      <c r="M15" s="870"/>
      <c r="N15" s="871"/>
      <c r="O15" s="854" t="s">
        <v>362</v>
      </c>
      <c r="P15" s="855"/>
      <c r="Q15" s="855"/>
      <c r="R15" s="855"/>
      <c r="S15" s="855"/>
      <c r="T15" s="856"/>
      <c r="U15" s="854" t="s">
        <v>363</v>
      </c>
      <c r="V15" s="855"/>
      <c r="W15" s="855"/>
      <c r="X15" s="855"/>
      <c r="Y15" s="855"/>
      <c r="Z15" s="856"/>
      <c r="AA15" s="875"/>
      <c r="AB15" s="876"/>
      <c r="AC15" s="876"/>
      <c r="AD15" s="876"/>
      <c r="AE15" s="876"/>
      <c r="AF15" s="876"/>
      <c r="AG15" s="876"/>
      <c r="AH15" s="876"/>
      <c r="AI15" s="876"/>
      <c r="AJ15" s="876"/>
      <c r="AK15" s="876"/>
      <c r="AL15" s="877"/>
    </row>
    <row r="16" spans="1:38" ht="84" customHeight="1" thickBot="1">
      <c r="A16" s="157"/>
      <c r="B16" s="809" t="s">
        <v>364</v>
      </c>
      <c r="C16" s="816"/>
      <c r="D16" s="816"/>
      <c r="E16" s="816"/>
      <c r="F16" s="816"/>
      <c r="G16" s="816"/>
      <c r="H16" s="816"/>
      <c r="I16" s="816"/>
      <c r="J16" s="816"/>
      <c r="K16" s="816"/>
      <c r="L16" s="816"/>
      <c r="M16" s="816"/>
      <c r="N16" s="816"/>
      <c r="O16" s="878"/>
      <c r="P16" s="879"/>
      <c r="Q16" s="879"/>
      <c r="R16" s="879"/>
      <c r="S16" s="880"/>
      <c r="T16" s="162" t="s">
        <v>365</v>
      </c>
      <c r="U16" s="878"/>
      <c r="V16" s="879"/>
      <c r="W16" s="879"/>
      <c r="X16" s="879"/>
      <c r="Y16" s="880"/>
      <c r="Z16" s="162" t="s">
        <v>365</v>
      </c>
      <c r="AA16" s="878"/>
      <c r="AB16" s="879"/>
      <c r="AC16" s="879"/>
      <c r="AD16" s="879"/>
      <c r="AE16" s="879"/>
      <c r="AF16" s="879"/>
      <c r="AG16" s="879"/>
      <c r="AH16" s="879"/>
      <c r="AI16" s="879"/>
      <c r="AJ16" s="879"/>
      <c r="AK16" s="880"/>
      <c r="AL16" s="163" t="s">
        <v>365</v>
      </c>
    </row>
    <row r="17" spans="1:42" ht="67.95" customHeight="1" thickBot="1">
      <c r="A17" s="157"/>
      <c r="B17" s="809" t="s">
        <v>366</v>
      </c>
      <c r="C17" s="810"/>
      <c r="D17" s="810"/>
      <c r="E17" s="810"/>
      <c r="F17" s="810"/>
      <c r="G17" s="810"/>
      <c r="H17" s="810"/>
      <c r="I17" s="810"/>
      <c r="J17" s="810"/>
      <c r="K17" s="810"/>
      <c r="L17" s="810"/>
      <c r="M17" s="810"/>
      <c r="N17" s="811"/>
      <c r="O17" s="837" t="str">
        <f>IF(OR($O$13="",O16=""),"",ROUNDUP($O$13*O16%,0))</f>
        <v/>
      </c>
      <c r="P17" s="838"/>
      <c r="Q17" s="838"/>
      <c r="R17" s="838"/>
      <c r="S17" s="839"/>
      <c r="T17" s="164" t="s">
        <v>304</v>
      </c>
      <c r="U17" s="837" t="str">
        <f>IF(OR($O$13="",U16=""),"",ROUNDUP($O$13*U16%,0))</f>
        <v/>
      </c>
      <c r="V17" s="838"/>
      <c r="W17" s="838"/>
      <c r="X17" s="838"/>
      <c r="Y17" s="839"/>
      <c r="Z17" s="164" t="s">
        <v>304</v>
      </c>
      <c r="AA17" s="837" t="str">
        <f>IF(OR($O$13="",AA16=""),"",ROUNDUP($O$13*AA16%,0))</f>
        <v/>
      </c>
      <c r="AB17" s="838"/>
      <c r="AC17" s="838"/>
      <c r="AD17" s="838"/>
      <c r="AE17" s="838"/>
      <c r="AF17" s="838"/>
      <c r="AG17" s="838"/>
      <c r="AH17" s="838"/>
      <c r="AI17" s="838"/>
      <c r="AJ17" s="838"/>
      <c r="AK17" s="839"/>
      <c r="AL17" s="161" t="s">
        <v>304</v>
      </c>
    </row>
    <row r="18" spans="1:42" ht="31.95" customHeight="1">
      <c r="A18" s="157"/>
      <c r="B18" s="825" t="s">
        <v>367</v>
      </c>
      <c r="C18" s="826"/>
      <c r="D18" s="826"/>
      <c r="E18" s="826"/>
      <c r="F18" s="826"/>
      <c r="G18" s="826"/>
      <c r="H18" s="826"/>
      <c r="I18" s="826"/>
      <c r="J18" s="826"/>
      <c r="K18" s="826"/>
      <c r="L18" s="826"/>
      <c r="M18" s="826"/>
      <c r="N18" s="827"/>
      <c r="O18" s="834" t="str">
        <f>IF(O17="","",ROUNDUP(MIN(O17*VLOOKUP($G$19,$AO$19:$AP$22,2,FALSE),$AO$18),0))</f>
        <v/>
      </c>
      <c r="P18" s="835"/>
      <c r="Q18" s="835"/>
      <c r="R18" s="835"/>
      <c r="S18" s="836"/>
      <c r="T18" s="863" t="s">
        <v>304</v>
      </c>
      <c r="U18" s="834" t="str">
        <f>IF(U17="","",ROUNDUP(MIN(U17*VLOOKUP($G$19,$AO$19:$AP$22,2,FALSE),$AO$18),0))</f>
        <v/>
      </c>
      <c r="V18" s="835"/>
      <c r="W18" s="835"/>
      <c r="X18" s="835"/>
      <c r="Y18" s="836"/>
      <c r="Z18" s="863" t="s">
        <v>304</v>
      </c>
      <c r="AA18" s="834" t="str">
        <f>IF(AA17="","",ROUNDUP(MIN(AA17*VLOOKUP($G$19,$AO$19:$AP$22,2,FALSE),$AO$18),0))</f>
        <v/>
      </c>
      <c r="AB18" s="835"/>
      <c r="AC18" s="835"/>
      <c r="AD18" s="835"/>
      <c r="AE18" s="835"/>
      <c r="AF18" s="835"/>
      <c r="AG18" s="835"/>
      <c r="AH18" s="835"/>
      <c r="AI18" s="835"/>
      <c r="AJ18" s="835"/>
      <c r="AK18" s="836"/>
      <c r="AL18" s="840" t="s">
        <v>304</v>
      </c>
      <c r="AO18">
        <v>15000</v>
      </c>
    </row>
    <row r="19" spans="1:42" ht="14.4">
      <c r="A19" s="157"/>
      <c r="B19" s="165"/>
      <c r="C19" s="843" t="s">
        <v>368</v>
      </c>
      <c r="D19" s="844"/>
      <c r="E19" s="844"/>
      <c r="F19" s="844"/>
      <c r="G19" s="845"/>
      <c r="H19" s="845"/>
      <c r="I19" s="166" t="s">
        <v>369</v>
      </c>
      <c r="J19" s="167"/>
      <c r="K19" s="156"/>
      <c r="L19" s="156"/>
      <c r="M19" s="156"/>
      <c r="N19" s="168"/>
      <c r="O19" s="860"/>
      <c r="P19" s="861"/>
      <c r="Q19" s="861"/>
      <c r="R19" s="861"/>
      <c r="S19" s="862"/>
      <c r="T19" s="864"/>
      <c r="U19" s="860"/>
      <c r="V19" s="861"/>
      <c r="W19" s="861"/>
      <c r="X19" s="861"/>
      <c r="Y19" s="862"/>
      <c r="Z19" s="864"/>
      <c r="AA19" s="860"/>
      <c r="AB19" s="861"/>
      <c r="AC19" s="861"/>
      <c r="AD19" s="861"/>
      <c r="AE19" s="861"/>
      <c r="AF19" s="861"/>
      <c r="AG19" s="861"/>
      <c r="AH19" s="861"/>
      <c r="AI19" s="861"/>
      <c r="AJ19" s="861"/>
      <c r="AK19" s="862"/>
      <c r="AL19" s="842"/>
      <c r="AO19" s="180" t="s">
        <v>397</v>
      </c>
      <c r="AP19">
        <v>0.7</v>
      </c>
    </row>
    <row r="20" spans="1:42" ht="15" thickBot="1">
      <c r="A20" s="157"/>
      <c r="B20" s="846" t="s">
        <v>370</v>
      </c>
      <c r="C20" s="847"/>
      <c r="D20" s="847"/>
      <c r="E20" s="847"/>
      <c r="F20" s="847"/>
      <c r="G20" s="847"/>
      <c r="H20" s="847"/>
      <c r="I20" s="847"/>
      <c r="J20" s="847"/>
      <c r="K20" s="847"/>
      <c r="L20" s="847"/>
      <c r="M20" s="847"/>
      <c r="N20" s="848"/>
      <c r="O20" s="837"/>
      <c r="P20" s="838"/>
      <c r="Q20" s="838"/>
      <c r="R20" s="838"/>
      <c r="S20" s="839"/>
      <c r="T20" s="865"/>
      <c r="U20" s="837"/>
      <c r="V20" s="838"/>
      <c r="W20" s="838"/>
      <c r="X20" s="838"/>
      <c r="Y20" s="839"/>
      <c r="Z20" s="865"/>
      <c r="AA20" s="837"/>
      <c r="AB20" s="838"/>
      <c r="AC20" s="838"/>
      <c r="AD20" s="838"/>
      <c r="AE20" s="838"/>
      <c r="AF20" s="838"/>
      <c r="AG20" s="838"/>
      <c r="AH20" s="838"/>
      <c r="AI20" s="838"/>
      <c r="AJ20" s="838"/>
      <c r="AK20" s="839"/>
      <c r="AL20" s="841"/>
      <c r="AO20" s="180" t="s">
        <v>398</v>
      </c>
      <c r="AP20">
        <v>0.8</v>
      </c>
    </row>
    <row r="21" spans="1:42" ht="27.6" customHeight="1" thickBot="1">
      <c r="A21" s="157"/>
      <c r="B21" s="849" t="s">
        <v>371</v>
      </c>
      <c r="C21" s="850"/>
      <c r="D21" s="850"/>
      <c r="E21" s="850"/>
      <c r="F21" s="850"/>
      <c r="G21" s="850"/>
      <c r="H21" s="850"/>
      <c r="I21" s="850"/>
      <c r="J21" s="850"/>
      <c r="K21" s="850"/>
      <c r="L21" s="850"/>
      <c r="M21" s="850"/>
      <c r="N21" s="851"/>
      <c r="O21" s="854" t="s">
        <v>372</v>
      </c>
      <c r="P21" s="855"/>
      <c r="Q21" s="855"/>
      <c r="R21" s="855"/>
      <c r="S21" s="855"/>
      <c r="T21" s="856"/>
      <c r="U21" s="854" t="s">
        <v>373</v>
      </c>
      <c r="V21" s="855"/>
      <c r="W21" s="855"/>
      <c r="X21" s="855"/>
      <c r="Y21" s="855"/>
      <c r="Z21" s="856"/>
      <c r="AA21" s="854" t="s">
        <v>374</v>
      </c>
      <c r="AB21" s="855"/>
      <c r="AC21" s="855"/>
      <c r="AD21" s="855"/>
      <c r="AE21" s="855"/>
      <c r="AF21" s="855"/>
      <c r="AG21" s="855"/>
      <c r="AH21" s="855"/>
      <c r="AI21" s="855"/>
      <c r="AJ21" s="855"/>
      <c r="AK21" s="855"/>
      <c r="AL21" s="857"/>
      <c r="AO21" s="180" t="s">
        <v>399</v>
      </c>
      <c r="AP21">
        <v>0.8</v>
      </c>
    </row>
    <row r="22" spans="1:42" ht="25.5" customHeight="1">
      <c r="A22" s="157"/>
      <c r="B22" s="852"/>
      <c r="C22" s="853"/>
      <c r="D22" s="853"/>
      <c r="E22" s="853"/>
      <c r="F22" s="853"/>
      <c r="G22" s="853"/>
      <c r="H22" s="853"/>
      <c r="I22" s="853"/>
      <c r="J22" s="853"/>
      <c r="K22" s="853"/>
      <c r="L22" s="853"/>
      <c r="M22" s="853"/>
      <c r="N22" s="853"/>
      <c r="O22" s="858">
        <f>'様式特第９号休業一覧表（新型コロナウイルス感染症関係） (2)'!S44</f>
        <v>0</v>
      </c>
      <c r="P22" s="858"/>
      <c r="Q22" s="858"/>
      <c r="R22" s="858"/>
      <c r="S22" s="858"/>
      <c r="T22" s="858"/>
      <c r="U22" s="858" t="str">
        <f>'様式特第９号休業一覧表（新型コロナウイルス感染症関係） (2)'!T46</f>
        <v/>
      </c>
      <c r="V22" s="858"/>
      <c r="W22" s="858"/>
      <c r="X22" s="858"/>
      <c r="Y22" s="858"/>
      <c r="Z22" s="858"/>
      <c r="AA22" s="858">
        <f>'様式特第９号休業一覧表（新型コロナウイルス感染症関係） (2)'!U44</f>
        <v>0</v>
      </c>
      <c r="AB22" s="858"/>
      <c r="AC22" s="858"/>
      <c r="AD22" s="858"/>
      <c r="AE22" s="858"/>
      <c r="AF22" s="858"/>
      <c r="AG22" s="858"/>
      <c r="AH22" s="858"/>
      <c r="AI22" s="858"/>
      <c r="AJ22" s="858"/>
      <c r="AK22" s="858"/>
      <c r="AL22" s="858"/>
      <c r="AO22" s="180" t="s">
        <v>396</v>
      </c>
      <c r="AP22">
        <v>1</v>
      </c>
    </row>
    <row r="23" spans="1:42" ht="25.5" customHeight="1" thickBot="1">
      <c r="A23" s="157"/>
      <c r="B23" s="852"/>
      <c r="C23" s="853"/>
      <c r="D23" s="853"/>
      <c r="E23" s="853"/>
      <c r="F23" s="853"/>
      <c r="G23" s="853"/>
      <c r="H23" s="853"/>
      <c r="I23" s="853"/>
      <c r="J23" s="853"/>
      <c r="K23" s="853"/>
      <c r="L23" s="853"/>
      <c r="M23" s="853"/>
      <c r="N23" s="853"/>
      <c r="O23" s="859"/>
      <c r="P23" s="859"/>
      <c r="Q23" s="859"/>
      <c r="R23" s="859"/>
      <c r="S23" s="859"/>
      <c r="T23" s="859"/>
      <c r="U23" s="859"/>
      <c r="V23" s="859"/>
      <c r="W23" s="859"/>
      <c r="X23" s="859"/>
      <c r="Y23" s="859"/>
      <c r="Z23" s="859"/>
      <c r="AA23" s="859"/>
      <c r="AB23" s="859"/>
      <c r="AC23" s="859"/>
      <c r="AD23" s="859"/>
      <c r="AE23" s="859"/>
      <c r="AF23" s="859"/>
      <c r="AG23" s="859"/>
      <c r="AH23" s="859"/>
      <c r="AI23" s="859"/>
      <c r="AJ23" s="859"/>
      <c r="AK23" s="859"/>
      <c r="AL23" s="859"/>
    </row>
    <row r="24" spans="1:42" ht="19.8" thickBot="1">
      <c r="A24" s="157"/>
      <c r="B24" s="818" t="s">
        <v>375</v>
      </c>
      <c r="C24" s="819"/>
      <c r="D24" s="819"/>
      <c r="E24" s="819"/>
      <c r="F24" s="819"/>
      <c r="G24" s="819"/>
      <c r="H24" s="819"/>
      <c r="I24" s="819"/>
      <c r="J24" s="819"/>
      <c r="K24" s="819"/>
      <c r="L24" s="819"/>
      <c r="M24" s="819"/>
      <c r="N24" s="820"/>
      <c r="O24" s="821" t="s">
        <v>293</v>
      </c>
      <c r="P24" s="822"/>
      <c r="Q24" s="822"/>
      <c r="R24" s="822"/>
      <c r="S24" s="822"/>
      <c r="T24" s="823"/>
      <c r="U24" s="821" t="s">
        <v>293</v>
      </c>
      <c r="V24" s="822"/>
      <c r="W24" s="822"/>
      <c r="X24" s="822"/>
      <c r="Y24" s="822"/>
      <c r="Z24" s="823"/>
      <c r="AA24" s="821" t="s">
        <v>293</v>
      </c>
      <c r="AB24" s="822"/>
      <c r="AC24" s="822"/>
      <c r="AD24" s="822"/>
      <c r="AE24" s="822"/>
      <c r="AF24" s="822"/>
      <c r="AG24" s="822"/>
      <c r="AH24" s="822"/>
      <c r="AI24" s="822"/>
      <c r="AJ24" s="822"/>
      <c r="AK24" s="822"/>
      <c r="AL24" s="824"/>
    </row>
    <row r="25" spans="1:42" ht="24.6" customHeight="1">
      <c r="A25" s="157"/>
      <c r="B25" s="825" t="s">
        <v>376</v>
      </c>
      <c r="C25" s="826"/>
      <c r="D25" s="826"/>
      <c r="E25" s="826"/>
      <c r="F25" s="826"/>
      <c r="G25" s="826"/>
      <c r="H25" s="826"/>
      <c r="I25" s="826"/>
      <c r="J25" s="826"/>
      <c r="K25" s="826"/>
      <c r="L25" s="826"/>
      <c r="M25" s="826"/>
      <c r="N25" s="827"/>
      <c r="O25" s="828"/>
      <c r="P25" s="829"/>
      <c r="Q25" s="829"/>
      <c r="R25" s="829"/>
      <c r="S25" s="829"/>
      <c r="T25" s="830"/>
      <c r="U25" s="828"/>
      <c r="V25" s="829"/>
      <c r="W25" s="829"/>
      <c r="X25" s="829"/>
      <c r="Y25" s="829"/>
      <c r="Z25" s="830"/>
      <c r="AA25" s="834">
        <f>IF(AA22="","",AA22*$G$26)</f>
        <v>0</v>
      </c>
      <c r="AB25" s="835"/>
      <c r="AC25" s="835"/>
      <c r="AD25" s="835"/>
      <c r="AE25" s="835"/>
      <c r="AF25" s="835"/>
      <c r="AG25" s="835"/>
      <c r="AH25" s="835"/>
      <c r="AI25" s="835"/>
      <c r="AJ25" s="835"/>
      <c r="AK25" s="836"/>
      <c r="AL25" s="840" t="s">
        <v>304</v>
      </c>
    </row>
    <row r="26" spans="1:42" ht="25.95" customHeight="1" thickBot="1">
      <c r="A26" s="157"/>
      <c r="B26" s="169"/>
      <c r="C26" s="812" t="s">
        <v>377</v>
      </c>
      <c r="D26" s="813"/>
      <c r="E26" s="813"/>
      <c r="F26" s="813"/>
      <c r="G26" s="814"/>
      <c r="H26" s="814"/>
      <c r="I26" s="812" t="s">
        <v>378</v>
      </c>
      <c r="J26" s="813"/>
      <c r="K26" s="813"/>
      <c r="L26" s="813"/>
      <c r="M26" s="813"/>
      <c r="N26" s="815"/>
      <c r="O26" s="831"/>
      <c r="P26" s="832"/>
      <c r="Q26" s="832"/>
      <c r="R26" s="832"/>
      <c r="S26" s="832"/>
      <c r="T26" s="833"/>
      <c r="U26" s="831"/>
      <c r="V26" s="832"/>
      <c r="W26" s="832"/>
      <c r="X26" s="832"/>
      <c r="Y26" s="832"/>
      <c r="Z26" s="833"/>
      <c r="AA26" s="837"/>
      <c r="AB26" s="838"/>
      <c r="AC26" s="838"/>
      <c r="AD26" s="838"/>
      <c r="AE26" s="838"/>
      <c r="AF26" s="838"/>
      <c r="AG26" s="838"/>
      <c r="AH26" s="838"/>
      <c r="AI26" s="838"/>
      <c r="AJ26" s="838"/>
      <c r="AK26" s="839"/>
      <c r="AL26" s="841"/>
    </row>
    <row r="27" spans="1:42" ht="64.5" customHeight="1" thickBot="1">
      <c r="A27" s="157"/>
      <c r="B27" s="809" t="s">
        <v>379</v>
      </c>
      <c r="C27" s="816"/>
      <c r="D27" s="816"/>
      <c r="E27" s="816"/>
      <c r="F27" s="816"/>
      <c r="G27" s="816"/>
      <c r="H27" s="816"/>
      <c r="I27" s="816"/>
      <c r="J27" s="816"/>
      <c r="K27" s="816"/>
      <c r="L27" s="816"/>
      <c r="M27" s="816"/>
      <c r="N27" s="817"/>
      <c r="O27" s="806" t="str">
        <f>IF(O18="","",O18*O22)</f>
        <v/>
      </c>
      <c r="P27" s="807"/>
      <c r="Q27" s="807"/>
      <c r="R27" s="807"/>
      <c r="S27" s="808"/>
      <c r="T27" s="170" t="s">
        <v>304</v>
      </c>
      <c r="U27" s="806" t="str">
        <f>IF(U18="","",U18*U22)</f>
        <v/>
      </c>
      <c r="V27" s="807"/>
      <c r="W27" s="807"/>
      <c r="X27" s="807"/>
      <c r="Y27" s="808"/>
      <c r="Z27" s="170" t="s">
        <v>304</v>
      </c>
      <c r="AA27" s="806" t="str">
        <f>IF(AA18="","",AA18*AA22+AA25)</f>
        <v/>
      </c>
      <c r="AB27" s="807"/>
      <c r="AC27" s="807"/>
      <c r="AD27" s="807"/>
      <c r="AE27" s="807"/>
      <c r="AF27" s="807"/>
      <c r="AG27" s="807"/>
      <c r="AH27" s="807"/>
      <c r="AI27" s="807"/>
      <c r="AJ27" s="807"/>
      <c r="AK27" s="808"/>
      <c r="AL27" s="161" t="s">
        <v>304</v>
      </c>
    </row>
    <row r="28" spans="1:42" ht="64.5" customHeight="1" thickBot="1">
      <c r="A28" s="157"/>
      <c r="B28" s="809" t="s">
        <v>380</v>
      </c>
      <c r="C28" s="810"/>
      <c r="D28" s="810"/>
      <c r="E28" s="810"/>
      <c r="F28" s="810"/>
      <c r="G28" s="810"/>
      <c r="H28" s="810"/>
      <c r="I28" s="810"/>
      <c r="J28" s="810"/>
      <c r="K28" s="810"/>
      <c r="L28" s="810"/>
      <c r="M28" s="810"/>
      <c r="N28" s="811"/>
      <c r="O28" s="164" t="s">
        <v>381</v>
      </c>
      <c r="P28" s="806" t="str">
        <f>IF(SUM(O27,U27)=0,"",SUM(O27,U27))</f>
        <v/>
      </c>
      <c r="Q28" s="807"/>
      <c r="R28" s="807"/>
      <c r="S28" s="807"/>
      <c r="T28" s="807"/>
      <c r="U28" s="807"/>
      <c r="V28" s="807"/>
      <c r="W28" s="807"/>
      <c r="X28" s="807"/>
      <c r="Y28" s="808"/>
      <c r="Z28" s="164" t="s">
        <v>304</v>
      </c>
      <c r="AA28" s="164" t="s">
        <v>382</v>
      </c>
      <c r="AB28" s="806" t="str">
        <f>IF(AA27="","",AA27)</f>
        <v/>
      </c>
      <c r="AC28" s="807"/>
      <c r="AD28" s="807"/>
      <c r="AE28" s="807"/>
      <c r="AF28" s="807"/>
      <c r="AG28" s="807"/>
      <c r="AH28" s="807"/>
      <c r="AI28" s="807"/>
      <c r="AJ28" s="807"/>
      <c r="AK28" s="808"/>
      <c r="AL28" s="171" t="s">
        <v>304</v>
      </c>
    </row>
    <row r="29" spans="1:42" ht="64.5" customHeight="1" thickBot="1">
      <c r="A29" s="157"/>
      <c r="B29" s="809" t="s">
        <v>383</v>
      </c>
      <c r="C29" s="810"/>
      <c r="D29" s="810"/>
      <c r="E29" s="810"/>
      <c r="F29" s="810"/>
      <c r="G29" s="810"/>
      <c r="H29" s="810"/>
      <c r="I29" s="810"/>
      <c r="J29" s="810"/>
      <c r="K29" s="810"/>
      <c r="L29" s="810"/>
      <c r="M29" s="810"/>
      <c r="N29" s="811"/>
      <c r="O29" s="806" t="str">
        <f>IF(SUM(P28,AB28)=0,"",SUM(P28,AB28))</f>
        <v/>
      </c>
      <c r="P29" s="807"/>
      <c r="Q29" s="807"/>
      <c r="R29" s="807"/>
      <c r="S29" s="807"/>
      <c r="T29" s="807"/>
      <c r="U29" s="807"/>
      <c r="V29" s="807"/>
      <c r="W29" s="807"/>
      <c r="X29" s="807"/>
      <c r="Y29" s="807"/>
      <c r="Z29" s="807"/>
      <c r="AA29" s="807"/>
      <c r="AB29" s="807"/>
      <c r="AC29" s="807"/>
      <c r="AD29" s="807"/>
      <c r="AE29" s="807"/>
      <c r="AF29" s="807"/>
      <c r="AG29" s="807"/>
      <c r="AH29" s="807"/>
      <c r="AI29" s="807"/>
      <c r="AJ29" s="807"/>
      <c r="AK29" s="808"/>
      <c r="AL29" s="171" t="s">
        <v>304</v>
      </c>
    </row>
    <row r="30" spans="1:42" ht="33.6" customHeight="1">
      <c r="A30" s="156"/>
      <c r="B30" s="797" t="s">
        <v>384</v>
      </c>
      <c r="C30" s="797"/>
      <c r="D30" s="797"/>
      <c r="E30" s="797"/>
      <c r="F30" s="797"/>
      <c r="G30" s="797"/>
      <c r="H30" s="797"/>
      <c r="I30" s="797"/>
      <c r="J30" s="797"/>
      <c r="K30" s="797"/>
      <c r="L30" s="797"/>
      <c r="M30" s="797"/>
      <c r="N30" s="797"/>
      <c r="O30" s="797"/>
      <c r="P30" s="797"/>
      <c r="Q30" s="797"/>
      <c r="R30" s="797"/>
      <c r="S30" s="797"/>
      <c r="T30" s="797"/>
      <c r="U30" s="797"/>
      <c r="V30" s="797"/>
      <c r="W30" s="797"/>
      <c r="X30" s="797"/>
      <c r="Y30" s="797"/>
      <c r="Z30" s="797"/>
      <c r="AA30" s="797"/>
      <c r="AB30" s="797"/>
      <c r="AC30" s="797"/>
      <c r="AD30" s="797"/>
      <c r="AE30" s="797"/>
      <c r="AF30" s="797"/>
      <c r="AG30" s="797"/>
      <c r="AH30" s="797"/>
      <c r="AI30" s="797"/>
      <c r="AJ30" s="797"/>
      <c r="AK30" s="797"/>
      <c r="AL30" s="797"/>
    </row>
    <row r="31" spans="1:42" ht="34.200000000000003" customHeight="1" thickBot="1">
      <c r="A31" s="156"/>
    </row>
    <row r="32" spans="1:42" ht="46.95" customHeight="1" thickBot="1">
      <c r="A32" s="157"/>
      <c r="B32" s="798" t="s">
        <v>385</v>
      </c>
      <c r="C32" s="792"/>
      <c r="D32" s="792"/>
      <c r="E32" s="792"/>
      <c r="F32" s="792"/>
      <c r="G32" s="792"/>
      <c r="H32" s="792"/>
      <c r="I32" s="793"/>
      <c r="J32" s="803" t="s">
        <v>386</v>
      </c>
      <c r="K32" s="804"/>
      <c r="L32" s="804"/>
      <c r="M32" s="804"/>
      <c r="N32" s="805"/>
      <c r="O32" s="788"/>
      <c r="P32" s="789"/>
      <c r="Q32" s="789"/>
      <c r="R32" s="789"/>
      <c r="S32" s="790"/>
      <c r="T32" s="172" t="s">
        <v>304</v>
      </c>
      <c r="U32" s="788"/>
      <c r="V32" s="789"/>
      <c r="W32" s="789"/>
      <c r="X32" s="789"/>
      <c r="Y32" s="790"/>
      <c r="Z32" s="173" t="s">
        <v>304</v>
      </c>
      <c r="AA32" s="788"/>
      <c r="AB32" s="789"/>
      <c r="AC32" s="789"/>
      <c r="AD32" s="789"/>
      <c r="AE32" s="789"/>
      <c r="AF32" s="789"/>
      <c r="AG32" s="789"/>
      <c r="AH32" s="789"/>
      <c r="AI32" s="789"/>
      <c r="AJ32" s="789"/>
      <c r="AK32" s="790"/>
      <c r="AL32" s="174" t="s">
        <v>304</v>
      </c>
    </row>
    <row r="33" spans="1:38" ht="46.95" customHeight="1" thickBot="1">
      <c r="A33" s="157"/>
      <c r="B33" s="799"/>
      <c r="C33" s="800"/>
      <c r="D33" s="800"/>
      <c r="E33" s="800"/>
      <c r="F33" s="800"/>
      <c r="G33" s="800"/>
      <c r="H33" s="800"/>
      <c r="I33" s="801"/>
      <c r="J33" s="791" t="s">
        <v>325</v>
      </c>
      <c r="K33" s="792"/>
      <c r="L33" s="792"/>
      <c r="M33" s="792"/>
      <c r="N33" s="793"/>
      <c r="O33" s="788"/>
      <c r="P33" s="789"/>
      <c r="Q33" s="789"/>
      <c r="R33" s="789"/>
      <c r="S33" s="790"/>
      <c r="T33" s="175" t="s">
        <v>304</v>
      </c>
      <c r="U33" s="788"/>
      <c r="V33" s="789"/>
      <c r="W33" s="789"/>
      <c r="X33" s="789"/>
      <c r="Y33" s="790"/>
      <c r="Z33" s="175" t="s">
        <v>304</v>
      </c>
      <c r="AA33" s="788"/>
      <c r="AB33" s="789"/>
      <c r="AC33" s="789"/>
      <c r="AD33" s="789"/>
      <c r="AE33" s="789"/>
      <c r="AF33" s="789"/>
      <c r="AG33" s="789"/>
      <c r="AH33" s="789"/>
      <c r="AI33" s="789"/>
      <c r="AJ33" s="789"/>
      <c r="AK33" s="790"/>
      <c r="AL33" s="176" t="s">
        <v>304</v>
      </c>
    </row>
    <row r="34" spans="1:38" ht="46.95" customHeight="1" thickBot="1">
      <c r="A34" s="157"/>
      <c r="B34" s="799"/>
      <c r="C34" s="800"/>
      <c r="D34" s="800"/>
      <c r="E34" s="800"/>
      <c r="F34" s="800"/>
      <c r="G34" s="800"/>
      <c r="H34" s="800"/>
      <c r="I34" s="801"/>
      <c r="J34" s="794"/>
      <c r="K34" s="795"/>
      <c r="L34" s="795"/>
      <c r="M34" s="795"/>
      <c r="N34" s="796"/>
      <c r="O34" s="788"/>
      <c r="P34" s="789"/>
      <c r="Q34" s="789"/>
      <c r="R34" s="789"/>
      <c r="S34" s="789"/>
      <c r="T34" s="789"/>
      <c r="U34" s="789"/>
      <c r="V34" s="789"/>
      <c r="W34" s="789"/>
      <c r="X34" s="789"/>
      <c r="Y34" s="789"/>
      <c r="Z34" s="789"/>
      <c r="AA34" s="789"/>
      <c r="AB34" s="789"/>
      <c r="AC34" s="789"/>
      <c r="AD34" s="789"/>
      <c r="AE34" s="789"/>
      <c r="AF34" s="789"/>
      <c r="AG34" s="789"/>
      <c r="AH34" s="789"/>
      <c r="AI34" s="789"/>
      <c r="AJ34" s="789"/>
      <c r="AK34" s="790"/>
      <c r="AL34" s="176" t="s">
        <v>304</v>
      </c>
    </row>
    <row r="35" spans="1:38" ht="46.95" customHeight="1" thickBot="1">
      <c r="A35" s="157"/>
      <c r="B35" s="799"/>
      <c r="C35" s="800"/>
      <c r="D35" s="800"/>
      <c r="E35" s="800"/>
      <c r="F35" s="800"/>
      <c r="G35" s="800"/>
      <c r="H35" s="800"/>
      <c r="I35" s="801"/>
      <c r="J35" s="791" t="s">
        <v>326</v>
      </c>
      <c r="K35" s="792"/>
      <c r="L35" s="792"/>
      <c r="M35" s="792"/>
      <c r="N35" s="793"/>
      <c r="O35" s="788"/>
      <c r="P35" s="789"/>
      <c r="Q35" s="789"/>
      <c r="R35" s="789"/>
      <c r="S35" s="790"/>
      <c r="T35" s="175" t="s">
        <v>304</v>
      </c>
      <c r="U35" s="788"/>
      <c r="V35" s="789"/>
      <c r="W35" s="789"/>
      <c r="X35" s="789"/>
      <c r="Y35" s="790"/>
      <c r="Z35" s="175" t="s">
        <v>304</v>
      </c>
      <c r="AA35" s="788"/>
      <c r="AB35" s="789"/>
      <c r="AC35" s="789"/>
      <c r="AD35" s="789"/>
      <c r="AE35" s="789"/>
      <c r="AF35" s="789"/>
      <c r="AG35" s="789"/>
      <c r="AH35" s="789"/>
      <c r="AI35" s="789"/>
      <c r="AJ35" s="789"/>
      <c r="AK35" s="790"/>
      <c r="AL35" s="176" t="s">
        <v>304</v>
      </c>
    </row>
    <row r="36" spans="1:38" ht="46.95" customHeight="1" thickBot="1">
      <c r="A36" s="157"/>
      <c r="B36" s="802"/>
      <c r="C36" s="795"/>
      <c r="D36" s="795"/>
      <c r="E36" s="795"/>
      <c r="F36" s="795"/>
      <c r="G36" s="795"/>
      <c r="H36" s="795"/>
      <c r="I36" s="796"/>
      <c r="J36" s="794"/>
      <c r="K36" s="795"/>
      <c r="L36" s="795"/>
      <c r="M36" s="795"/>
      <c r="N36" s="796"/>
      <c r="O36" s="788"/>
      <c r="P36" s="789"/>
      <c r="Q36" s="789"/>
      <c r="R36" s="789"/>
      <c r="S36" s="789"/>
      <c r="T36" s="789"/>
      <c r="U36" s="789"/>
      <c r="V36" s="789"/>
      <c r="W36" s="789"/>
      <c r="X36" s="789"/>
      <c r="Y36" s="789"/>
      <c r="Z36" s="789"/>
      <c r="AA36" s="789"/>
      <c r="AB36" s="789"/>
      <c r="AC36" s="789"/>
      <c r="AD36" s="789"/>
      <c r="AE36" s="789"/>
      <c r="AF36" s="789"/>
      <c r="AG36" s="789"/>
      <c r="AH36" s="789"/>
      <c r="AI36" s="789"/>
      <c r="AJ36" s="789"/>
      <c r="AK36" s="790"/>
      <c r="AL36" s="176" t="s">
        <v>304</v>
      </c>
    </row>
    <row r="37" spans="1:38" ht="14.4">
      <c r="A37" s="782"/>
      <c r="B37" s="783"/>
      <c r="C37" s="783"/>
      <c r="D37" s="783"/>
      <c r="E37" s="783"/>
      <c r="F37" s="783"/>
      <c r="G37" s="783"/>
      <c r="H37" s="783"/>
      <c r="I37" s="783"/>
      <c r="J37" s="783"/>
      <c r="K37" s="783"/>
      <c r="L37" s="783"/>
      <c r="M37" s="783"/>
      <c r="N37" s="783"/>
      <c r="O37" s="783"/>
      <c r="P37" s="783"/>
      <c r="Q37" s="783"/>
      <c r="R37" s="783"/>
      <c r="S37" s="783"/>
      <c r="T37" s="783"/>
      <c r="U37" s="783"/>
      <c r="V37" s="783"/>
      <c r="W37" s="783"/>
      <c r="X37" s="783"/>
      <c r="Y37" s="783"/>
      <c r="Z37" s="783"/>
      <c r="AA37" s="783"/>
      <c r="AB37" s="783"/>
      <c r="AC37" s="783"/>
      <c r="AD37" s="783"/>
      <c r="AE37" s="783"/>
      <c r="AF37" s="783"/>
      <c r="AG37" s="783"/>
      <c r="AH37" s="783"/>
      <c r="AI37" s="783"/>
      <c r="AJ37" s="783"/>
      <c r="AK37" s="783"/>
      <c r="AL37" s="784"/>
    </row>
    <row r="38" spans="1:38" ht="10.5" customHeight="1">
      <c r="A38" s="781" t="s">
        <v>387</v>
      </c>
      <c r="B38" s="781"/>
      <c r="C38" s="781"/>
      <c r="D38" s="781"/>
      <c r="E38" s="781"/>
      <c r="F38" s="781"/>
      <c r="G38" s="781"/>
      <c r="H38" s="781"/>
      <c r="I38" s="781"/>
      <c r="J38" s="781"/>
      <c r="K38" s="781"/>
      <c r="L38" s="781"/>
      <c r="M38" s="781"/>
      <c r="N38" s="781"/>
      <c r="O38" s="781"/>
      <c r="P38" s="781"/>
      <c r="Q38" s="781"/>
      <c r="R38" s="781"/>
      <c r="S38" s="781"/>
      <c r="T38" s="781"/>
      <c r="U38" s="781"/>
      <c r="V38" s="781"/>
      <c r="W38" s="781"/>
      <c r="X38" s="781"/>
      <c r="Y38" s="781"/>
      <c r="Z38" s="781"/>
      <c r="AA38" s="781"/>
      <c r="AB38" s="781"/>
      <c r="AC38" s="781"/>
      <c r="AD38" s="781"/>
      <c r="AE38" s="781"/>
      <c r="AF38" s="781"/>
      <c r="AG38" s="781"/>
      <c r="AH38" s="781"/>
      <c r="AI38" s="781"/>
      <c r="AJ38" s="781"/>
      <c r="AK38" s="781"/>
      <c r="AL38" s="781"/>
    </row>
    <row r="39" spans="1:38" ht="18" hidden="1" customHeight="1">
      <c r="A39" s="781"/>
      <c r="B39" s="781"/>
      <c r="C39" s="781"/>
      <c r="D39" s="781"/>
      <c r="E39" s="781"/>
      <c r="F39" s="781"/>
      <c r="G39" s="781"/>
      <c r="H39" s="781"/>
      <c r="I39" s="781"/>
      <c r="J39" s="781"/>
      <c r="K39" s="781"/>
      <c r="L39" s="781"/>
      <c r="M39" s="781"/>
      <c r="N39" s="781"/>
      <c r="O39" s="781"/>
      <c r="P39" s="781"/>
      <c r="Q39" s="781"/>
      <c r="R39" s="781"/>
      <c r="S39" s="781"/>
      <c r="T39" s="781"/>
      <c r="U39" s="781"/>
      <c r="V39" s="781"/>
      <c r="W39" s="781"/>
      <c r="X39" s="781"/>
      <c r="Y39" s="781"/>
      <c r="Z39" s="781"/>
      <c r="AA39" s="781"/>
      <c r="AB39" s="781"/>
      <c r="AC39" s="781"/>
      <c r="AD39" s="781"/>
      <c r="AE39" s="781"/>
      <c r="AF39" s="781"/>
      <c r="AG39" s="781"/>
      <c r="AH39" s="781"/>
      <c r="AI39" s="781"/>
      <c r="AJ39" s="781"/>
      <c r="AK39" s="781"/>
      <c r="AL39" s="781"/>
    </row>
    <row r="40" spans="1:38">
      <c r="A40" s="781"/>
      <c r="B40" s="781"/>
      <c r="C40" s="781"/>
      <c r="D40" s="781"/>
      <c r="E40" s="781"/>
      <c r="F40" s="781"/>
      <c r="G40" s="781"/>
      <c r="H40" s="781"/>
      <c r="I40" s="781"/>
      <c r="J40" s="781"/>
      <c r="K40" s="781"/>
      <c r="L40" s="781"/>
      <c r="M40" s="781"/>
      <c r="N40" s="781"/>
      <c r="O40" s="781"/>
      <c r="P40" s="781"/>
      <c r="Q40" s="781"/>
      <c r="R40" s="781"/>
      <c r="S40" s="781"/>
      <c r="T40" s="781"/>
      <c r="U40" s="781"/>
      <c r="V40" s="781"/>
      <c r="W40" s="781"/>
      <c r="X40" s="781"/>
      <c r="Y40" s="781"/>
      <c r="Z40" s="781"/>
      <c r="AA40" s="781"/>
      <c r="AB40" s="781"/>
      <c r="AC40" s="781"/>
      <c r="AD40" s="781"/>
      <c r="AE40" s="781"/>
      <c r="AF40" s="781"/>
      <c r="AG40" s="781"/>
      <c r="AH40" s="781"/>
      <c r="AI40" s="781"/>
      <c r="AJ40" s="781"/>
      <c r="AK40" s="781"/>
      <c r="AL40" s="781"/>
    </row>
    <row r="41" spans="1:38">
      <c r="A41" s="781"/>
      <c r="B41" s="781"/>
      <c r="C41" s="781"/>
      <c r="D41" s="781"/>
      <c r="E41" s="781"/>
      <c r="F41" s="781"/>
      <c r="G41" s="781"/>
      <c r="H41" s="781"/>
      <c r="I41" s="781"/>
      <c r="J41" s="781"/>
      <c r="K41" s="781"/>
      <c r="L41" s="781"/>
      <c r="M41" s="781"/>
      <c r="N41" s="781"/>
      <c r="O41" s="781"/>
      <c r="P41" s="781"/>
      <c r="Q41" s="781"/>
      <c r="R41" s="781"/>
      <c r="S41" s="781"/>
      <c r="T41" s="781"/>
      <c r="U41" s="781"/>
      <c r="V41" s="781"/>
      <c r="W41" s="781"/>
      <c r="X41" s="781"/>
      <c r="Y41" s="781"/>
      <c r="Z41" s="781"/>
      <c r="AA41" s="781"/>
      <c r="AB41" s="781"/>
      <c r="AC41" s="781"/>
      <c r="AD41" s="781"/>
      <c r="AE41" s="781"/>
      <c r="AF41" s="781"/>
      <c r="AG41" s="781"/>
      <c r="AH41" s="781"/>
      <c r="AI41" s="781"/>
      <c r="AJ41" s="781"/>
      <c r="AK41" s="781"/>
      <c r="AL41" s="781"/>
    </row>
    <row r="42" spans="1:38">
      <c r="A42" s="781"/>
      <c r="B42" s="781"/>
      <c r="C42" s="781"/>
      <c r="D42" s="781"/>
      <c r="E42" s="781"/>
      <c r="F42" s="781"/>
      <c r="G42" s="781"/>
      <c r="H42" s="781"/>
      <c r="I42" s="781"/>
      <c r="J42" s="781"/>
      <c r="K42" s="781"/>
      <c r="L42" s="781"/>
      <c r="M42" s="781"/>
      <c r="N42" s="781"/>
      <c r="O42" s="781"/>
      <c r="P42" s="781"/>
      <c r="Q42" s="781"/>
      <c r="R42" s="781"/>
      <c r="S42" s="781"/>
      <c r="T42" s="781"/>
      <c r="U42" s="781"/>
      <c r="V42" s="781"/>
      <c r="W42" s="781"/>
      <c r="X42" s="781"/>
      <c r="Y42" s="781"/>
      <c r="Z42" s="781"/>
      <c r="AA42" s="781"/>
      <c r="AB42" s="781"/>
      <c r="AC42" s="781"/>
      <c r="AD42" s="781"/>
      <c r="AE42" s="781"/>
      <c r="AF42" s="781"/>
      <c r="AG42" s="781"/>
      <c r="AH42" s="781"/>
      <c r="AI42" s="781"/>
      <c r="AJ42" s="781"/>
      <c r="AK42" s="781"/>
      <c r="AL42" s="781"/>
    </row>
    <row r="43" spans="1:38">
      <c r="A43" s="781"/>
      <c r="B43" s="781"/>
      <c r="C43" s="781"/>
      <c r="D43" s="781"/>
      <c r="E43" s="781"/>
      <c r="F43" s="781"/>
      <c r="G43" s="781"/>
      <c r="H43" s="781"/>
      <c r="I43" s="781"/>
      <c r="J43" s="781"/>
      <c r="K43" s="781"/>
      <c r="L43" s="781"/>
      <c r="M43" s="781"/>
      <c r="N43" s="781"/>
      <c r="O43" s="781"/>
      <c r="P43" s="781"/>
      <c r="Q43" s="781"/>
      <c r="R43" s="781"/>
      <c r="S43" s="781"/>
      <c r="T43" s="781"/>
      <c r="U43" s="781"/>
      <c r="V43" s="781"/>
      <c r="W43" s="781"/>
      <c r="X43" s="781"/>
      <c r="Y43" s="781"/>
      <c r="Z43" s="781"/>
      <c r="AA43" s="781"/>
      <c r="AB43" s="781"/>
      <c r="AC43" s="781"/>
      <c r="AD43" s="781"/>
      <c r="AE43" s="781"/>
      <c r="AF43" s="781"/>
      <c r="AG43" s="781"/>
      <c r="AH43" s="781"/>
      <c r="AI43" s="781"/>
      <c r="AJ43" s="781"/>
      <c r="AK43" s="781"/>
      <c r="AL43" s="781"/>
    </row>
    <row r="44" spans="1:38">
      <c r="A44" s="781"/>
      <c r="B44" s="781"/>
      <c r="C44" s="781"/>
      <c r="D44" s="781"/>
      <c r="E44" s="781"/>
      <c r="F44" s="781"/>
      <c r="G44" s="781"/>
      <c r="H44" s="781"/>
      <c r="I44" s="781"/>
      <c r="J44" s="781"/>
      <c r="K44" s="781"/>
      <c r="L44" s="781"/>
      <c r="M44" s="781"/>
      <c r="N44" s="781"/>
      <c r="O44" s="781"/>
      <c r="P44" s="781"/>
      <c r="Q44" s="781"/>
      <c r="R44" s="781"/>
      <c r="S44" s="781"/>
      <c r="T44" s="781"/>
      <c r="U44" s="781"/>
      <c r="V44" s="781"/>
      <c r="W44" s="781"/>
      <c r="X44" s="781"/>
      <c r="Y44" s="781"/>
      <c r="Z44" s="781"/>
      <c r="AA44" s="781"/>
      <c r="AB44" s="781"/>
      <c r="AC44" s="781"/>
      <c r="AD44" s="781"/>
      <c r="AE44" s="781"/>
      <c r="AF44" s="781"/>
      <c r="AG44" s="781"/>
      <c r="AH44" s="781"/>
      <c r="AI44" s="781"/>
      <c r="AJ44" s="781"/>
      <c r="AK44" s="781"/>
      <c r="AL44" s="781"/>
    </row>
    <row r="45" spans="1:38">
      <c r="A45" s="781"/>
      <c r="B45" s="781"/>
      <c r="C45" s="781"/>
      <c r="D45" s="781"/>
      <c r="E45" s="781"/>
      <c r="F45" s="781"/>
      <c r="G45" s="781"/>
      <c r="H45" s="781"/>
      <c r="I45" s="781"/>
      <c r="J45" s="781"/>
      <c r="K45" s="781"/>
      <c r="L45" s="781"/>
      <c r="M45" s="781"/>
      <c r="N45" s="781"/>
      <c r="O45" s="781"/>
      <c r="P45" s="781"/>
      <c r="Q45" s="781"/>
      <c r="R45" s="781"/>
      <c r="S45" s="781"/>
      <c r="T45" s="781"/>
      <c r="U45" s="781"/>
      <c r="V45" s="781"/>
      <c r="W45" s="781"/>
      <c r="X45" s="781"/>
      <c r="Y45" s="781"/>
      <c r="Z45" s="781"/>
      <c r="AA45" s="781"/>
      <c r="AB45" s="781"/>
      <c r="AC45" s="781"/>
      <c r="AD45" s="781"/>
      <c r="AE45" s="781"/>
      <c r="AF45" s="781"/>
      <c r="AG45" s="781"/>
      <c r="AH45" s="781"/>
      <c r="AI45" s="781"/>
      <c r="AJ45" s="781"/>
      <c r="AK45" s="781"/>
      <c r="AL45" s="781"/>
    </row>
    <row r="46" spans="1:38">
      <c r="A46" s="781"/>
      <c r="B46" s="781"/>
      <c r="C46" s="781"/>
      <c r="D46" s="781"/>
      <c r="E46" s="781"/>
      <c r="F46" s="781"/>
      <c r="G46" s="781"/>
      <c r="H46" s="781"/>
      <c r="I46" s="781"/>
      <c r="J46" s="781"/>
      <c r="K46" s="781"/>
      <c r="L46" s="781"/>
      <c r="M46" s="781"/>
      <c r="N46" s="781"/>
      <c r="O46" s="781"/>
      <c r="P46" s="781"/>
      <c r="Q46" s="781"/>
      <c r="R46" s="781"/>
      <c r="S46" s="781"/>
      <c r="T46" s="781"/>
      <c r="U46" s="781"/>
      <c r="V46" s="781"/>
      <c r="W46" s="781"/>
      <c r="X46" s="781"/>
      <c r="Y46" s="781"/>
      <c r="Z46" s="781"/>
      <c r="AA46" s="781"/>
      <c r="AB46" s="781"/>
      <c r="AC46" s="781"/>
      <c r="AD46" s="781"/>
      <c r="AE46" s="781"/>
      <c r="AF46" s="781"/>
      <c r="AG46" s="781"/>
      <c r="AH46" s="781"/>
      <c r="AI46" s="781"/>
      <c r="AJ46" s="781"/>
      <c r="AK46" s="781"/>
      <c r="AL46" s="781"/>
    </row>
    <row r="47" spans="1:38">
      <c r="A47" s="781"/>
      <c r="B47" s="781"/>
      <c r="C47" s="781"/>
      <c r="D47" s="781"/>
      <c r="E47" s="781"/>
      <c r="F47" s="781"/>
      <c r="G47" s="781"/>
      <c r="H47" s="781"/>
      <c r="I47" s="781"/>
      <c r="J47" s="781"/>
      <c r="K47" s="781"/>
      <c r="L47" s="781"/>
      <c r="M47" s="781"/>
      <c r="N47" s="781"/>
      <c r="O47" s="781"/>
      <c r="P47" s="781"/>
      <c r="Q47" s="781"/>
      <c r="R47" s="781"/>
      <c r="S47" s="781"/>
      <c r="T47" s="781"/>
      <c r="U47" s="781"/>
      <c r="V47" s="781"/>
      <c r="W47" s="781"/>
      <c r="X47" s="781"/>
      <c r="Y47" s="781"/>
      <c r="Z47" s="781"/>
      <c r="AA47" s="781"/>
      <c r="AB47" s="781"/>
      <c r="AC47" s="781"/>
      <c r="AD47" s="781"/>
      <c r="AE47" s="781"/>
      <c r="AF47" s="781"/>
      <c r="AG47" s="781"/>
      <c r="AH47" s="781"/>
      <c r="AI47" s="781"/>
      <c r="AJ47" s="781"/>
      <c r="AK47" s="781"/>
      <c r="AL47" s="781"/>
    </row>
    <row r="48" spans="1:38">
      <c r="A48" s="781"/>
      <c r="B48" s="781"/>
      <c r="C48" s="781"/>
      <c r="D48" s="781"/>
      <c r="E48" s="781"/>
      <c r="F48" s="781"/>
      <c r="G48" s="781"/>
      <c r="H48" s="781"/>
      <c r="I48" s="781"/>
      <c r="J48" s="781"/>
      <c r="K48" s="781"/>
      <c r="L48" s="781"/>
      <c r="M48" s="781"/>
      <c r="N48" s="781"/>
      <c r="O48" s="781"/>
      <c r="P48" s="781"/>
      <c r="Q48" s="781"/>
      <c r="R48" s="781"/>
      <c r="S48" s="781"/>
      <c r="T48" s="781"/>
      <c r="U48" s="781"/>
      <c r="V48" s="781"/>
      <c r="W48" s="781"/>
      <c r="X48" s="781"/>
      <c r="Y48" s="781"/>
      <c r="Z48" s="781"/>
      <c r="AA48" s="781"/>
      <c r="AB48" s="781"/>
      <c r="AC48" s="781"/>
      <c r="AD48" s="781"/>
      <c r="AE48" s="781"/>
      <c r="AF48" s="781"/>
      <c r="AG48" s="781"/>
      <c r="AH48" s="781"/>
      <c r="AI48" s="781"/>
      <c r="AJ48" s="781"/>
      <c r="AK48" s="781"/>
      <c r="AL48" s="781"/>
    </row>
    <row r="49" spans="1:38" ht="133.94999999999999" customHeight="1">
      <c r="A49" s="781"/>
      <c r="B49" s="781"/>
      <c r="C49" s="781"/>
      <c r="D49" s="781"/>
      <c r="E49" s="781"/>
      <c r="F49" s="781"/>
      <c r="G49" s="781"/>
      <c r="H49" s="781"/>
      <c r="I49" s="781"/>
      <c r="J49" s="781"/>
      <c r="K49" s="781"/>
      <c r="L49" s="781"/>
      <c r="M49" s="781"/>
      <c r="N49" s="781"/>
      <c r="O49" s="781"/>
      <c r="P49" s="781"/>
      <c r="Q49" s="781"/>
      <c r="R49" s="781"/>
      <c r="S49" s="781"/>
      <c r="T49" s="781"/>
      <c r="U49" s="781"/>
      <c r="V49" s="781"/>
      <c r="W49" s="781"/>
      <c r="X49" s="781"/>
      <c r="Y49" s="781"/>
      <c r="Z49" s="781"/>
      <c r="AA49" s="781"/>
      <c r="AB49" s="781"/>
      <c r="AC49" s="781"/>
      <c r="AD49" s="781"/>
      <c r="AE49" s="781"/>
      <c r="AF49" s="781"/>
      <c r="AG49" s="781"/>
      <c r="AH49" s="781"/>
      <c r="AI49" s="781"/>
      <c r="AJ49" s="781"/>
      <c r="AK49" s="781"/>
      <c r="AL49" s="781"/>
    </row>
    <row r="50" spans="1:38" ht="18" customHeight="1">
      <c r="A50" s="177"/>
      <c r="B50" s="177"/>
      <c r="C50" s="177"/>
      <c r="D50" s="785" t="s">
        <v>573</v>
      </c>
      <c r="E50" s="786"/>
      <c r="F50" s="786"/>
      <c r="G50" s="786"/>
      <c r="H50" s="786"/>
      <c r="I50" s="786"/>
      <c r="J50" s="786"/>
      <c r="K50" s="786"/>
      <c r="L50" s="786"/>
      <c r="M50" s="786"/>
      <c r="N50" s="786"/>
      <c r="O50" s="786"/>
      <c r="P50" s="786"/>
      <c r="Q50" s="786"/>
      <c r="R50" s="786"/>
      <c r="S50" s="786"/>
      <c r="T50" s="781" t="s">
        <v>388</v>
      </c>
      <c r="U50" s="781"/>
      <c r="V50" s="781"/>
      <c r="W50" s="781"/>
      <c r="X50" s="781"/>
      <c r="Y50" s="177"/>
      <c r="Z50" s="177"/>
      <c r="AA50" s="177"/>
      <c r="AB50" s="177"/>
      <c r="AC50" s="177"/>
      <c r="AD50" s="177"/>
      <c r="AE50" s="177"/>
      <c r="AF50" s="177"/>
      <c r="AG50" s="177"/>
      <c r="AH50" s="177"/>
      <c r="AI50" s="177"/>
      <c r="AJ50" s="177"/>
      <c r="AK50" s="177"/>
      <c r="AL50" s="177"/>
    </row>
    <row r="51" spans="1:38" ht="18" customHeight="1">
      <c r="A51" s="177"/>
      <c r="B51" s="177"/>
      <c r="C51" s="177"/>
      <c r="D51" s="178"/>
      <c r="E51" s="178"/>
      <c r="F51" s="178"/>
      <c r="G51" s="178"/>
      <c r="H51" s="178"/>
      <c r="I51" s="179"/>
      <c r="J51" s="179"/>
      <c r="K51" s="179"/>
      <c r="L51" s="179"/>
      <c r="M51" s="787" t="s">
        <v>389</v>
      </c>
      <c r="N51" s="787"/>
      <c r="O51" s="787"/>
      <c r="P51" s="179"/>
      <c r="Q51" s="178"/>
      <c r="R51" s="178"/>
      <c r="S51" s="178"/>
      <c r="T51" s="781"/>
      <c r="U51" s="781"/>
      <c r="V51" s="781"/>
      <c r="W51" s="781"/>
      <c r="X51" s="781"/>
      <c r="Y51" s="177"/>
      <c r="Z51" s="177"/>
      <c r="AA51" s="177"/>
      <c r="AB51" s="177"/>
      <c r="AC51" s="177"/>
      <c r="AD51" s="177"/>
      <c r="AE51" s="177"/>
      <c r="AF51" s="177"/>
      <c r="AG51" s="177"/>
      <c r="AH51" s="177"/>
      <c r="AI51" s="177"/>
      <c r="AJ51" s="177"/>
      <c r="AK51" s="177"/>
      <c r="AL51" s="177"/>
    </row>
    <row r="52" spans="1:38" ht="82.2" customHeight="1">
      <c r="A52" s="781" t="s">
        <v>390</v>
      </c>
      <c r="B52" s="781"/>
      <c r="C52" s="781"/>
      <c r="D52" s="781"/>
      <c r="E52" s="781"/>
      <c r="F52" s="781"/>
      <c r="G52" s="781"/>
      <c r="H52" s="781"/>
      <c r="I52" s="781"/>
      <c r="J52" s="781"/>
      <c r="K52" s="781"/>
      <c r="L52" s="781"/>
      <c r="M52" s="781"/>
      <c r="N52" s="781"/>
      <c r="O52" s="781"/>
      <c r="P52" s="781"/>
      <c r="Q52" s="781"/>
      <c r="R52" s="781"/>
      <c r="S52" s="781"/>
      <c r="T52" s="781"/>
      <c r="U52" s="781"/>
      <c r="V52" s="781"/>
      <c r="W52" s="781"/>
      <c r="X52" s="781"/>
      <c r="Y52" s="781"/>
      <c r="Z52" s="781"/>
      <c r="AA52" s="781"/>
      <c r="AB52" s="781"/>
      <c r="AC52" s="781"/>
      <c r="AD52" s="781"/>
      <c r="AE52" s="781"/>
      <c r="AF52" s="781"/>
      <c r="AG52" s="781"/>
      <c r="AH52" s="781"/>
      <c r="AI52" s="781"/>
      <c r="AJ52" s="781"/>
      <c r="AK52" s="781"/>
      <c r="AL52" s="781"/>
    </row>
    <row r="53" spans="1:38">
      <c r="A53" s="781"/>
      <c r="B53" s="781"/>
      <c r="C53" s="781"/>
      <c r="D53" s="781"/>
      <c r="E53" s="781"/>
      <c r="F53" s="781"/>
      <c r="G53" s="781"/>
      <c r="H53" s="781"/>
      <c r="I53" s="781"/>
      <c r="J53" s="781"/>
      <c r="K53" s="781"/>
      <c r="L53" s="781"/>
      <c r="M53" s="781"/>
      <c r="N53" s="781"/>
      <c r="O53" s="781"/>
      <c r="P53" s="781"/>
      <c r="Q53" s="781"/>
      <c r="R53" s="781"/>
      <c r="S53" s="781"/>
      <c r="T53" s="781"/>
      <c r="U53" s="781"/>
      <c r="V53" s="781"/>
      <c r="W53" s="781"/>
      <c r="X53" s="781"/>
      <c r="Y53" s="781"/>
      <c r="Z53" s="781"/>
      <c r="AA53" s="781"/>
      <c r="AB53" s="781"/>
      <c r="AC53" s="781"/>
      <c r="AD53" s="781"/>
      <c r="AE53" s="781"/>
      <c r="AF53" s="781"/>
      <c r="AG53" s="781"/>
      <c r="AH53" s="781"/>
      <c r="AI53" s="781"/>
      <c r="AJ53" s="781"/>
      <c r="AK53" s="781"/>
      <c r="AL53" s="781"/>
    </row>
    <row r="54" spans="1:38">
      <c r="A54" s="781"/>
      <c r="B54" s="781"/>
      <c r="C54" s="781"/>
      <c r="D54" s="781"/>
      <c r="E54" s="781"/>
      <c r="F54" s="781"/>
      <c r="G54" s="781"/>
      <c r="H54" s="781"/>
      <c r="I54" s="781"/>
      <c r="J54" s="781"/>
      <c r="K54" s="781"/>
      <c r="L54" s="781"/>
      <c r="M54" s="781"/>
      <c r="N54" s="781"/>
      <c r="O54" s="781"/>
      <c r="P54" s="781"/>
      <c r="Q54" s="781"/>
      <c r="R54" s="781"/>
      <c r="S54" s="781"/>
      <c r="T54" s="781"/>
      <c r="U54" s="781"/>
      <c r="V54" s="781"/>
      <c r="W54" s="781"/>
      <c r="X54" s="781"/>
      <c r="Y54" s="781"/>
      <c r="Z54" s="781"/>
      <c r="AA54" s="781"/>
      <c r="AB54" s="781"/>
      <c r="AC54" s="781"/>
      <c r="AD54" s="781"/>
      <c r="AE54" s="781"/>
      <c r="AF54" s="781"/>
      <c r="AG54" s="781"/>
      <c r="AH54" s="781"/>
      <c r="AI54" s="781"/>
      <c r="AJ54" s="781"/>
      <c r="AK54" s="781"/>
      <c r="AL54" s="781"/>
    </row>
    <row r="55" spans="1:38" ht="27" customHeight="1">
      <c r="A55" s="781"/>
      <c r="B55" s="781"/>
      <c r="C55" s="781"/>
      <c r="D55" s="781"/>
      <c r="E55" s="781"/>
      <c r="F55" s="781"/>
      <c r="G55" s="781"/>
      <c r="H55" s="781"/>
      <c r="I55" s="781"/>
      <c r="J55" s="781"/>
      <c r="K55" s="781"/>
      <c r="L55" s="781"/>
      <c r="M55" s="781"/>
      <c r="N55" s="781"/>
      <c r="O55" s="781"/>
      <c r="P55" s="781"/>
      <c r="Q55" s="781"/>
      <c r="R55" s="781"/>
      <c r="S55" s="781"/>
      <c r="T55" s="781"/>
      <c r="U55" s="781"/>
      <c r="V55" s="781"/>
      <c r="W55" s="781"/>
      <c r="X55" s="781"/>
      <c r="Y55" s="781"/>
      <c r="Z55" s="781"/>
      <c r="AA55" s="781"/>
      <c r="AB55" s="781"/>
      <c r="AC55" s="781"/>
      <c r="AD55" s="781"/>
      <c r="AE55" s="781"/>
      <c r="AF55" s="781"/>
      <c r="AG55" s="781"/>
      <c r="AH55" s="781"/>
      <c r="AI55" s="781"/>
      <c r="AJ55" s="781"/>
      <c r="AK55" s="781"/>
      <c r="AL55" s="781"/>
    </row>
    <row r="56" spans="1:38">
      <c r="A56" s="781"/>
      <c r="B56" s="781"/>
      <c r="C56" s="781"/>
      <c r="D56" s="781"/>
      <c r="E56" s="781"/>
      <c r="F56" s="781"/>
      <c r="G56" s="781"/>
      <c r="H56" s="781"/>
      <c r="I56" s="781"/>
      <c r="J56" s="781"/>
      <c r="K56" s="781"/>
      <c r="L56" s="781"/>
      <c r="M56" s="781"/>
      <c r="N56" s="781"/>
      <c r="O56" s="781"/>
      <c r="P56" s="781"/>
      <c r="Q56" s="781"/>
      <c r="R56" s="781"/>
      <c r="S56" s="781"/>
      <c r="T56" s="781"/>
      <c r="U56" s="781"/>
      <c r="V56" s="781"/>
      <c r="W56" s="781"/>
      <c r="X56" s="781"/>
      <c r="Y56" s="781"/>
      <c r="Z56" s="781"/>
      <c r="AA56" s="781"/>
      <c r="AB56" s="781"/>
      <c r="AC56" s="781"/>
      <c r="AD56" s="781"/>
      <c r="AE56" s="781"/>
      <c r="AF56" s="781"/>
      <c r="AG56" s="781"/>
      <c r="AH56" s="781"/>
      <c r="AI56" s="781"/>
      <c r="AJ56" s="781"/>
      <c r="AK56" s="781"/>
      <c r="AL56" s="781"/>
    </row>
    <row r="57" spans="1:38">
      <c r="A57" s="781"/>
      <c r="B57" s="781"/>
      <c r="C57" s="781"/>
      <c r="D57" s="781"/>
      <c r="E57" s="781"/>
      <c r="F57" s="781"/>
      <c r="G57" s="781"/>
      <c r="H57" s="781"/>
      <c r="I57" s="781"/>
      <c r="J57" s="781"/>
      <c r="K57" s="781"/>
      <c r="L57" s="781"/>
      <c r="M57" s="781"/>
      <c r="N57" s="781"/>
      <c r="O57" s="781"/>
      <c r="P57" s="781"/>
      <c r="Q57" s="781"/>
      <c r="R57" s="781"/>
      <c r="S57" s="781"/>
      <c r="T57" s="781"/>
      <c r="U57" s="781"/>
      <c r="V57" s="781"/>
      <c r="W57" s="781"/>
      <c r="X57" s="781"/>
      <c r="Y57" s="781"/>
      <c r="Z57" s="781"/>
      <c r="AA57" s="781"/>
      <c r="AB57" s="781"/>
      <c r="AC57" s="781"/>
      <c r="AD57" s="781"/>
      <c r="AE57" s="781"/>
      <c r="AF57" s="781"/>
      <c r="AG57" s="781"/>
      <c r="AH57" s="781"/>
      <c r="AI57" s="781"/>
      <c r="AJ57" s="781"/>
      <c r="AK57" s="781"/>
      <c r="AL57" s="781"/>
    </row>
    <row r="58" spans="1:38">
      <c r="A58" s="781"/>
      <c r="B58" s="781"/>
      <c r="C58" s="781"/>
      <c r="D58" s="781"/>
      <c r="E58" s="781"/>
      <c r="F58" s="781"/>
      <c r="G58" s="781"/>
      <c r="H58" s="781"/>
      <c r="I58" s="781"/>
      <c r="J58" s="781"/>
      <c r="K58" s="781"/>
      <c r="L58" s="781"/>
      <c r="M58" s="781"/>
      <c r="N58" s="781"/>
      <c r="O58" s="781"/>
      <c r="P58" s="781"/>
      <c r="Q58" s="781"/>
      <c r="R58" s="781"/>
      <c r="S58" s="781"/>
      <c r="T58" s="781"/>
      <c r="U58" s="781"/>
      <c r="V58" s="781"/>
      <c r="W58" s="781"/>
      <c r="X58" s="781"/>
      <c r="Y58" s="781"/>
      <c r="Z58" s="781"/>
      <c r="AA58" s="781"/>
      <c r="AB58" s="781"/>
      <c r="AC58" s="781"/>
      <c r="AD58" s="781"/>
      <c r="AE58" s="781"/>
      <c r="AF58" s="781"/>
      <c r="AG58" s="781"/>
      <c r="AH58" s="781"/>
      <c r="AI58" s="781"/>
      <c r="AJ58" s="781"/>
      <c r="AK58" s="781"/>
      <c r="AL58" s="781"/>
    </row>
    <row r="59" spans="1:38">
      <c r="A59" s="781"/>
      <c r="B59" s="781"/>
      <c r="C59" s="781"/>
      <c r="D59" s="781"/>
      <c r="E59" s="781"/>
      <c r="F59" s="781"/>
      <c r="G59" s="781"/>
      <c r="H59" s="781"/>
      <c r="I59" s="781"/>
      <c r="J59" s="781"/>
      <c r="K59" s="781"/>
      <c r="L59" s="781"/>
      <c r="M59" s="781"/>
      <c r="N59" s="781"/>
      <c r="O59" s="781"/>
      <c r="P59" s="781"/>
      <c r="Q59" s="781"/>
      <c r="R59" s="781"/>
      <c r="S59" s="781"/>
      <c r="T59" s="781"/>
      <c r="U59" s="781"/>
      <c r="V59" s="781"/>
      <c r="W59" s="781"/>
      <c r="X59" s="781"/>
      <c r="Y59" s="781"/>
      <c r="Z59" s="781"/>
      <c r="AA59" s="781"/>
      <c r="AB59" s="781"/>
      <c r="AC59" s="781"/>
      <c r="AD59" s="781"/>
      <c r="AE59" s="781"/>
      <c r="AF59" s="781"/>
      <c r="AG59" s="781"/>
      <c r="AH59" s="781"/>
      <c r="AI59" s="781"/>
      <c r="AJ59" s="781"/>
      <c r="AK59" s="781"/>
      <c r="AL59" s="781"/>
    </row>
    <row r="60" spans="1:38">
      <c r="A60" s="781"/>
      <c r="B60" s="781"/>
      <c r="C60" s="781"/>
      <c r="D60" s="781"/>
      <c r="E60" s="781"/>
      <c r="F60" s="781"/>
      <c r="G60" s="781"/>
      <c r="H60" s="781"/>
      <c r="I60" s="781"/>
      <c r="J60" s="781"/>
      <c r="K60" s="781"/>
      <c r="L60" s="781"/>
      <c r="M60" s="781"/>
      <c r="N60" s="781"/>
      <c r="O60" s="781"/>
      <c r="P60" s="781"/>
      <c r="Q60" s="781"/>
      <c r="R60" s="781"/>
      <c r="S60" s="781"/>
      <c r="T60" s="781"/>
      <c r="U60" s="781"/>
      <c r="V60" s="781"/>
      <c r="W60" s="781"/>
      <c r="X60" s="781"/>
      <c r="Y60" s="781"/>
      <c r="Z60" s="781"/>
      <c r="AA60" s="781"/>
      <c r="AB60" s="781"/>
      <c r="AC60" s="781"/>
      <c r="AD60" s="781"/>
      <c r="AE60" s="781"/>
      <c r="AF60" s="781"/>
      <c r="AG60" s="781"/>
      <c r="AH60" s="781"/>
      <c r="AI60" s="781"/>
      <c r="AJ60" s="781"/>
      <c r="AK60" s="781"/>
      <c r="AL60" s="781"/>
    </row>
    <row r="61" spans="1:38">
      <c r="A61" s="781"/>
      <c r="B61" s="781"/>
      <c r="C61" s="781"/>
      <c r="D61" s="781"/>
      <c r="E61" s="781"/>
      <c r="F61" s="781"/>
      <c r="G61" s="781"/>
      <c r="H61" s="781"/>
      <c r="I61" s="781"/>
      <c r="J61" s="781"/>
      <c r="K61" s="781"/>
      <c r="L61" s="781"/>
      <c r="M61" s="781"/>
      <c r="N61" s="781"/>
      <c r="O61" s="781"/>
      <c r="P61" s="781"/>
      <c r="Q61" s="781"/>
      <c r="R61" s="781"/>
      <c r="S61" s="781"/>
      <c r="T61" s="781"/>
      <c r="U61" s="781"/>
      <c r="V61" s="781"/>
      <c r="W61" s="781"/>
      <c r="X61" s="781"/>
      <c r="Y61" s="781"/>
      <c r="Z61" s="781"/>
      <c r="AA61" s="781"/>
      <c r="AB61" s="781"/>
      <c r="AC61" s="781"/>
      <c r="AD61" s="781"/>
      <c r="AE61" s="781"/>
      <c r="AF61" s="781"/>
      <c r="AG61" s="781"/>
      <c r="AH61" s="781"/>
      <c r="AI61" s="781"/>
      <c r="AJ61" s="781"/>
      <c r="AK61" s="781"/>
      <c r="AL61" s="781"/>
    </row>
    <row r="62" spans="1:38">
      <c r="A62" s="781"/>
      <c r="B62" s="781"/>
      <c r="C62" s="781"/>
      <c r="D62" s="781"/>
      <c r="E62" s="781"/>
      <c r="F62" s="781"/>
      <c r="G62" s="781"/>
      <c r="H62" s="781"/>
      <c r="I62" s="781"/>
      <c r="J62" s="781"/>
      <c r="K62" s="781"/>
      <c r="L62" s="781"/>
      <c r="M62" s="781"/>
      <c r="N62" s="781"/>
      <c r="O62" s="781"/>
      <c r="P62" s="781"/>
      <c r="Q62" s="781"/>
      <c r="R62" s="781"/>
      <c r="S62" s="781"/>
      <c r="T62" s="781"/>
      <c r="U62" s="781"/>
      <c r="V62" s="781"/>
      <c r="W62" s="781"/>
      <c r="X62" s="781"/>
      <c r="Y62" s="781"/>
      <c r="Z62" s="781"/>
      <c r="AA62" s="781"/>
      <c r="AB62" s="781"/>
      <c r="AC62" s="781"/>
      <c r="AD62" s="781"/>
      <c r="AE62" s="781"/>
      <c r="AF62" s="781"/>
      <c r="AG62" s="781"/>
      <c r="AH62" s="781"/>
      <c r="AI62" s="781"/>
      <c r="AJ62" s="781"/>
      <c r="AK62" s="781"/>
      <c r="AL62" s="781"/>
    </row>
    <row r="63" spans="1:38" ht="75.75" customHeight="1">
      <c r="A63" s="781"/>
      <c r="B63" s="781"/>
      <c r="C63" s="781"/>
      <c r="D63" s="781"/>
      <c r="E63" s="781"/>
      <c r="F63" s="781"/>
      <c r="G63" s="781"/>
      <c r="H63" s="781"/>
      <c r="I63" s="781"/>
      <c r="J63" s="781"/>
      <c r="K63" s="781"/>
      <c r="L63" s="781"/>
      <c r="M63" s="781"/>
      <c r="N63" s="781"/>
      <c r="O63" s="781"/>
      <c r="P63" s="781"/>
      <c r="Q63" s="781"/>
      <c r="R63" s="781"/>
      <c r="S63" s="781"/>
      <c r="T63" s="781"/>
      <c r="U63" s="781"/>
      <c r="V63" s="781"/>
      <c r="W63" s="781"/>
      <c r="X63" s="781"/>
      <c r="Y63" s="781"/>
      <c r="Z63" s="781"/>
      <c r="AA63" s="781"/>
      <c r="AB63" s="781"/>
      <c r="AC63" s="781"/>
      <c r="AD63" s="781"/>
      <c r="AE63" s="781"/>
      <c r="AF63" s="781"/>
      <c r="AG63" s="781"/>
      <c r="AH63" s="781"/>
      <c r="AI63" s="781"/>
      <c r="AJ63" s="781"/>
      <c r="AK63" s="781"/>
      <c r="AL63" s="781"/>
    </row>
    <row r="64" spans="1:38" ht="107.4" customHeight="1">
      <c r="A64" s="781" t="s">
        <v>391</v>
      </c>
      <c r="B64" s="781"/>
      <c r="C64" s="781"/>
      <c r="D64" s="781"/>
      <c r="E64" s="781"/>
      <c r="F64" s="781"/>
      <c r="G64" s="781"/>
      <c r="H64" s="781"/>
      <c r="I64" s="781"/>
      <c r="J64" s="781"/>
      <c r="K64" s="781"/>
      <c r="L64" s="781"/>
      <c r="M64" s="781"/>
      <c r="N64" s="781"/>
      <c r="O64" s="781"/>
      <c r="P64" s="781"/>
      <c r="Q64" s="781"/>
      <c r="R64" s="781"/>
      <c r="S64" s="781"/>
      <c r="T64" s="781"/>
      <c r="U64" s="781"/>
      <c r="V64" s="781"/>
      <c r="W64" s="781"/>
      <c r="X64" s="781"/>
      <c r="Y64" s="781"/>
      <c r="Z64" s="781"/>
      <c r="AA64" s="781"/>
      <c r="AB64" s="781"/>
      <c r="AC64" s="781"/>
      <c r="AD64" s="781"/>
      <c r="AE64" s="781"/>
      <c r="AF64" s="781"/>
      <c r="AG64" s="781"/>
      <c r="AH64" s="781"/>
      <c r="AI64" s="781"/>
      <c r="AJ64" s="781"/>
      <c r="AK64" s="781"/>
      <c r="AL64" s="781"/>
    </row>
    <row r="65" spans="1:38">
      <c r="A65" s="781"/>
      <c r="B65" s="781"/>
      <c r="C65" s="781"/>
      <c r="D65" s="781"/>
      <c r="E65" s="781"/>
      <c r="F65" s="781"/>
      <c r="G65" s="781"/>
      <c r="H65" s="781"/>
      <c r="I65" s="781"/>
      <c r="J65" s="781"/>
      <c r="K65" s="781"/>
      <c r="L65" s="781"/>
      <c r="M65" s="781"/>
      <c r="N65" s="781"/>
      <c r="O65" s="781"/>
      <c r="P65" s="781"/>
      <c r="Q65" s="781"/>
      <c r="R65" s="781"/>
      <c r="S65" s="781"/>
      <c r="T65" s="781"/>
      <c r="U65" s="781"/>
      <c r="V65" s="781"/>
      <c r="W65" s="781"/>
      <c r="X65" s="781"/>
      <c r="Y65" s="781"/>
      <c r="Z65" s="781"/>
      <c r="AA65" s="781"/>
      <c r="AB65" s="781"/>
      <c r="AC65" s="781"/>
      <c r="AD65" s="781"/>
      <c r="AE65" s="781"/>
      <c r="AF65" s="781"/>
      <c r="AG65" s="781"/>
      <c r="AH65" s="781"/>
      <c r="AI65" s="781"/>
      <c r="AJ65" s="781"/>
      <c r="AK65" s="781"/>
      <c r="AL65" s="781"/>
    </row>
    <row r="66" spans="1:38">
      <c r="A66" s="781"/>
      <c r="B66" s="781"/>
      <c r="C66" s="781"/>
      <c r="D66" s="781"/>
      <c r="E66" s="781"/>
      <c r="F66" s="781"/>
      <c r="G66" s="781"/>
      <c r="H66" s="781"/>
      <c r="I66" s="781"/>
      <c r="J66" s="781"/>
      <c r="K66" s="781"/>
      <c r="L66" s="781"/>
      <c r="M66" s="781"/>
      <c r="N66" s="781"/>
      <c r="O66" s="781"/>
      <c r="P66" s="781"/>
      <c r="Q66" s="781"/>
      <c r="R66" s="781"/>
      <c r="S66" s="781"/>
      <c r="T66" s="781"/>
      <c r="U66" s="781"/>
      <c r="V66" s="781"/>
      <c r="W66" s="781"/>
      <c r="X66" s="781"/>
      <c r="Y66" s="781"/>
      <c r="Z66" s="781"/>
      <c r="AA66" s="781"/>
      <c r="AB66" s="781"/>
      <c r="AC66" s="781"/>
      <c r="AD66" s="781"/>
      <c r="AE66" s="781"/>
      <c r="AF66" s="781"/>
      <c r="AG66" s="781"/>
      <c r="AH66" s="781"/>
      <c r="AI66" s="781"/>
      <c r="AJ66" s="781"/>
      <c r="AK66" s="781"/>
      <c r="AL66" s="781"/>
    </row>
    <row r="67" spans="1:38">
      <c r="A67" s="781"/>
      <c r="B67" s="781"/>
      <c r="C67" s="781"/>
      <c r="D67" s="781"/>
      <c r="E67" s="781"/>
      <c r="F67" s="781"/>
      <c r="G67" s="781"/>
      <c r="H67" s="781"/>
      <c r="I67" s="781"/>
      <c r="J67" s="781"/>
      <c r="K67" s="781"/>
      <c r="L67" s="781"/>
      <c r="M67" s="781"/>
      <c r="N67" s="781"/>
      <c r="O67" s="781"/>
      <c r="P67" s="781"/>
      <c r="Q67" s="781"/>
      <c r="R67" s="781"/>
      <c r="S67" s="781"/>
      <c r="T67" s="781"/>
      <c r="U67" s="781"/>
      <c r="V67" s="781"/>
      <c r="W67" s="781"/>
      <c r="X67" s="781"/>
      <c r="Y67" s="781"/>
      <c r="Z67" s="781"/>
      <c r="AA67" s="781"/>
      <c r="AB67" s="781"/>
      <c r="AC67" s="781"/>
      <c r="AD67" s="781"/>
      <c r="AE67" s="781"/>
      <c r="AF67" s="781"/>
      <c r="AG67" s="781"/>
      <c r="AH67" s="781"/>
      <c r="AI67" s="781"/>
      <c r="AJ67" s="781"/>
      <c r="AK67" s="781"/>
      <c r="AL67" s="781"/>
    </row>
    <row r="68" spans="1:38">
      <c r="A68" s="781"/>
      <c r="B68" s="781"/>
      <c r="C68" s="781"/>
      <c r="D68" s="781"/>
      <c r="E68" s="781"/>
      <c r="F68" s="781"/>
      <c r="G68" s="781"/>
      <c r="H68" s="781"/>
      <c r="I68" s="781"/>
      <c r="J68" s="781"/>
      <c r="K68" s="781"/>
      <c r="L68" s="781"/>
      <c r="M68" s="781"/>
      <c r="N68" s="781"/>
      <c r="O68" s="781"/>
      <c r="P68" s="781"/>
      <c r="Q68" s="781"/>
      <c r="R68" s="781"/>
      <c r="S68" s="781"/>
      <c r="T68" s="781"/>
      <c r="U68" s="781"/>
      <c r="V68" s="781"/>
      <c r="W68" s="781"/>
      <c r="X68" s="781"/>
      <c r="Y68" s="781"/>
      <c r="Z68" s="781"/>
      <c r="AA68" s="781"/>
      <c r="AB68" s="781"/>
      <c r="AC68" s="781"/>
      <c r="AD68" s="781"/>
      <c r="AE68" s="781"/>
      <c r="AF68" s="781"/>
      <c r="AG68" s="781"/>
      <c r="AH68" s="781"/>
      <c r="AI68" s="781"/>
      <c r="AJ68" s="781"/>
      <c r="AK68" s="781"/>
      <c r="AL68" s="781"/>
    </row>
    <row r="69" spans="1:38">
      <c r="A69" s="781"/>
      <c r="B69" s="781"/>
      <c r="C69" s="781"/>
      <c r="D69" s="781"/>
      <c r="E69" s="781"/>
      <c r="F69" s="781"/>
      <c r="G69" s="781"/>
      <c r="H69" s="781"/>
      <c r="I69" s="781"/>
      <c r="J69" s="781"/>
      <c r="K69" s="781"/>
      <c r="L69" s="781"/>
      <c r="M69" s="781"/>
      <c r="N69" s="781"/>
      <c r="O69" s="781"/>
      <c r="P69" s="781"/>
      <c r="Q69" s="781"/>
      <c r="R69" s="781"/>
      <c r="S69" s="781"/>
      <c r="T69" s="781"/>
      <c r="U69" s="781"/>
      <c r="V69" s="781"/>
      <c r="W69" s="781"/>
      <c r="X69" s="781"/>
      <c r="Y69" s="781"/>
      <c r="Z69" s="781"/>
      <c r="AA69" s="781"/>
      <c r="AB69" s="781"/>
      <c r="AC69" s="781"/>
      <c r="AD69" s="781"/>
      <c r="AE69" s="781"/>
      <c r="AF69" s="781"/>
      <c r="AG69" s="781"/>
      <c r="AH69" s="781"/>
      <c r="AI69" s="781"/>
      <c r="AJ69" s="781"/>
      <c r="AK69" s="781"/>
      <c r="AL69" s="781"/>
    </row>
    <row r="70" spans="1:38">
      <c r="A70" s="781"/>
      <c r="B70" s="781"/>
      <c r="C70" s="781"/>
      <c r="D70" s="781"/>
      <c r="E70" s="781"/>
      <c r="F70" s="781"/>
      <c r="G70" s="781"/>
      <c r="H70" s="781"/>
      <c r="I70" s="781"/>
      <c r="J70" s="781"/>
      <c r="K70" s="781"/>
      <c r="L70" s="781"/>
      <c r="M70" s="781"/>
      <c r="N70" s="781"/>
      <c r="O70" s="781"/>
      <c r="P70" s="781"/>
      <c r="Q70" s="781"/>
      <c r="R70" s="781"/>
      <c r="S70" s="781"/>
      <c r="T70" s="781"/>
      <c r="U70" s="781"/>
      <c r="V70" s="781"/>
      <c r="W70" s="781"/>
      <c r="X70" s="781"/>
      <c r="Y70" s="781"/>
      <c r="Z70" s="781"/>
      <c r="AA70" s="781"/>
      <c r="AB70" s="781"/>
      <c r="AC70" s="781"/>
      <c r="AD70" s="781"/>
      <c r="AE70" s="781"/>
      <c r="AF70" s="781"/>
      <c r="AG70" s="781"/>
      <c r="AH70" s="781"/>
      <c r="AI70" s="781"/>
      <c r="AJ70" s="781"/>
      <c r="AK70" s="781"/>
      <c r="AL70" s="781"/>
    </row>
    <row r="71" spans="1:38">
      <c r="A71" s="781"/>
      <c r="B71" s="781"/>
      <c r="C71" s="781"/>
      <c r="D71" s="781"/>
      <c r="E71" s="781"/>
      <c r="F71" s="781"/>
      <c r="G71" s="781"/>
      <c r="H71" s="781"/>
      <c r="I71" s="781"/>
      <c r="J71" s="781"/>
      <c r="K71" s="781"/>
      <c r="L71" s="781"/>
      <c r="M71" s="781"/>
      <c r="N71" s="781"/>
      <c r="O71" s="781"/>
      <c r="P71" s="781"/>
      <c r="Q71" s="781"/>
      <c r="R71" s="781"/>
      <c r="S71" s="781"/>
      <c r="T71" s="781"/>
      <c r="U71" s="781"/>
      <c r="V71" s="781"/>
      <c r="W71" s="781"/>
      <c r="X71" s="781"/>
      <c r="Y71" s="781"/>
      <c r="Z71" s="781"/>
      <c r="AA71" s="781"/>
      <c r="AB71" s="781"/>
      <c r="AC71" s="781"/>
      <c r="AD71" s="781"/>
      <c r="AE71" s="781"/>
      <c r="AF71" s="781"/>
      <c r="AG71" s="781"/>
      <c r="AH71" s="781"/>
      <c r="AI71" s="781"/>
      <c r="AJ71" s="781"/>
      <c r="AK71" s="781"/>
      <c r="AL71" s="781"/>
    </row>
    <row r="72" spans="1:38">
      <c r="A72" s="781"/>
      <c r="B72" s="781"/>
      <c r="C72" s="781"/>
      <c r="D72" s="781"/>
      <c r="E72" s="781"/>
      <c r="F72" s="781"/>
      <c r="G72" s="781"/>
      <c r="H72" s="781"/>
      <c r="I72" s="781"/>
      <c r="J72" s="781"/>
      <c r="K72" s="781"/>
      <c r="L72" s="781"/>
      <c r="M72" s="781"/>
      <c r="N72" s="781"/>
      <c r="O72" s="781"/>
      <c r="P72" s="781"/>
      <c r="Q72" s="781"/>
      <c r="R72" s="781"/>
      <c r="S72" s="781"/>
      <c r="T72" s="781"/>
      <c r="U72" s="781"/>
      <c r="V72" s="781"/>
      <c r="W72" s="781"/>
      <c r="X72" s="781"/>
      <c r="Y72" s="781"/>
      <c r="Z72" s="781"/>
      <c r="AA72" s="781"/>
      <c r="AB72" s="781"/>
      <c r="AC72" s="781"/>
      <c r="AD72" s="781"/>
      <c r="AE72" s="781"/>
      <c r="AF72" s="781"/>
      <c r="AG72" s="781"/>
      <c r="AH72" s="781"/>
      <c r="AI72" s="781"/>
      <c r="AJ72" s="781"/>
      <c r="AK72" s="781"/>
      <c r="AL72" s="781"/>
    </row>
    <row r="73" spans="1:38">
      <c r="A73" s="781"/>
      <c r="B73" s="781"/>
      <c r="C73" s="781"/>
      <c r="D73" s="781"/>
      <c r="E73" s="781"/>
      <c r="F73" s="781"/>
      <c r="G73" s="781"/>
      <c r="H73" s="781"/>
      <c r="I73" s="781"/>
      <c r="J73" s="781"/>
      <c r="K73" s="781"/>
      <c r="L73" s="781"/>
      <c r="M73" s="781"/>
      <c r="N73" s="781"/>
      <c r="O73" s="781"/>
      <c r="P73" s="781"/>
      <c r="Q73" s="781"/>
      <c r="R73" s="781"/>
      <c r="S73" s="781"/>
      <c r="T73" s="781"/>
      <c r="U73" s="781"/>
      <c r="V73" s="781"/>
      <c r="W73" s="781"/>
      <c r="X73" s="781"/>
      <c r="Y73" s="781"/>
      <c r="Z73" s="781"/>
      <c r="AA73" s="781"/>
      <c r="AB73" s="781"/>
      <c r="AC73" s="781"/>
      <c r="AD73" s="781"/>
      <c r="AE73" s="781"/>
      <c r="AF73" s="781"/>
      <c r="AG73" s="781"/>
      <c r="AH73" s="781"/>
      <c r="AI73" s="781"/>
      <c r="AJ73" s="781"/>
      <c r="AK73" s="781"/>
      <c r="AL73" s="781"/>
    </row>
    <row r="74" spans="1:38">
      <c r="A74" s="781"/>
      <c r="B74" s="781"/>
      <c r="C74" s="781"/>
      <c r="D74" s="781"/>
      <c r="E74" s="781"/>
      <c r="F74" s="781"/>
      <c r="G74" s="781"/>
      <c r="H74" s="781"/>
      <c r="I74" s="781"/>
      <c r="J74" s="781"/>
      <c r="K74" s="781"/>
      <c r="L74" s="781"/>
      <c r="M74" s="781"/>
      <c r="N74" s="781"/>
      <c r="O74" s="781"/>
      <c r="P74" s="781"/>
      <c r="Q74" s="781"/>
      <c r="R74" s="781"/>
      <c r="S74" s="781"/>
      <c r="T74" s="781"/>
      <c r="U74" s="781"/>
      <c r="V74" s="781"/>
      <c r="W74" s="781"/>
      <c r="X74" s="781"/>
      <c r="Y74" s="781"/>
      <c r="Z74" s="781"/>
      <c r="AA74" s="781"/>
      <c r="AB74" s="781"/>
      <c r="AC74" s="781"/>
      <c r="AD74" s="781"/>
      <c r="AE74" s="781"/>
      <c r="AF74" s="781"/>
      <c r="AG74" s="781"/>
      <c r="AH74" s="781"/>
      <c r="AI74" s="781"/>
      <c r="AJ74" s="781"/>
      <c r="AK74" s="781"/>
      <c r="AL74" s="781"/>
    </row>
    <row r="75" spans="1:38">
      <c r="A75" s="781"/>
      <c r="B75" s="781"/>
      <c r="C75" s="781"/>
      <c r="D75" s="781"/>
      <c r="E75" s="781"/>
      <c r="F75" s="781"/>
      <c r="G75" s="781"/>
      <c r="H75" s="781"/>
      <c r="I75" s="781"/>
      <c r="J75" s="781"/>
      <c r="K75" s="781"/>
      <c r="L75" s="781"/>
      <c r="M75" s="781"/>
      <c r="N75" s="781"/>
      <c r="O75" s="781"/>
      <c r="P75" s="781"/>
      <c r="Q75" s="781"/>
      <c r="R75" s="781"/>
      <c r="S75" s="781"/>
      <c r="T75" s="781"/>
      <c r="U75" s="781"/>
      <c r="V75" s="781"/>
      <c r="W75" s="781"/>
      <c r="X75" s="781"/>
      <c r="Y75" s="781"/>
      <c r="Z75" s="781"/>
      <c r="AA75" s="781"/>
      <c r="AB75" s="781"/>
      <c r="AC75" s="781"/>
      <c r="AD75" s="781"/>
      <c r="AE75" s="781"/>
      <c r="AF75" s="781"/>
      <c r="AG75" s="781"/>
      <c r="AH75" s="781"/>
      <c r="AI75" s="781"/>
      <c r="AJ75" s="781"/>
      <c r="AK75" s="781"/>
      <c r="AL75" s="781"/>
    </row>
    <row r="76" spans="1:38">
      <c r="A76" s="781"/>
      <c r="B76" s="781"/>
      <c r="C76" s="781"/>
      <c r="D76" s="781"/>
      <c r="E76" s="781"/>
      <c r="F76" s="781"/>
      <c r="G76" s="781"/>
      <c r="H76" s="781"/>
      <c r="I76" s="781"/>
      <c r="J76" s="781"/>
      <c r="K76" s="781"/>
      <c r="L76" s="781"/>
      <c r="M76" s="781"/>
      <c r="N76" s="781"/>
      <c r="O76" s="781"/>
      <c r="P76" s="781"/>
      <c r="Q76" s="781"/>
      <c r="R76" s="781"/>
      <c r="S76" s="781"/>
      <c r="T76" s="781"/>
      <c r="U76" s="781"/>
      <c r="V76" s="781"/>
      <c r="W76" s="781"/>
      <c r="X76" s="781"/>
      <c r="Y76" s="781"/>
      <c r="Z76" s="781"/>
      <c r="AA76" s="781"/>
      <c r="AB76" s="781"/>
      <c r="AC76" s="781"/>
      <c r="AD76" s="781"/>
      <c r="AE76" s="781"/>
      <c r="AF76" s="781"/>
      <c r="AG76" s="781"/>
      <c r="AH76" s="781"/>
      <c r="AI76" s="781"/>
      <c r="AJ76" s="781"/>
      <c r="AK76" s="781"/>
      <c r="AL76" s="781"/>
    </row>
    <row r="77" spans="1:38">
      <c r="A77" s="781"/>
      <c r="B77" s="781"/>
      <c r="C77" s="781"/>
      <c r="D77" s="781"/>
      <c r="E77" s="781"/>
      <c r="F77" s="781"/>
      <c r="G77" s="781"/>
      <c r="H77" s="781"/>
      <c r="I77" s="781"/>
      <c r="J77" s="781"/>
      <c r="K77" s="781"/>
      <c r="L77" s="781"/>
      <c r="M77" s="781"/>
      <c r="N77" s="781"/>
      <c r="O77" s="781"/>
      <c r="P77" s="781"/>
      <c r="Q77" s="781"/>
      <c r="R77" s="781"/>
      <c r="S77" s="781"/>
      <c r="T77" s="781"/>
      <c r="U77" s="781"/>
      <c r="V77" s="781"/>
      <c r="W77" s="781"/>
      <c r="X77" s="781"/>
      <c r="Y77" s="781"/>
      <c r="Z77" s="781"/>
      <c r="AA77" s="781"/>
      <c r="AB77" s="781"/>
      <c r="AC77" s="781"/>
      <c r="AD77" s="781"/>
      <c r="AE77" s="781"/>
      <c r="AF77" s="781"/>
      <c r="AG77" s="781"/>
      <c r="AH77" s="781"/>
      <c r="AI77" s="781"/>
      <c r="AJ77" s="781"/>
      <c r="AK77" s="781"/>
      <c r="AL77" s="781"/>
    </row>
    <row r="78" spans="1:38">
      <c r="A78" s="781"/>
      <c r="B78" s="781"/>
      <c r="C78" s="781"/>
      <c r="D78" s="781"/>
      <c r="E78" s="781"/>
      <c r="F78" s="781"/>
      <c r="G78" s="781"/>
      <c r="H78" s="781"/>
      <c r="I78" s="781"/>
      <c r="J78" s="781"/>
      <c r="K78" s="781"/>
      <c r="L78" s="781"/>
      <c r="M78" s="781"/>
      <c r="N78" s="781"/>
      <c r="O78" s="781"/>
      <c r="P78" s="781"/>
      <c r="Q78" s="781"/>
      <c r="R78" s="781"/>
      <c r="S78" s="781"/>
      <c r="T78" s="781"/>
      <c r="U78" s="781"/>
      <c r="V78" s="781"/>
      <c r="W78" s="781"/>
      <c r="X78" s="781"/>
      <c r="Y78" s="781"/>
      <c r="Z78" s="781"/>
      <c r="AA78" s="781"/>
      <c r="AB78" s="781"/>
      <c r="AC78" s="781"/>
      <c r="AD78" s="781"/>
      <c r="AE78" s="781"/>
      <c r="AF78" s="781"/>
      <c r="AG78" s="781"/>
      <c r="AH78" s="781"/>
      <c r="AI78" s="781"/>
      <c r="AJ78" s="781"/>
      <c r="AK78" s="781"/>
      <c r="AL78" s="781"/>
    </row>
    <row r="79" spans="1:38">
      <c r="A79" s="781"/>
      <c r="B79" s="781"/>
      <c r="C79" s="781"/>
      <c r="D79" s="781"/>
      <c r="E79" s="781"/>
      <c r="F79" s="781"/>
      <c r="G79" s="781"/>
      <c r="H79" s="781"/>
      <c r="I79" s="781"/>
      <c r="J79" s="781"/>
      <c r="K79" s="781"/>
      <c r="L79" s="781"/>
      <c r="M79" s="781"/>
      <c r="N79" s="781"/>
      <c r="O79" s="781"/>
      <c r="P79" s="781"/>
      <c r="Q79" s="781"/>
      <c r="R79" s="781"/>
      <c r="S79" s="781"/>
      <c r="T79" s="781"/>
      <c r="U79" s="781"/>
      <c r="V79" s="781"/>
      <c r="W79" s="781"/>
      <c r="X79" s="781"/>
      <c r="Y79" s="781"/>
      <c r="Z79" s="781"/>
      <c r="AA79" s="781"/>
      <c r="AB79" s="781"/>
      <c r="AC79" s="781"/>
      <c r="AD79" s="781"/>
      <c r="AE79" s="781"/>
      <c r="AF79" s="781"/>
      <c r="AG79" s="781"/>
      <c r="AH79" s="781"/>
      <c r="AI79" s="781"/>
      <c r="AJ79" s="781"/>
      <c r="AK79" s="781"/>
      <c r="AL79" s="781"/>
    </row>
    <row r="80" spans="1:38">
      <c r="A80" s="781"/>
      <c r="B80" s="781"/>
      <c r="C80" s="781"/>
      <c r="D80" s="781"/>
      <c r="E80" s="781"/>
      <c r="F80" s="781"/>
      <c r="G80" s="781"/>
      <c r="H80" s="781"/>
      <c r="I80" s="781"/>
      <c r="J80" s="781"/>
      <c r="K80" s="781"/>
      <c r="L80" s="781"/>
      <c r="M80" s="781"/>
      <c r="N80" s="781"/>
      <c r="O80" s="781"/>
      <c r="P80" s="781"/>
      <c r="Q80" s="781"/>
      <c r="R80" s="781"/>
      <c r="S80" s="781"/>
      <c r="T80" s="781"/>
      <c r="U80" s="781"/>
      <c r="V80" s="781"/>
      <c r="W80" s="781"/>
      <c r="X80" s="781"/>
      <c r="Y80" s="781"/>
      <c r="Z80" s="781"/>
      <c r="AA80" s="781"/>
      <c r="AB80" s="781"/>
      <c r="AC80" s="781"/>
      <c r="AD80" s="781"/>
      <c r="AE80" s="781"/>
      <c r="AF80" s="781"/>
      <c r="AG80" s="781"/>
      <c r="AH80" s="781"/>
      <c r="AI80" s="781"/>
      <c r="AJ80" s="781"/>
      <c r="AK80" s="781"/>
      <c r="AL80" s="781"/>
    </row>
    <row r="81" spans="1:38">
      <c r="A81" s="781"/>
      <c r="B81" s="781"/>
      <c r="C81" s="781"/>
      <c r="D81" s="781"/>
      <c r="E81" s="781"/>
      <c r="F81" s="781"/>
      <c r="G81" s="781"/>
      <c r="H81" s="781"/>
      <c r="I81" s="781"/>
      <c r="J81" s="781"/>
      <c r="K81" s="781"/>
      <c r="L81" s="781"/>
      <c r="M81" s="781"/>
      <c r="N81" s="781"/>
      <c r="O81" s="781"/>
      <c r="P81" s="781"/>
      <c r="Q81" s="781"/>
      <c r="R81" s="781"/>
      <c r="S81" s="781"/>
      <c r="T81" s="781"/>
      <c r="U81" s="781"/>
      <c r="V81" s="781"/>
      <c r="W81" s="781"/>
      <c r="X81" s="781"/>
      <c r="Y81" s="781"/>
      <c r="Z81" s="781"/>
      <c r="AA81" s="781"/>
      <c r="AB81" s="781"/>
      <c r="AC81" s="781"/>
      <c r="AD81" s="781"/>
      <c r="AE81" s="781"/>
      <c r="AF81" s="781"/>
      <c r="AG81" s="781"/>
      <c r="AH81" s="781"/>
      <c r="AI81" s="781"/>
      <c r="AJ81" s="781"/>
      <c r="AK81" s="781"/>
      <c r="AL81" s="781"/>
    </row>
    <row r="82" spans="1:38" ht="138" customHeight="1">
      <c r="A82" s="781"/>
      <c r="B82" s="781"/>
      <c r="C82" s="781"/>
      <c r="D82" s="781"/>
      <c r="E82" s="781"/>
      <c r="F82" s="781"/>
      <c r="G82" s="781"/>
      <c r="H82" s="781"/>
      <c r="I82" s="781"/>
      <c r="J82" s="781"/>
      <c r="K82" s="781"/>
      <c r="L82" s="781"/>
      <c r="M82" s="781"/>
      <c r="N82" s="781"/>
      <c r="O82" s="781"/>
      <c r="P82" s="781"/>
      <c r="Q82" s="781"/>
      <c r="R82" s="781"/>
      <c r="S82" s="781"/>
      <c r="T82" s="781"/>
      <c r="U82" s="781"/>
      <c r="V82" s="781"/>
      <c r="W82" s="781"/>
      <c r="X82" s="781"/>
      <c r="Y82" s="781"/>
      <c r="Z82" s="781"/>
      <c r="AA82" s="781"/>
      <c r="AB82" s="781"/>
      <c r="AC82" s="781"/>
      <c r="AD82" s="781"/>
      <c r="AE82" s="781"/>
      <c r="AF82" s="781"/>
      <c r="AG82" s="781"/>
      <c r="AH82" s="781"/>
      <c r="AI82" s="781"/>
      <c r="AJ82" s="781"/>
      <c r="AK82" s="781"/>
      <c r="AL82" s="781"/>
    </row>
    <row r="83" spans="1:38" ht="3" customHeight="1">
      <c r="A83" s="781" t="s">
        <v>392</v>
      </c>
      <c r="B83" s="781"/>
      <c r="C83" s="781"/>
      <c r="D83" s="781"/>
      <c r="E83" s="781"/>
      <c r="F83" s="781"/>
      <c r="G83" s="781"/>
      <c r="H83" s="781"/>
      <c r="I83" s="781"/>
      <c r="J83" s="781"/>
      <c r="K83" s="781"/>
      <c r="L83" s="781"/>
      <c r="M83" s="781"/>
      <c r="N83" s="781"/>
      <c r="O83" s="781"/>
      <c r="P83" s="781"/>
      <c r="Q83" s="781"/>
      <c r="R83" s="781"/>
      <c r="S83" s="781"/>
      <c r="T83" s="781"/>
      <c r="U83" s="781"/>
      <c r="V83" s="781"/>
      <c r="W83" s="781"/>
      <c r="X83" s="781"/>
      <c r="Y83" s="781"/>
      <c r="Z83" s="781"/>
      <c r="AA83" s="781"/>
      <c r="AB83" s="781"/>
      <c r="AC83" s="781"/>
      <c r="AD83" s="781"/>
      <c r="AE83" s="781"/>
      <c r="AF83" s="781"/>
      <c r="AG83" s="781"/>
      <c r="AH83" s="781"/>
      <c r="AI83" s="781"/>
      <c r="AJ83" s="781"/>
      <c r="AK83" s="781"/>
      <c r="AL83" s="781"/>
    </row>
    <row r="84" spans="1:38">
      <c r="A84" s="781"/>
      <c r="B84" s="781"/>
      <c r="C84" s="781"/>
      <c r="D84" s="781"/>
      <c r="E84" s="781"/>
      <c r="F84" s="781"/>
      <c r="G84" s="781"/>
      <c r="H84" s="781"/>
      <c r="I84" s="781"/>
      <c r="J84" s="781"/>
      <c r="K84" s="781"/>
      <c r="L84" s="781"/>
      <c r="M84" s="781"/>
      <c r="N84" s="781"/>
      <c r="O84" s="781"/>
      <c r="P84" s="781"/>
      <c r="Q84" s="781"/>
      <c r="R84" s="781"/>
      <c r="S84" s="781"/>
      <c r="T84" s="781"/>
      <c r="U84" s="781"/>
      <c r="V84" s="781"/>
      <c r="W84" s="781"/>
      <c r="X84" s="781"/>
      <c r="Y84" s="781"/>
      <c r="Z84" s="781"/>
      <c r="AA84" s="781"/>
      <c r="AB84" s="781"/>
      <c r="AC84" s="781"/>
      <c r="AD84" s="781"/>
      <c r="AE84" s="781"/>
      <c r="AF84" s="781"/>
      <c r="AG84" s="781"/>
      <c r="AH84" s="781"/>
      <c r="AI84" s="781"/>
      <c r="AJ84" s="781"/>
      <c r="AK84" s="781"/>
      <c r="AL84" s="781"/>
    </row>
    <row r="85" spans="1:38">
      <c r="A85" s="781"/>
      <c r="B85" s="781"/>
      <c r="C85" s="781"/>
      <c r="D85" s="781"/>
      <c r="E85" s="781"/>
      <c r="F85" s="781"/>
      <c r="G85" s="781"/>
      <c r="H85" s="781"/>
      <c r="I85" s="781"/>
      <c r="J85" s="781"/>
      <c r="K85" s="781"/>
      <c r="L85" s="781"/>
      <c r="M85" s="781"/>
      <c r="N85" s="781"/>
      <c r="O85" s="781"/>
      <c r="P85" s="781"/>
      <c r="Q85" s="781"/>
      <c r="R85" s="781"/>
      <c r="S85" s="781"/>
      <c r="T85" s="781"/>
      <c r="U85" s="781"/>
      <c r="V85" s="781"/>
      <c r="W85" s="781"/>
      <c r="X85" s="781"/>
      <c r="Y85" s="781"/>
      <c r="Z85" s="781"/>
      <c r="AA85" s="781"/>
      <c r="AB85" s="781"/>
      <c r="AC85" s="781"/>
      <c r="AD85" s="781"/>
      <c r="AE85" s="781"/>
      <c r="AF85" s="781"/>
      <c r="AG85" s="781"/>
      <c r="AH85" s="781"/>
      <c r="AI85" s="781"/>
      <c r="AJ85" s="781"/>
      <c r="AK85" s="781"/>
      <c r="AL85" s="781"/>
    </row>
    <row r="86" spans="1:38" ht="57.6" customHeight="1">
      <c r="A86" s="781"/>
      <c r="B86" s="781"/>
      <c r="C86" s="781"/>
      <c r="D86" s="781"/>
      <c r="E86" s="781"/>
      <c r="F86" s="781"/>
      <c r="G86" s="781"/>
      <c r="H86" s="781"/>
      <c r="I86" s="781"/>
      <c r="J86" s="781"/>
      <c r="K86" s="781"/>
      <c r="L86" s="781"/>
      <c r="M86" s="781"/>
      <c r="N86" s="781"/>
      <c r="O86" s="781"/>
      <c r="P86" s="781"/>
      <c r="Q86" s="781"/>
      <c r="R86" s="781"/>
      <c r="S86" s="781"/>
      <c r="T86" s="781"/>
      <c r="U86" s="781"/>
      <c r="V86" s="781"/>
      <c r="W86" s="781"/>
      <c r="X86" s="781"/>
      <c r="Y86" s="781"/>
      <c r="Z86" s="781"/>
      <c r="AA86" s="781"/>
      <c r="AB86" s="781"/>
      <c r="AC86" s="781"/>
      <c r="AD86" s="781"/>
      <c r="AE86" s="781"/>
      <c r="AF86" s="781"/>
      <c r="AG86" s="781"/>
      <c r="AH86" s="781"/>
      <c r="AI86" s="781"/>
      <c r="AJ86" s="781"/>
      <c r="AK86" s="781"/>
      <c r="AL86" s="781"/>
    </row>
    <row r="87" spans="1:38" ht="16.2" customHeight="1">
      <c r="A87" s="781" t="s">
        <v>393</v>
      </c>
      <c r="B87" s="781"/>
      <c r="C87" s="781"/>
      <c r="D87" s="781"/>
      <c r="E87" s="781"/>
      <c r="F87" s="781"/>
      <c r="G87" s="781"/>
      <c r="H87" s="781"/>
      <c r="I87" s="781"/>
      <c r="J87" s="781"/>
      <c r="K87" s="781"/>
      <c r="L87" s="781"/>
      <c r="M87" s="781"/>
      <c r="N87" s="781"/>
      <c r="O87" s="781"/>
      <c r="P87" s="781"/>
      <c r="Q87" s="781"/>
      <c r="R87" s="781"/>
      <c r="S87" s="781"/>
      <c r="T87" s="781"/>
      <c r="U87" s="781"/>
      <c r="V87" s="781"/>
      <c r="W87" s="781"/>
      <c r="X87" s="781"/>
      <c r="Y87" s="781"/>
      <c r="Z87" s="781"/>
      <c r="AA87" s="781"/>
      <c r="AB87" s="781"/>
      <c r="AC87" s="781"/>
      <c r="AD87" s="781"/>
      <c r="AE87" s="781"/>
      <c r="AF87" s="781"/>
      <c r="AG87" s="781"/>
      <c r="AH87" s="781"/>
      <c r="AI87" s="781"/>
      <c r="AJ87" s="781"/>
      <c r="AK87" s="781"/>
      <c r="AL87" s="781"/>
    </row>
    <row r="88" spans="1:38">
      <c r="A88" s="781"/>
      <c r="B88" s="781"/>
      <c r="C88" s="781"/>
      <c r="D88" s="781"/>
      <c r="E88" s="781"/>
      <c r="F88" s="781"/>
      <c r="G88" s="781"/>
      <c r="H88" s="781"/>
      <c r="I88" s="781"/>
      <c r="J88" s="781"/>
      <c r="K88" s="781"/>
      <c r="L88" s="781"/>
      <c r="M88" s="781"/>
      <c r="N88" s="781"/>
      <c r="O88" s="781"/>
      <c r="P88" s="781"/>
      <c r="Q88" s="781"/>
      <c r="R88" s="781"/>
      <c r="S88" s="781"/>
      <c r="T88" s="781"/>
      <c r="U88" s="781"/>
      <c r="V88" s="781"/>
      <c r="W88" s="781"/>
      <c r="X88" s="781"/>
      <c r="Y88" s="781"/>
      <c r="Z88" s="781"/>
      <c r="AA88" s="781"/>
      <c r="AB88" s="781"/>
      <c r="AC88" s="781"/>
      <c r="AD88" s="781"/>
      <c r="AE88" s="781"/>
      <c r="AF88" s="781"/>
      <c r="AG88" s="781"/>
      <c r="AH88" s="781"/>
      <c r="AI88" s="781"/>
      <c r="AJ88" s="781"/>
      <c r="AK88" s="781"/>
      <c r="AL88" s="781"/>
    </row>
    <row r="89" spans="1:38" ht="73.2" customHeight="1">
      <c r="A89" s="781"/>
      <c r="B89" s="781"/>
      <c r="C89" s="781"/>
      <c r="D89" s="781"/>
      <c r="E89" s="781"/>
      <c r="F89" s="781"/>
      <c r="G89" s="781"/>
      <c r="H89" s="781"/>
      <c r="I89" s="781"/>
      <c r="J89" s="781"/>
      <c r="K89" s="781"/>
      <c r="L89" s="781"/>
      <c r="M89" s="781"/>
      <c r="N89" s="781"/>
      <c r="O89" s="781"/>
      <c r="P89" s="781"/>
      <c r="Q89" s="781"/>
      <c r="R89" s="781"/>
      <c r="S89" s="781"/>
      <c r="T89" s="781"/>
      <c r="U89" s="781"/>
      <c r="V89" s="781"/>
      <c r="W89" s="781"/>
      <c r="X89" s="781"/>
      <c r="Y89" s="781"/>
      <c r="Z89" s="781"/>
      <c r="AA89" s="781"/>
      <c r="AB89" s="781"/>
      <c r="AC89" s="781"/>
      <c r="AD89" s="781"/>
      <c r="AE89" s="781"/>
      <c r="AF89" s="781"/>
      <c r="AG89" s="781"/>
      <c r="AH89" s="781"/>
      <c r="AI89" s="781"/>
      <c r="AJ89" s="781"/>
      <c r="AK89" s="781"/>
      <c r="AL89" s="781"/>
    </row>
    <row r="90" spans="1:38" ht="99" customHeight="1">
      <c r="A90" s="781" t="s">
        <v>394</v>
      </c>
      <c r="B90" s="781"/>
      <c r="C90" s="781"/>
      <c r="D90" s="781"/>
      <c r="E90" s="781"/>
      <c r="F90" s="781"/>
      <c r="G90" s="781"/>
      <c r="H90" s="781"/>
      <c r="I90" s="781"/>
      <c r="J90" s="781"/>
      <c r="K90" s="781"/>
      <c r="L90" s="781"/>
      <c r="M90" s="781"/>
      <c r="N90" s="781"/>
      <c r="O90" s="781"/>
      <c r="P90" s="781"/>
      <c r="Q90" s="781"/>
      <c r="R90" s="781"/>
      <c r="S90" s="781"/>
      <c r="T90" s="781"/>
      <c r="U90" s="781"/>
      <c r="V90" s="781"/>
      <c r="W90" s="781"/>
      <c r="X90" s="781"/>
      <c r="Y90" s="781"/>
      <c r="Z90" s="781"/>
      <c r="AA90" s="781"/>
      <c r="AB90" s="781"/>
      <c r="AC90" s="781"/>
      <c r="AD90" s="781"/>
      <c r="AE90" s="781"/>
      <c r="AF90" s="781"/>
      <c r="AG90" s="781"/>
      <c r="AH90" s="781"/>
      <c r="AI90" s="781"/>
      <c r="AJ90" s="781"/>
      <c r="AK90" s="781"/>
      <c r="AL90" s="781"/>
    </row>
    <row r="91" spans="1:38">
      <c r="A91" s="781"/>
      <c r="B91" s="781"/>
      <c r="C91" s="781"/>
      <c r="D91" s="781"/>
      <c r="E91" s="781"/>
      <c r="F91" s="781"/>
      <c r="G91" s="781"/>
      <c r="H91" s="781"/>
      <c r="I91" s="781"/>
      <c r="J91" s="781"/>
      <c r="K91" s="781"/>
      <c r="L91" s="781"/>
      <c r="M91" s="781"/>
      <c r="N91" s="781"/>
      <c r="O91" s="781"/>
      <c r="P91" s="781"/>
      <c r="Q91" s="781"/>
      <c r="R91" s="781"/>
      <c r="S91" s="781"/>
      <c r="T91" s="781"/>
      <c r="U91" s="781"/>
      <c r="V91" s="781"/>
      <c r="W91" s="781"/>
      <c r="X91" s="781"/>
      <c r="Y91" s="781"/>
      <c r="Z91" s="781"/>
      <c r="AA91" s="781"/>
      <c r="AB91" s="781"/>
      <c r="AC91" s="781"/>
      <c r="AD91" s="781"/>
      <c r="AE91" s="781"/>
      <c r="AF91" s="781"/>
      <c r="AG91" s="781"/>
      <c r="AH91" s="781"/>
      <c r="AI91" s="781"/>
      <c r="AJ91" s="781"/>
      <c r="AK91" s="781"/>
      <c r="AL91" s="781"/>
    </row>
    <row r="92" spans="1:38">
      <c r="A92" s="781"/>
      <c r="B92" s="781"/>
      <c r="C92" s="781"/>
      <c r="D92" s="781"/>
      <c r="E92" s="781"/>
      <c r="F92" s="781"/>
      <c r="G92" s="781"/>
      <c r="H92" s="781"/>
      <c r="I92" s="781"/>
      <c r="J92" s="781"/>
      <c r="K92" s="781"/>
      <c r="L92" s="781"/>
      <c r="M92" s="781"/>
      <c r="N92" s="781"/>
      <c r="O92" s="781"/>
      <c r="P92" s="781"/>
      <c r="Q92" s="781"/>
      <c r="R92" s="781"/>
      <c r="S92" s="781"/>
      <c r="T92" s="781"/>
      <c r="U92" s="781"/>
      <c r="V92" s="781"/>
      <c r="W92" s="781"/>
      <c r="X92" s="781"/>
      <c r="Y92" s="781"/>
      <c r="Z92" s="781"/>
      <c r="AA92" s="781"/>
      <c r="AB92" s="781"/>
      <c r="AC92" s="781"/>
      <c r="AD92" s="781"/>
      <c r="AE92" s="781"/>
      <c r="AF92" s="781"/>
      <c r="AG92" s="781"/>
      <c r="AH92" s="781"/>
      <c r="AI92" s="781"/>
      <c r="AJ92" s="781"/>
      <c r="AK92" s="781"/>
      <c r="AL92" s="781"/>
    </row>
    <row r="93" spans="1:38">
      <c r="A93" s="781"/>
      <c r="B93" s="781"/>
      <c r="C93" s="781"/>
      <c r="D93" s="781"/>
      <c r="E93" s="781"/>
      <c r="F93" s="781"/>
      <c r="G93" s="781"/>
      <c r="H93" s="781"/>
      <c r="I93" s="781"/>
      <c r="J93" s="781"/>
      <c r="K93" s="781"/>
      <c r="L93" s="781"/>
      <c r="M93" s="781"/>
      <c r="N93" s="781"/>
      <c r="O93" s="781"/>
      <c r="P93" s="781"/>
      <c r="Q93" s="781"/>
      <c r="R93" s="781"/>
      <c r="S93" s="781"/>
      <c r="T93" s="781"/>
      <c r="U93" s="781"/>
      <c r="V93" s="781"/>
      <c r="W93" s="781"/>
      <c r="X93" s="781"/>
      <c r="Y93" s="781"/>
      <c r="Z93" s="781"/>
      <c r="AA93" s="781"/>
      <c r="AB93" s="781"/>
      <c r="AC93" s="781"/>
      <c r="AD93" s="781"/>
      <c r="AE93" s="781"/>
      <c r="AF93" s="781"/>
      <c r="AG93" s="781"/>
      <c r="AH93" s="781"/>
      <c r="AI93" s="781"/>
      <c r="AJ93" s="781"/>
      <c r="AK93" s="781"/>
      <c r="AL93" s="781"/>
    </row>
    <row r="94" spans="1:38">
      <c r="A94" s="781"/>
      <c r="B94" s="781"/>
      <c r="C94" s="781"/>
      <c r="D94" s="781"/>
      <c r="E94" s="781"/>
      <c r="F94" s="781"/>
      <c r="G94" s="781"/>
      <c r="H94" s="781"/>
      <c r="I94" s="781"/>
      <c r="J94" s="781"/>
      <c r="K94" s="781"/>
      <c r="L94" s="781"/>
      <c r="M94" s="781"/>
      <c r="N94" s="781"/>
      <c r="O94" s="781"/>
      <c r="P94" s="781"/>
      <c r="Q94" s="781"/>
      <c r="R94" s="781"/>
      <c r="S94" s="781"/>
      <c r="T94" s="781"/>
      <c r="U94" s="781"/>
      <c r="V94" s="781"/>
      <c r="W94" s="781"/>
      <c r="X94" s="781"/>
      <c r="Y94" s="781"/>
      <c r="Z94" s="781"/>
      <c r="AA94" s="781"/>
      <c r="AB94" s="781"/>
      <c r="AC94" s="781"/>
      <c r="AD94" s="781"/>
      <c r="AE94" s="781"/>
      <c r="AF94" s="781"/>
      <c r="AG94" s="781"/>
      <c r="AH94" s="781"/>
      <c r="AI94" s="781"/>
      <c r="AJ94" s="781"/>
      <c r="AK94" s="781"/>
      <c r="AL94" s="781"/>
    </row>
    <row r="95" spans="1:38">
      <c r="A95" s="781"/>
      <c r="B95" s="781"/>
      <c r="C95" s="781"/>
      <c r="D95" s="781"/>
      <c r="E95" s="781"/>
      <c r="F95" s="781"/>
      <c r="G95" s="781"/>
      <c r="H95" s="781"/>
      <c r="I95" s="781"/>
      <c r="J95" s="781"/>
      <c r="K95" s="781"/>
      <c r="L95" s="781"/>
      <c r="M95" s="781"/>
      <c r="N95" s="781"/>
      <c r="O95" s="781"/>
      <c r="P95" s="781"/>
      <c r="Q95" s="781"/>
      <c r="R95" s="781"/>
      <c r="S95" s="781"/>
      <c r="T95" s="781"/>
      <c r="U95" s="781"/>
      <c r="V95" s="781"/>
      <c r="W95" s="781"/>
      <c r="X95" s="781"/>
      <c r="Y95" s="781"/>
      <c r="Z95" s="781"/>
      <c r="AA95" s="781"/>
      <c r="AB95" s="781"/>
      <c r="AC95" s="781"/>
      <c r="AD95" s="781"/>
      <c r="AE95" s="781"/>
      <c r="AF95" s="781"/>
      <c r="AG95" s="781"/>
      <c r="AH95" s="781"/>
      <c r="AI95" s="781"/>
      <c r="AJ95" s="781"/>
      <c r="AK95" s="781"/>
      <c r="AL95" s="781"/>
    </row>
    <row r="96" spans="1:38" ht="29.4" customHeight="1">
      <c r="A96" s="781"/>
      <c r="B96" s="781"/>
      <c r="C96" s="781"/>
      <c r="D96" s="781"/>
      <c r="E96" s="781"/>
      <c r="F96" s="781"/>
      <c r="G96" s="781"/>
      <c r="H96" s="781"/>
      <c r="I96" s="781"/>
      <c r="J96" s="781"/>
      <c r="K96" s="781"/>
      <c r="L96" s="781"/>
      <c r="M96" s="781"/>
      <c r="N96" s="781"/>
      <c r="O96" s="781"/>
      <c r="P96" s="781"/>
      <c r="Q96" s="781"/>
      <c r="R96" s="781"/>
      <c r="S96" s="781"/>
      <c r="T96" s="781"/>
      <c r="U96" s="781"/>
      <c r="V96" s="781"/>
      <c r="W96" s="781"/>
      <c r="X96" s="781"/>
      <c r="Y96" s="781"/>
      <c r="Z96" s="781"/>
      <c r="AA96" s="781"/>
      <c r="AB96" s="781"/>
      <c r="AC96" s="781"/>
      <c r="AD96" s="781"/>
      <c r="AE96" s="781"/>
      <c r="AF96" s="781"/>
      <c r="AG96" s="781"/>
      <c r="AH96" s="781"/>
      <c r="AI96" s="781"/>
      <c r="AJ96" s="781"/>
      <c r="AK96" s="781"/>
      <c r="AL96" s="781"/>
    </row>
    <row r="97" spans="1:38" ht="10.199999999999999" customHeight="1">
      <c r="A97" s="781" t="s">
        <v>395</v>
      </c>
      <c r="B97" s="781"/>
      <c r="C97" s="781"/>
      <c r="D97" s="781"/>
      <c r="E97" s="781"/>
      <c r="F97" s="781"/>
      <c r="G97" s="781"/>
      <c r="H97" s="781"/>
      <c r="I97" s="781"/>
      <c r="J97" s="781"/>
      <c r="K97" s="781"/>
      <c r="L97" s="781"/>
      <c r="M97" s="781"/>
      <c r="N97" s="781"/>
      <c r="O97" s="781"/>
      <c r="P97" s="781"/>
      <c r="Q97" s="781"/>
      <c r="R97" s="781"/>
      <c r="S97" s="781"/>
      <c r="T97" s="781"/>
      <c r="U97" s="781"/>
      <c r="V97" s="781"/>
      <c r="W97" s="781"/>
      <c r="X97" s="781"/>
      <c r="Y97" s="781"/>
      <c r="Z97" s="781"/>
      <c r="AA97" s="781"/>
      <c r="AB97" s="781"/>
      <c r="AC97" s="781"/>
      <c r="AD97" s="781"/>
      <c r="AE97" s="781"/>
      <c r="AF97" s="781"/>
      <c r="AG97" s="781"/>
      <c r="AH97" s="781"/>
      <c r="AI97" s="781"/>
      <c r="AJ97" s="781"/>
      <c r="AK97" s="781"/>
      <c r="AL97" s="781"/>
    </row>
    <row r="98" spans="1:38">
      <c r="A98" s="781"/>
      <c r="B98" s="781"/>
      <c r="C98" s="781"/>
      <c r="D98" s="781"/>
      <c r="E98" s="781"/>
      <c r="F98" s="781"/>
      <c r="G98" s="781"/>
      <c r="H98" s="781"/>
      <c r="I98" s="781"/>
      <c r="J98" s="781"/>
      <c r="K98" s="781"/>
      <c r="L98" s="781"/>
      <c r="M98" s="781"/>
      <c r="N98" s="781"/>
      <c r="O98" s="781"/>
      <c r="P98" s="781"/>
      <c r="Q98" s="781"/>
      <c r="R98" s="781"/>
      <c r="S98" s="781"/>
      <c r="T98" s="781"/>
      <c r="U98" s="781"/>
      <c r="V98" s="781"/>
      <c r="W98" s="781"/>
      <c r="X98" s="781"/>
      <c r="Y98" s="781"/>
      <c r="Z98" s="781"/>
      <c r="AA98" s="781"/>
      <c r="AB98" s="781"/>
      <c r="AC98" s="781"/>
      <c r="AD98" s="781"/>
      <c r="AE98" s="781"/>
      <c r="AF98" s="781"/>
      <c r="AG98" s="781"/>
      <c r="AH98" s="781"/>
      <c r="AI98" s="781"/>
      <c r="AJ98" s="781"/>
      <c r="AK98" s="781"/>
      <c r="AL98" s="781"/>
    </row>
    <row r="99" spans="1:38">
      <c r="A99" s="781"/>
      <c r="B99" s="781"/>
      <c r="C99" s="781"/>
      <c r="D99" s="781"/>
      <c r="E99" s="781"/>
      <c r="F99" s="781"/>
      <c r="G99" s="781"/>
      <c r="H99" s="781"/>
      <c r="I99" s="781"/>
      <c r="J99" s="781"/>
      <c r="K99" s="781"/>
      <c r="L99" s="781"/>
      <c r="M99" s="781"/>
      <c r="N99" s="781"/>
      <c r="O99" s="781"/>
      <c r="P99" s="781"/>
      <c r="Q99" s="781"/>
      <c r="R99" s="781"/>
      <c r="S99" s="781"/>
      <c r="T99" s="781"/>
      <c r="U99" s="781"/>
      <c r="V99" s="781"/>
      <c r="W99" s="781"/>
      <c r="X99" s="781"/>
      <c r="Y99" s="781"/>
      <c r="Z99" s="781"/>
      <c r="AA99" s="781"/>
      <c r="AB99" s="781"/>
      <c r="AC99" s="781"/>
      <c r="AD99" s="781"/>
      <c r="AE99" s="781"/>
      <c r="AF99" s="781"/>
      <c r="AG99" s="781"/>
      <c r="AH99" s="781"/>
      <c r="AI99" s="781"/>
      <c r="AJ99" s="781"/>
      <c r="AK99" s="781"/>
      <c r="AL99" s="781"/>
    </row>
    <row r="100" spans="1:38" ht="36.6" customHeight="1">
      <c r="A100" s="781"/>
      <c r="B100" s="781"/>
      <c r="C100" s="781"/>
      <c r="D100" s="781"/>
      <c r="E100" s="781"/>
      <c r="F100" s="781"/>
      <c r="G100" s="781"/>
      <c r="H100" s="781"/>
      <c r="I100" s="781"/>
      <c r="J100" s="781"/>
      <c r="K100" s="781"/>
      <c r="L100" s="781"/>
      <c r="M100" s="781"/>
      <c r="N100" s="781"/>
      <c r="O100" s="781"/>
      <c r="P100" s="781"/>
      <c r="Q100" s="781"/>
      <c r="R100" s="781"/>
      <c r="S100" s="781"/>
      <c r="T100" s="781"/>
      <c r="U100" s="781"/>
      <c r="V100" s="781"/>
      <c r="W100" s="781"/>
      <c r="X100" s="781"/>
      <c r="Y100" s="781"/>
      <c r="Z100" s="781"/>
      <c r="AA100" s="781"/>
      <c r="AB100" s="781"/>
      <c r="AC100" s="781"/>
      <c r="AD100" s="781"/>
      <c r="AE100" s="781"/>
      <c r="AF100" s="781"/>
      <c r="AG100" s="781"/>
      <c r="AH100" s="781"/>
      <c r="AI100" s="781"/>
      <c r="AJ100" s="781"/>
      <c r="AK100" s="781"/>
      <c r="AL100" s="781"/>
    </row>
  </sheetData>
  <mergeCells count="101">
    <mergeCell ref="A2:W2"/>
    <mergeCell ref="B4:AL4"/>
    <mergeCell ref="B6:F6"/>
    <mergeCell ref="G6:N6"/>
    <mergeCell ref="O6:T6"/>
    <mergeCell ref="U6:AL6"/>
    <mergeCell ref="B11:D11"/>
    <mergeCell ref="E11:H11"/>
    <mergeCell ref="O11:AK12"/>
    <mergeCell ref="AL11:AL12"/>
    <mergeCell ref="B12:N12"/>
    <mergeCell ref="B13:N13"/>
    <mergeCell ref="O13:AK13"/>
    <mergeCell ref="B7:N7"/>
    <mergeCell ref="O7:AI8"/>
    <mergeCell ref="AJ7:AK8"/>
    <mergeCell ref="AL7:AL8"/>
    <mergeCell ref="C8:M8"/>
    <mergeCell ref="B9:D9"/>
    <mergeCell ref="E9:N9"/>
    <mergeCell ref="O9:AK10"/>
    <mergeCell ref="AL9:AL10"/>
    <mergeCell ref="B10:N10"/>
    <mergeCell ref="B14:N15"/>
    <mergeCell ref="O14:Z14"/>
    <mergeCell ref="AA14:AL15"/>
    <mergeCell ref="O15:T15"/>
    <mergeCell ref="U15:Z15"/>
    <mergeCell ref="B16:N16"/>
    <mergeCell ref="O16:S16"/>
    <mergeCell ref="U16:Y16"/>
    <mergeCell ref="AA16:AK16"/>
    <mergeCell ref="B17:N17"/>
    <mergeCell ref="O17:S17"/>
    <mergeCell ref="U17:Y17"/>
    <mergeCell ref="AA17:AK17"/>
    <mergeCell ref="B18:N18"/>
    <mergeCell ref="O18:S20"/>
    <mergeCell ref="T18:T20"/>
    <mergeCell ref="U18:Y20"/>
    <mergeCell ref="Z18:Z20"/>
    <mergeCell ref="AA18:AK20"/>
    <mergeCell ref="AL18:AL20"/>
    <mergeCell ref="C19:F19"/>
    <mergeCell ref="G19:H19"/>
    <mergeCell ref="B20:N20"/>
    <mergeCell ref="B21:N23"/>
    <mergeCell ref="O21:T21"/>
    <mergeCell ref="U21:Z21"/>
    <mergeCell ref="AA21:AL21"/>
    <mergeCell ref="O22:T23"/>
    <mergeCell ref="U22:Z23"/>
    <mergeCell ref="AA22:AL23"/>
    <mergeCell ref="B24:N24"/>
    <mergeCell ref="O24:T24"/>
    <mergeCell ref="U24:Z24"/>
    <mergeCell ref="AA24:AL24"/>
    <mergeCell ref="B25:N25"/>
    <mergeCell ref="O25:T26"/>
    <mergeCell ref="U25:Z26"/>
    <mergeCell ref="AA25:AK26"/>
    <mergeCell ref="AL25:AL26"/>
    <mergeCell ref="AA27:AK27"/>
    <mergeCell ref="B28:N28"/>
    <mergeCell ref="P28:Y28"/>
    <mergeCell ref="AB28:AK28"/>
    <mergeCell ref="B29:N29"/>
    <mergeCell ref="O29:AK29"/>
    <mergeCell ref="C26:F26"/>
    <mergeCell ref="G26:H26"/>
    <mergeCell ref="I26:N26"/>
    <mergeCell ref="B27:N27"/>
    <mergeCell ref="O27:S27"/>
    <mergeCell ref="U27:Y27"/>
    <mergeCell ref="O34:AK34"/>
    <mergeCell ref="J35:N36"/>
    <mergeCell ref="O35:S35"/>
    <mergeCell ref="U35:Y35"/>
    <mergeCell ref="AA35:AK35"/>
    <mergeCell ref="O36:AK36"/>
    <mergeCell ref="B30:AL30"/>
    <mergeCell ref="B32:I36"/>
    <mergeCell ref="J32:N32"/>
    <mergeCell ref="O32:S32"/>
    <mergeCell ref="U32:Y32"/>
    <mergeCell ref="AA32:AK32"/>
    <mergeCell ref="J33:N34"/>
    <mergeCell ref="O33:S33"/>
    <mergeCell ref="U33:Y33"/>
    <mergeCell ref="AA33:AK33"/>
    <mergeCell ref="A64:AL82"/>
    <mergeCell ref="A83:AL86"/>
    <mergeCell ref="A87:AL89"/>
    <mergeCell ref="A90:AL96"/>
    <mergeCell ref="A97:AL100"/>
    <mergeCell ref="A37:AL37"/>
    <mergeCell ref="A38:AL49"/>
    <mergeCell ref="D50:S50"/>
    <mergeCell ref="T50:X51"/>
    <mergeCell ref="M51:O51"/>
    <mergeCell ref="A52:AL63"/>
  </mergeCells>
  <phoneticPr fontId="2"/>
  <dataValidations disablePrompts="1" count="2">
    <dataValidation type="list" allowBlank="1" showInputMessage="1" showErrorMessage="1" sqref="G26:H26">
      <formula1>"1800,2400"</formula1>
    </dataValidation>
    <dataValidation type="list" allowBlank="1" showInputMessage="1" showErrorMessage="1" sqref="G19:H19">
      <formula1>$AO$19:$AO$22</formula1>
    </dataValidation>
  </dataValidations>
  <printOptions horizontalCentered="1"/>
  <pageMargins left="0.78740157480314965" right="0.78740157480314965" top="0.39370078740157483" bottom="0" header="0" footer="0"/>
  <pageSetup paperSize="9" scale="51" orientation="portrait" verticalDpi="360" r:id="rId1"/>
  <rowBreaks count="1" manualBreakCount="1">
    <brk id="37" max="16383" man="1"/>
  </row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9"/>
  <sheetViews>
    <sheetView view="pageBreakPreview" zoomScaleNormal="100" zoomScaleSheetLayoutView="100" workbookViewId="0"/>
  </sheetViews>
  <sheetFormatPr defaultRowHeight="13.2"/>
  <cols>
    <col min="1" max="1" width="6.44140625" customWidth="1" collapsed="1"/>
    <col min="2" max="2" width="10.109375" customWidth="1" collapsed="1"/>
    <col min="3" max="3" width="37.33203125" customWidth="1" collapsed="1"/>
    <col min="4" max="4" width="10.109375" customWidth="1" collapsed="1"/>
    <col min="5" max="5" width="4.88671875" customWidth="1" collapsed="1"/>
  </cols>
  <sheetData>
    <row r="1" spans="2:4" ht="19.5" customHeight="1">
      <c r="D1" s="106" t="s">
        <v>247</v>
      </c>
    </row>
    <row r="2" spans="2:4" ht="49.5" customHeight="1"/>
    <row r="3" spans="2:4" ht="82.5" customHeight="1">
      <c r="C3" s="107" t="s">
        <v>248</v>
      </c>
    </row>
    <row r="4" spans="2:4" ht="80.25" customHeight="1"/>
    <row r="5" spans="2:4">
      <c r="B5" t="s">
        <v>249</v>
      </c>
    </row>
    <row r="6" spans="2:4" ht="75" customHeight="1"/>
    <row r="7" spans="2:4" ht="26.25" customHeight="1">
      <c r="B7" s="69" t="s">
        <v>250</v>
      </c>
      <c r="C7" s="69">
        <f>dataSheet!AC2</f>
        <v>0</v>
      </c>
      <c r="D7" s="108"/>
    </row>
    <row r="8" spans="2:4" ht="26.25" customHeight="1">
      <c r="B8" s="69" t="s">
        <v>251</v>
      </c>
      <c r="C8" s="69">
        <f>dataSheet!H2</f>
        <v>0</v>
      </c>
      <c r="D8" s="69"/>
    </row>
    <row r="9" spans="2:4" ht="26.25" customHeight="1">
      <c r="B9" s="109" t="s">
        <v>252</v>
      </c>
      <c r="C9" s="109"/>
      <c r="D9" s="108" t="s">
        <v>13</v>
      </c>
    </row>
  </sheetData>
  <phoneticPr fontId="2"/>
  <pageMargins left="0.7" right="0.7" top="0.75" bottom="0.75" header="0.3" footer="0.3"/>
  <pageSetup paperSize="9" scale="116" orientation="portrait" verticalDpi="36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K37"/>
  <sheetViews>
    <sheetView view="pageBreakPreview" zoomScaleNormal="100" zoomScaleSheetLayoutView="100" workbookViewId="0">
      <selection activeCell="J2" sqref="J2:K2"/>
    </sheetView>
  </sheetViews>
  <sheetFormatPr defaultColWidth="9" defaultRowHeight="17.399999999999999"/>
  <cols>
    <col min="1" max="1" width="5.6640625" style="304" customWidth="1" collapsed="1"/>
    <col min="2" max="2" width="5.6640625" style="304" hidden="1" customWidth="1" collapsed="1"/>
    <col min="3" max="3" width="3.109375" style="304" customWidth="1" collapsed="1"/>
    <col min="4" max="4" width="24.6640625" style="304" customWidth="1" collapsed="1"/>
    <col min="5" max="5" width="3.77734375" style="304" customWidth="1" collapsed="1"/>
    <col min="6" max="6" width="24.6640625" style="304" customWidth="1" collapsed="1"/>
    <col min="7" max="7" width="14.6640625" style="304" customWidth="1" collapsed="1"/>
    <col min="8" max="8" width="7.88671875" style="304" customWidth="1" collapsed="1"/>
    <col min="9" max="10" width="19.6640625" style="304" customWidth="1" collapsed="1"/>
    <col min="11" max="11" width="6.109375" style="304" customWidth="1" collapsed="1"/>
    <col min="12" max="16384" width="9" style="304" collapsed="1"/>
  </cols>
  <sheetData>
    <row r="2" spans="1:11" ht="18.75" customHeight="1">
      <c r="C2" s="305"/>
      <c r="D2" s="305"/>
      <c r="E2" s="305"/>
      <c r="F2" s="305"/>
      <c r="G2" s="305"/>
      <c r="H2" s="305"/>
      <c r="I2" s="305"/>
      <c r="J2" s="947">
        <f>dataSheet!AE2</f>
        <v>0</v>
      </c>
      <c r="K2" s="947"/>
    </row>
    <row r="3" spans="1:11">
      <c r="I3" s="306"/>
      <c r="J3" s="948"/>
      <c r="K3" s="948"/>
    </row>
    <row r="4" spans="1:11">
      <c r="J4" s="949"/>
      <c r="K4" s="932"/>
    </row>
    <row r="5" spans="1:11" ht="26.4">
      <c r="C5" s="950">
        <f>dataSheet!H2</f>
        <v>0</v>
      </c>
      <c r="D5" s="950"/>
      <c r="E5" s="950"/>
      <c r="F5" s="950"/>
      <c r="G5" s="950"/>
    </row>
    <row r="6" spans="1:11" ht="26.4">
      <c r="C6" s="307"/>
      <c r="D6" s="307"/>
      <c r="E6" s="307"/>
      <c r="F6" s="307"/>
      <c r="G6" s="307"/>
    </row>
    <row r="7" spans="1:11">
      <c r="I7" s="946" t="s">
        <v>524</v>
      </c>
      <c r="J7" s="946"/>
    </row>
    <row r="8" spans="1:11">
      <c r="I8" s="946" t="s">
        <v>575</v>
      </c>
      <c r="J8" s="946"/>
    </row>
    <row r="9" spans="1:11">
      <c r="I9" s="356" t="s">
        <v>576</v>
      </c>
      <c r="J9" s="356"/>
    </row>
    <row r="10" spans="1:11">
      <c r="I10" s="357" t="s">
        <v>577</v>
      </c>
      <c r="J10" s="357"/>
    </row>
    <row r="11" spans="1:11" ht="20.25" customHeight="1">
      <c r="I11" s="945" t="s">
        <v>578</v>
      </c>
      <c r="J11" s="945"/>
    </row>
    <row r="12" spans="1:11" ht="31.8">
      <c r="A12" s="931" t="s">
        <v>525</v>
      </c>
      <c r="B12" s="931"/>
      <c r="C12" s="931"/>
      <c r="D12" s="931"/>
      <c r="E12" s="931"/>
      <c r="F12" s="931"/>
      <c r="G12" s="931"/>
      <c r="H12" s="931"/>
      <c r="I12" s="931"/>
      <c r="J12" s="931"/>
      <c r="K12" s="931"/>
    </row>
    <row r="13" spans="1:11" ht="20.25" customHeight="1">
      <c r="I13" s="308"/>
    </row>
    <row r="14" spans="1:11" ht="18.75" customHeight="1">
      <c r="C14" s="309" t="s">
        <v>526</v>
      </c>
      <c r="D14" s="309"/>
      <c r="E14" s="309"/>
      <c r="F14" s="309"/>
      <c r="G14" s="309"/>
      <c r="H14" s="310"/>
      <c r="I14" s="306"/>
      <c r="J14" s="932"/>
      <c r="K14" s="932"/>
    </row>
    <row r="15" spans="1:11">
      <c r="C15" s="304" t="s">
        <v>527</v>
      </c>
    </row>
    <row r="16" spans="1:11" ht="18" thickBot="1"/>
    <row r="17" spans="2:10">
      <c r="C17" s="933" t="s">
        <v>528</v>
      </c>
      <c r="D17" s="934"/>
      <c r="E17" s="934"/>
      <c r="F17" s="934"/>
      <c r="G17" s="935"/>
    </row>
    <row r="18" spans="2:10" ht="29.4" thickBot="1">
      <c r="C18" s="936">
        <f>dataSheet!AM2</f>
        <v>0</v>
      </c>
      <c r="D18" s="937"/>
      <c r="E18" s="937"/>
      <c r="F18" s="937"/>
      <c r="G18" s="938"/>
    </row>
    <row r="21" spans="2:10">
      <c r="C21" s="939" t="s">
        <v>529</v>
      </c>
      <c r="D21" s="940"/>
      <c r="E21" s="940"/>
      <c r="F21" s="940"/>
      <c r="G21" s="940"/>
      <c r="H21" s="311" t="s">
        <v>530</v>
      </c>
      <c r="I21" s="311" t="s">
        <v>531</v>
      </c>
      <c r="J21" s="311" t="s">
        <v>532</v>
      </c>
    </row>
    <row r="22" spans="2:10" ht="23.25" customHeight="1">
      <c r="C22" s="312"/>
      <c r="D22" s="313"/>
      <c r="E22" s="313"/>
      <c r="F22" s="313"/>
      <c r="G22" s="313"/>
      <c r="H22" s="314"/>
      <c r="I22" s="315"/>
      <c r="J22" s="315"/>
    </row>
    <row r="23" spans="2:10" ht="23.25" customHeight="1">
      <c r="C23" s="941">
        <f>dataSheet!AC2</f>
        <v>0</v>
      </c>
      <c r="D23" s="942"/>
      <c r="E23" s="942"/>
      <c r="F23" s="942"/>
      <c r="G23" s="942"/>
      <c r="H23" s="314">
        <f>dataSheet!AN2</f>
        <v>0</v>
      </c>
      <c r="I23" s="315" t="e">
        <f>J23/H23</f>
        <v>#DIV/0!</v>
      </c>
      <c r="J23" s="315">
        <f>dataSheet!AM2/1.1</f>
        <v>0</v>
      </c>
    </row>
    <row r="24" spans="2:10" ht="23.25" customHeight="1">
      <c r="C24" s="316"/>
      <c r="D24" s="317">
        <f>dataSheet!AE2</f>
        <v>0</v>
      </c>
      <c r="E24" s="318" t="s">
        <v>533</v>
      </c>
      <c r="F24" s="319">
        <f>dataSheet!AF2</f>
        <v>0</v>
      </c>
      <c r="G24" s="320" t="str">
        <f>"("&amp;dataSheet!AH2&amp;"営業日)"</f>
        <v>(営業日)</v>
      </c>
      <c r="H24" s="314"/>
      <c r="I24" s="315"/>
      <c r="J24" s="315"/>
    </row>
    <row r="25" spans="2:10" ht="23.25" customHeight="1">
      <c r="B25" s="304">
        <v>1</v>
      </c>
      <c r="C25" s="312"/>
      <c r="D25" s="313"/>
      <c r="E25" s="313"/>
      <c r="F25" s="313"/>
      <c r="G25" s="313"/>
      <c r="H25" s="314"/>
      <c r="I25" s="315"/>
      <c r="J25" s="315"/>
    </row>
    <row r="26" spans="2:10" ht="23.25" customHeight="1">
      <c r="H26" s="943" t="s">
        <v>534</v>
      </c>
      <c r="I26" s="944"/>
      <c r="J26" s="315">
        <f>SUM(J23:J25)</f>
        <v>0</v>
      </c>
    </row>
    <row r="27" spans="2:10" ht="23.25" customHeight="1">
      <c r="H27" s="943" t="s">
        <v>535</v>
      </c>
      <c r="I27" s="944"/>
      <c r="J27" s="315">
        <f>J26*0.1</f>
        <v>0</v>
      </c>
    </row>
    <row r="28" spans="2:10" ht="23.25" customHeight="1">
      <c r="H28" s="943" t="s">
        <v>536</v>
      </c>
      <c r="I28" s="944"/>
      <c r="J28" s="315">
        <f>SUM(J26:J27)</f>
        <v>0</v>
      </c>
    </row>
    <row r="29" spans="2:10">
      <c r="C29" s="321"/>
      <c r="D29" s="321"/>
      <c r="E29" s="321"/>
      <c r="F29" s="321"/>
      <c r="G29" s="321"/>
      <c r="I29" s="322"/>
      <c r="J29" s="323" t="s">
        <v>537</v>
      </c>
    </row>
    <row r="30" spans="2:10">
      <c r="I30" s="322"/>
      <c r="J30" s="322"/>
    </row>
    <row r="31" spans="2:10">
      <c r="C31" s="930" t="s">
        <v>538</v>
      </c>
      <c r="D31" s="930"/>
      <c r="E31" s="930"/>
      <c r="F31" s="930"/>
      <c r="G31" s="930"/>
      <c r="H31" s="930"/>
      <c r="I31" s="930"/>
      <c r="J31" s="930"/>
    </row>
    <row r="32" spans="2:10">
      <c r="C32" s="304" t="s">
        <v>539</v>
      </c>
      <c r="D32" s="304" t="s">
        <v>540</v>
      </c>
    </row>
    <row r="33" spans="3:4">
      <c r="D33" s="304" t="s">
        <v>541</v>
      </c>
    </row>
    <row r="34" spans="3:4">
      <c r="D34" s="304" t="s">
        <v>542</v>
      </c>
    </row>
    <row r="36" spans="3:4">
      <c r="C36" s="304" t="s">
        <v>539</v>
      </c>
      <c r="D36" s="304" t="s">
        <v>543</v>
      </c>
    </row>
    <row r="37" spans="3:4">
      <c r="D37" s="304" t="s">
        <v>544</v>
      </c>
    </row>
  </sheetData>
  <sheetProtection algorithmName="SHA-512" hashValue="wJJV6dIMXw6C+gzz4H4crStOLeUyq4CGQarVwpQX7mKlFnz+VdKea0sCFQJT7eXqLXlTDXKzFnV081EcyixStg==" saltValue="aAEERIcauMK7JS1+uNuWpA==" spinCount="100000" sheet="1" objects="1" scenarios="1" selectLockedCells="1"/>
  <mergeCells count="17">
    <mergeCell ref="C5:G5"/>
    <mergeCell ref="I7:J7"/>
    <mergeCell ref="I11:J11"/>
    <mergeCell ref="I8:J8"/>
    <mergeCell ref="J2:K2"/>
    <mergeCell ref="J3:K3"/>
    <mergeCell ref="J4:K4"/>
    <mergeCell ref="C31:J31"/>
    <mergeCell ref="A12:K12"/>
    <mergeCell ref="J14:K14"/>
    <mergeCell ref="C17:G17"/>
    <mergeCell ref="C18:G18"/>
    <mergeCell ref="C21:G21"/>
    <mergeCell ref="C23:G23"/>
    <mergeCell ref="H26:I26"/>
    <mergeCell ref="H27:I27"/>
    <mergeCell ref="H28:I28"/>
  </mergeCells>
  <phoneticPr fontId="2"/>
  <printOptions horizontalCentered="1"/>
  <pageMargins left="0.47244094488188981" right="0.51181102362204722" top="0.39370078740157483" bottom="0.74803149606299213" header="0.39370078740157483" footer="0.31496062992125984"/>
  <pageSetup paperSize="9" scale="72"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9</vt:i4>
      </vt:variant>
    </vt:vector>
  </HeadingPairs>
  <TitlesOfParts>
    <vt:vector size="19" baseType="lpstr">
      <vt:lpstr>dataSheet</vt:lpstr>
      <vt:lpstr>必要書類</vt:lpstr>
      <vt:lpstr>様式新特第4号</vt:lpstr>
      <vt:lpstr>様式新特第6号</vt:lpstr>
      <vt:lpstr>様式特第９号休業一覧表（新型コロナウイルス感染症関係）</vt:lpstr>
      <vt:lpstr>様式特第９号休業一覧表（新型コロナウイルス感染症関係） (2)</vt:lpstr>
      <vt:lpstr>雇用調整助成金 （休業等） 支給申請書</vt:lpstr>
      <vt:lpstr>雇用調整助成金助成額算定書</vt:lpstr>
      <vt:lpstr>日報表紙</vt:lpstr>
      <vt:lpstr>申込受領書</vt:lpstr>
      <vt:lpstr>改版履歴!Print_Area</vt:lpstr>
      <vt:lpstr>雇用調整助成金助成額算定書!Print_Area</vt:lpstr>
      <vt:lpstr>申込受領書!Print_Area</vt:lpstr>
      <vt:lpstr>日報表紙!Print_Area</vt:lpstr>
      <vt:lpstr>様式新特第4号!Print_Area</vt:lpstr>
      <vt:lpstr>様式新特第6号!Print_Area</vt:lpstr>
      <vt:lpstr>'様式特第９号休業一覧表（新型コロナウイルス感染症関係）'!Print_Area</vt:lpstr>
      <vt:lpstr>'様式特第９号休業一覧表（新型コロナウイルス感染症関係） (2)'!Print_Area</vt:lpstr>
      <vt:lpstr>改版履歴!Print_Titles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Windows User</cp:lastModifiedBy>
  <cp:lastPrinted>2020-08-17T08:20:03Z</cp:lastPrinted>
  <dcterms:created xsi:type="dcterms:W3CDTF">2016-04-06T04:38:07Z</dcterms:created>
  <dcterms:modified xsi:type="dcterms:W3CDTF">2021-02-16T04:34:35Z</dcterms:modified>
</cp:coreProperties>
</file>